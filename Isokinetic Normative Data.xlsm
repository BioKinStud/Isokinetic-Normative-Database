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slicerCaches/slicerCache48.xml" ContentType="application/vnd.ms-excel.slicerCache+xml"/>
  <Override PartName="/xl/slicerCaches/slicerCache49.xml" ContentType="application/vnd.ms-excel.slicerCache+xml"/>
  <Override PartName="/xl/slicerCaches/slicerCache50.xml" ContentType="application/vnd.ms-excel.slicerCache+xml"/>
  <Override PartName="/xl/slicerCaches/slicerCache51.xml" ContentType="application/vnd.ms-excel.slicerCache+xml"/>
  <Override PartName="/xl/slicerCaches/slicerCache52.xml" ContentType="application/vnd.ms-excel.slicerCache+xml"/>
  <Override PartName="/xl/slicerCaches/slicerCache53.xml" ContentType="application/vnd.ms-excel.slicerCache+xml"/>
  <Override PartName="/xl/slicerCaches/slicerCache54.xml" ContentType="application/vnd.ms-excel.slicerCache+xml"/>
  <Override PartName="/xl/slicerCaches/slicerCache55.xml" ContentType="application/vnd.ms-excel.slicerCache+xml"/>
  <Override PartName="/xl/slicerCaches/slicerCache56.xml" ContentType="application/vnd.ms-excel.slicerCache+xml"/>
  <Override PartName="/xl/slicerCaches/slicerCache57.xml" ContentType="application/vnd.ms-excel.slicerCache+xml"/>
  <Override PartName="/xl/slicerCaches/slicerCache58.xml" ContentType="application/vnd.ms-excel.slicerCache+xml"/>
  <Override PartName="/xl/slicerCaches/slicerCache59.xml" ContentType="application/vnd.ms-excel.slicerCache+xml"/>
  <Override PartName="/xl/slicerCaches/slicerCache60.xml" ContentType="application/vnd.ms-excel.slicerCache+xml"/>
  <Override PartName="/xl/slicerCaches/slicerCache61.xml" ContentType="application/vnd.ms-excel.slicerCache+xml"/>
  <Override PartName="/xl/slicerCaches/slicerCache62.xml" ContentType="application/vnd.ms-excel.slicerCache+xml"/>
  <Override PartName="/xl/slicerCaches/slicerCache63.xml" ContentType="application/vnd.ms-excel.slicerCache+xml"/>
  <Override PartName="/xl/slicerCaches/slicerCache64.xml" ContentType="application/vnd.ms-excel.slicerCache+xml"/>
  <Override PartName="/xl/slicerCaches/slicerCache65.xml" ContentType="application/vnd.ms-excel.slicerCache+xml"/>
  <Override PartName="/xl/slicerCaches/slicerCache66.xml" ContentType="application/vnd.ms-excel.slicerCache+xml"/>
  <Override PartName="/xl/slicerCaches/slicerCache67.xml" ContentType="application/vnd.ms-excel.slicerCache+xml"/>
  <Override PartName="/xl/slicerCaches/slicerCache68.xml" ContentType="application/vnd.ms-excel.slicerCache+xml"/>
  <Override PartName="/xl/slicerCaches/slicerCache69.xml" ContentType="application/vnd.ms-excel.slicerCache+xml"/>
  <Override PartName="/xl/slicerCaches/slicerCache70.xml" ContentType="application/vnd.ms-excel.slicerCache+xml"/>
  <Override PartName="/xl/slicerCaches/slicerCache71.xml" ContentType="application/vnd.ms-excel.slicerCache+xml"/>
  <Override PartName="/xl/slicerCaches/slicerCache72.xml" ContentType="application/vnd.ms-excel.slicerCache+xml"/>
  <Override PartName="/xl/slicerCaches/slicerCache7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slicers/slicer2.xml" ContentType="application/vnd.ms-excel.slicer+xml"/>
  <Override PartName="/xl/pivotTables/pivotTable1.xml" ContentType="application/vnd.openxmlformats-officedocument.spreadsheetml.pivotTable+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tables/table3.xml" ContentType="application/vnd.openxmlformats-officedocument.spreadsheetml.table+xml"/>
  <Override PartName="/xl/slicers/slicer3.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slicers/slicer4.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6ba2ff48573ff196/Desktop/Videos for Portfolio/Excel/"/>
    </mc:Choice>
  </mc:AlternateContent>
  <xr:revisionPtr revIDLastSave="0" documentId="8_{46560688-04D8-415E-891C-845B60F1397D}" xr6:coauthVersionLast="47" xr6:coauthVersionMax="47" xr10:uidLastSave="{00000000-0000-0000-0000-000000000000}"/>
  <bookViews>
    <workbookView xWindow="4005" yWindow="0" windowWidth="15360" windowHeight="11295" tabRatio="761" activeTab="1" xr2:uid="{05958975-FA32-4276-BD84-03A24F607BD8}"/>
  </bookViews>
  <sheets>
    <sheet name="Dashboard" sheetId="3" r:id="rId1"/>
    <sheet name="Knee " sheetId="1" r:id="rId2"/>
    <sheet name="Shoulder" sheetId="4" r:id="rId3"/>
    <sheet name="Sheet1" sheetId="22" state="hidden" r:id="rId4"/>
    <sheet name="Ankle" sheetId="6" r:id="rId5"/>
    <sheet name="Notes" sheetId="2" r:id="rId6"/>
    <sheet name="GraphsStats" sheetId="8" r:id="rId7"/>
    <sheet name="Backlog Notes" sheetId="23" state="hidden" r:id="rId8"/>
    <sheet name="Contact Info" sheetId="7" r:id="rId9"/>
    <sheet name="PT Knee Graphs" sheetId="16" state="hidden" r:id="rId10"/>
    <sheet name="BWPT Knee Graphs" sheetId="18" state="hidden" r:id="rId11"/>
    <sheet name="Shoulder Graphs" sheetId="13" state="hidden" r:id="rId12"/>
    <sheet name="BWPT Shoulder Graphs" sheetId="21" state="hidden" r:id="rId13"/>
    <sheet name="Ankle Graphs" sheetId="14" state="hidden" r:id="rId14"/>
  </sheets>
  <definedNames>
    <definedName name="_xleta.AND" hidden="1" xlm="1">#NAME?</definedName>
    <definedName name="_xleta.CHAR" hidden="1" xlm="1">#NAME?</definedName>
    <definedName name="_xleta.VALUE" hidden="1" xlm="1">#NAME?</definedName>
    <definedName name="Slicer_Abbreviations_Key">#N/A</definedName>
    <definedName name="Slicer_Abbreviations_Key1">#N/A</definedName>
    <definedName name="Slicer_Abbreviations_Key2">#N/A</definedName>
    <definedName name="Slicer_Abbreviations_Key3">#N/A</definedName>
    <definedName name="Slicer_Degrees">#N/A</definedName>
    <definedName name="Slicer_Degrees1">#N/A</definedName>
    <definedName name="Slicer_Degrees2">#N/A</definedName>
    <definedName name="Slicer_Degrees3">#N/A</definedName>
    <definedName name="Slicer_Degrees4">#N/A</definedName>
    <definedName name="Slicer_Degrees5">#N/A</definedName>
    <definedName name="Slicer_Degrees6">#N/A</definedName>
    <definedName name="Slicer_Degrees7">#N/A</definedName>
    <definedName name="Slicer_Degrees8">#N/A</definedName>
    <definedName name="Slicer_Directon">#N/A</definedName>
    <definedName name="Slicer_Directon1">#N/A</definedName>
    <definedName name="Slicer_Directon2">#N/A</definedName>
    <definedName name="Slicer_Directon3">#N/A</definedName>
    <definedName name="Slicer_Directon4">#N/A</definedName>
    <definedName name="Slicer_Directon5">#N/A</definedName>
    <definedName name="Slicer_Gender">#N/A</definedName>
    <definedName name="Slicer_Gender1">#N/A</definedName>
    <definedName name="Slicer_Gender2">#N/A</definedName>
    <definedName name="Slicer_Gender3">#N/A</definedName>
    <definedName name="Slicer_Gender4">#N/A</definedName>
    <definedName name="Slicer_Gender5">#N/A</definedName>
    <definedName name="Slicer_Gender6">#N/A</definedName>
    <definedName name="Slicer_Gender7">#N/A</definedName>
    <definedName name="Slicer_Group">#N/A</definedName>
    <definedName name="Slicer_Group1">#N/A</definedName>
    <definedName name="Slicer_Group2">#N/A</definedName>
    <definedName name="Slicer_Group3">#N/A</definedName>
    <definedName name="Slicer_Group4">#N/A</definedName>
    <definedName name="Slicer_Group5">#N/A</definedName>
    <definedName name="Slicer_Group6">#N/A</definedName>
    <definedName name="Slicer_Group7">#N/A</definedName>
    <definedName name="Slicer_Group8">#N/A</definedName>
    <definedName name="Slicer_Machine_Type">#N/A</definedName>
    <definedName name="Slicer_Machine_Type1">#N/A</definedName>
    <definedName name="Slicer_Machine_Type2">#N/A</definedName>
    <definedName name="Slicer_Machine_Type3">#N/A</definedName>
    <definedName name="Slicer_Machine_Type4">#N/A</definedName>
    <definedName name="Slicer_Machine_Type5">#N/A</definedName>
    <definedName name="Slicer_N">#N/A</definedName>
    <definedName name="Slicer_N1">#N/A</definedName>
    <definedName name="Slicer_N2">#N/A</definedName>
    <definedName name="Slicer_N3">#N/A</definedName>
    <definedName name="Slicer_N4">#N/A</definedName>
    <definedName name="Slicer_N5">#N/A</definedName>
    <definedName name="Slicer_Positions">#N/A</definedName>
    <definedName name="Slicer_Positions1">#N/A</definedName>
    <definedName name="Slicer_Positions2">#N/A</definedName>
    <definedName name="Slicer_Positions3">#N/A</definedName>
    <definedName name="Slicer_Positions4">#N/A</definedName>
    <definedName name="Slicer_Positions5">#N/A</definedName>
    <definedName name="Slicer_Positions6">#N/A</definedName>
    <definedName name="Slicer_Positions7">#N/A</definedName>
    <definedName name="Slicer_Positions8">#N/A</definedName>
    <definedName name="Slicer_Primary_Units">#N/A</definedName>
    <definedName name="Slicer_Primary_Units1">#N/A</definedName>
    <definedName name="Slicer_Sport">#N/A</definedName>
    <definedName name="Slicer_Sport1">#N/A</definedName>
    <definedName name="Slicer_Sport2">#N/A</definedName>
    <definedName name="Slicer_Sport3">#N/A</definedName>
    <definedName name="Slicer_Sport4">#N/A</definedName>
    <definedName name="Slicer_Sport5">#N/A</definedName>
    <definedName name="Slicer_Sport6">#N/A</definedName>
    <definedName name="Slicer_Sport7">#N/A</definedName>
    <definedName name="Slicer_Sport8">#N/A</definedName>
    <definedName name="Slicer_Units1">#N/A</definedName>
    <definedName name="Slicer_Units2">#N/A</definedName>
    <definedName name="Slicer_Year">#N/A</definedName>
    <definedName name="Slicer_Year1">#N/A</definedName>
    <definedName name="Slicer_Year2">#N/A</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 r:id="rId87"/>
        <x14:slicerCache r:id="rId88"/>
        <x14:slicerCache r:id="rId89"/>
        <x14:slicerCache r:id="rId90"/>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6" i="1" l="1"/>
  <c r="D365" i="1"/>
  <c r="D364" i="1"/>
  <c r="D363" i="1"/>
  <c r="E25" i="4"/>
  <c r="G24" i="4"/>
  <c r="E24" i="4"/>
  <c r="G23" i="4"/>
  <c r="E23" i="4"/>
  <c r="G22" i="4"/>
  <c r="E22" i="4"/>
  <c r="H225" i="6"/>
  <c r="H23" i="6"/>
  <c r="H22" i="6"/>
  <c r="H21" i="6"/>
  <c r="F23" i="6"/>
  <c r="F22" i="6"/>
  <c r="F21" i="6"/>
  <c r="F24" i="6"/>
  <c r="U5" i="6" a="1"/>
  <c r="U7" i="4" a="1"/>
  <c r="O5" i="1" a="1"/>
  <c r="AD8" i="3" l="1" a="1"/>
  <c r="AD8" i="3" s="1"/>
  <c r="AB11" i="3" a="1"/>
  <c r="AB11" i="3" s="1"/>
  <c r="AF13" i="3" a="1"/>
  <c r="AF13" i="3" s="1"/>
  <c r="AD16" i="3" a="1"/>
  <c r="AD16" i="3" s="1"/>
  <c r="AE8" i="3" a="1"/>
  <c r="AE8" i="3" s="1"/>
  <c r="AC11" i="3" a="1"/>
  <c r="AC11" i="3" s="1"/>
  <c r="AA14" i="3" a="1"/>
  <c r="AA14" i="3" s="1"/>
  <c r="AE16" i="3" a="1"/>
  <c r="AE16" i="3" s="1"/>
  <c r="AF8" i="3" a="1"/>
  <c r="AF8" i="3" s="1"/>
  <c r="AD11" i="3" a="1"/>
  <c r="AD11" i="3" s="1"/>
  <c r="AB14" i="3" a="1"/>
  <c r="AB14" i="3" s="1"/>
  <c r="AF16" i="3" a="1"/>
  <c r="AF16" i="3" s="1"/>
  <c r="AA9" i="3" a="1"/>
  <c r="AA9" i="3" s="1"/>
  <c r="AE11" i="3" a="1"/>
  <c r="AE11" i="3" s="1"/>
  <c r="AC14" i="3" a="1"/>
  <c r="AC14" i="3" s="1"/>
  <c r="AB7" i="3" a="1"/>
  <c r="AB7" i="3" s="1"/>
  <c r="AB9" i="3" a="1"/>
  <c r="AB9" i="3" s="1"/>
  <c r="AF11" i="3" a="1"/>
  <c r="AF11" i="3" s="1"/>
  <c r="AD14" i="3" a="1"/>
  <c r="AD14" i="3" s="1"/>
  <c r="AC7" i="3" a="1"/>
  <c r="AC7" i="3" s="1"/>
  <c r="AC9" i="3" a="1"/>
  <c r="AC9" i="3" s="1"/>
  <c r="AA12" i="3" a="1"/>
  <c r="AA12" i="3" s="1"/>
  <c r="AE14" i="3" a="1"/>
  <c r="AE14" i="3" s="1"/>
  <c r="AD7" i="3" a="1"/>
  <c r="AD7" i="3" s="1"/>
  <c r="AD9" i="3" a="1"/>
  <c r="AD9" i="3" s="1"/>
  <c r="AB12" i="3" a="1"/>
  <c r="AB12" i="3" s="1"/>
  <c r="AF14" i="3" a="1"/>
  <c r="AF14" i="3" s="1"/>
  <c r="AE7" i="3" a="1"/>
  <c r="AE7" i="3" s="1"/>
  <c r="AE9" i="3" a="1"/>
  <c r="AE9" i="3" s="1"/>
  <c r="AC12" i="3" a="1"/>
  <c r="AC12" i="3" s="1"/>
  <c r="AA15" i="3" a="1"/>
  <c r="AA15" i="3" s="1"/>
  <c r="AF7" i="3" a="1"/>
  <c r="AF7" i="3" s="1"/>
  <c r="AF9" i="3" a="1"/>
  <c r="AF9" i="3" s="1"/>
  <c r="AD12" i="3" a="1"/>
  <c r="AD12" i="3" s="1"/>
  <c r="AB15" i="3" a="1"/>
  <c r="AB15" i="3" s="1"/>
  <c r="AA10" i="3" a="1"/>
  <c r="AA10" i="3" s="1"/>
  <c r="AE12" i="3" a="1"/>
  <c r="AE12" i="3" s="1"/>
  <c r="AC15" i="3" a="1"/>
  <c r="AC15" i="3" s="1"/>
  <c r="AB10" i="3" a="1"/>
  <c r="AB10" i="3" s="1"/>
  <c r="AF12" i="3" a="1"/>
  <c r="AF12" i="3" s="1"/>
  <c r="AD15" i="3" a="1"/>
  <c r="AD15" i="3" s="1"/>
  <c r="AC10" i="3" a="1"/>
  <c r="AC10" i="3" s="1"/>
  <c r="AA13" i="3" a="1"/>
  <c r="AA13" i="3" s="1"/>
  <c r="AE15" i="3" a="1"/>
  <c r="AE15" i="3" s="1"/>
  <c r="AD10" i="3" a="1"/>
  <c r="AD10" i="3" s="1"/>
  <c r="AB13" i="3" a="1"/>
  <c r="AB13" i="3" s="1"/>
  <c r="AF15" i="3" a="1"/>
  <c r="AF15" i="3" s="1"/>
  <c r="AA8" i="3" a="1"/>
  <c r="AA8" i="3" s="1"/>
  <c r="AE10" i="3" a="1"/>
  <c r="AE10" i="3" s="1"/>
  <c r="AC13" i="3" a="1"/>
  <c r="AC13" i="3" s="1"/>
  <c r="AA16" i="3" a="1"/>
  <c r="AA16" i="3" s="1"/>
  <c r="AB8" i="3" a="1"/>
  <c r="AB8" i="3" s="1"/>
  <c r="AF10" i="3" a="1"/>
  <c r="AF10" i="3" s="1"/>
  <c r="AD13" i="3" a="1"/>
  <c r="AD13" i="3" s="1"/>
  <c r="AB16" i="3" a="1"/>
  <c r="AB16" i="3" s="1"/>
  <c r="AC8" i="3" a="1"/>
  <c r="AC8" i="3" s="1"/>
  <c r="AA11" i="3" a="1"/>
  <c r="AA11" i="3" s="1"/>
  <c r="AE13" i="3" a="1"/>
  <c r="AE13" i="3" s="1"/>
  <c r="AC16" i="3" a="1"/>
  <c r="AC16" i="3" s="1"/>
  <c r="U7" i="4"/>
  <c r="AA23" i="3" s="1" a="1"/>
  <c r="AA23" i="3" s="1"/>
  <c r="AB24" i="3" a="1"/>
  <c r="AB24" i="3" s="1"/>
  <c r="AE24" i="3" a="1"/>
  <c r="AE24" i="3" s="1"/>
  <c r="AC27" i="3" a="1"/>
  <c r="AC27" i="3" s="1"/>
  <c r="AA30" i="3" a="1"/>
  <c r="AA30" i="3" s="1"/>
  <c r="AE32" i="3" a="1"/>
  <c r="AE32" i="3" s="1"/>
  <c r="AF24" i="3" a="1"/>
  <c r="AF24" i="3" s="1"/>
  <c r="AD27" i="3" a="1"/>
  <c r="AD27" i="3" s="1"/>
  <c r="AB30" i="3" a="1"/>
  <c r="AB30" i="3" s="1"/>
  <c r="AF32" i="3" a="1"/>
  <c r="AF32" i="3" s="1"/>
  <c r="AE27" i="3" a="1"/>
  <c r="AE27" i="3" s="1"/>
  <c r="AC30" i="3" a="1"/>
  <c r="AC30" i="3" s="1"/>
  <c r="AA33" i="3" a="1"/>
  <c r="AA33" i="3" s="1"/>
  <c r="AC28" i="3" a="1"/>
  <c r="AC28" i="3" s="1"/>
  <c r="AE33" i="3" a="1"/>
  <c r="AE33" i="3" s="1"/>
  <c r="AD28" i="3" a="1"/>
  <c r="AD28" i="3" s="1"/>
  <c r="AF33" i="3" a="1"/>
  <c r="AF33" i="3" s="1"/>
  <c r="AE28" i="3" a="1"/>
  <c r="AE28" i="3" s="1"/>
  <c r="AC31" i="3" a="1"/>
  <c r="AC31" i="3" s="1"/>
  <c r="AB26" i="3" a="1"/>
  <c r="AB26" i="3" s="1"/>
  <c r="AD31" i="3" a="1"/>
  <c r="AD31" i="3" s="1"/>
  <c r="AC26" i="3" a="1"/>
  <c r="AC26" i="3" s="1"/>
  <c r="AE31" i="3" a="1"/>
  <c r="AE31" i="3" s="1"/>
  <c r="AE23" i="3" a="1"/>
  <c r="AE23" i="3" s="1"/>
  <c r="AE26" i="3" a="1"/>
  <c r="AE26" i="3" s="1"/>
  <c r="AC29" i="3" a="1"/>
  <c r="AC29" i="3" s="1"/>
  <c r="AF26" i="3" a="1"/>
  <c r="AF26" i="3" s="1"/>
  <c r="AB32" i="3" a="1"/>
  <c r="AB32" i="3" s="1"/>
  <c r="AA27" i="3" a="1"/>
  <c r="AA27" i="3" s="1"/>
  <c r="AC32" i="3" a="1"/>
  <c r="AC32" i="3" s="1"/>
  <c r="AB27" i="3" a="1"/>
  <c r="AB27" i="3" s="1"/>
  <c r="AD32" i="3" a="1"/>
  <c r="AD32" i="3" s="1"/>
  <c r="AF23" i="3" a="1"/>
  <c r="AF23" i="3" s="1"/>
  <c r="AA25" i="3" a="1"/>
  <c r="AA25" i="3" s="1"/>
  <c r="AB25" i="3" a="1"/>
  <c r="AB25" i="3" s="1"/>
  <c r="AF27" i="3" a="1"/>
  <c r="AF27" i="3" s="1"/>
  <c r="AD30" i="3" a="1"/>
  <c r="AD30" i="3" s="1"/>
  <c r="AB33" i="3" a="1"/>
  <c r="AB33" i="3" s="1"/>
  <c r="AC25" i="3" a="1"/>
  <c r="AC25" i="3" s="1"/>
  <c r="AA28" i="3" a="1"/>
  <c r="AA28" i="3" s="1"/>
  <c r="AE30" i="3" a="1"/>
  <c r="AE30" i="3" s="1"/>
  <c r="AD25" i="3" a="1"/>
  <c r="AD25" i="3" s="1"/>
  <c r="AB28" i="3" a="1"/>
  <c r="AB28" i="3" s="1"/>
  <c r="AF30" i="3" a="1"/>
  <c r="AF30" i="3" s="1"/>
  <c r="AD33" i="3" a="1"/>
  <c r="AD33" i="3" s="1"/>
  <c r="AE25" i="3" a="1"/>
  <c r="AE25" i="3" s="1"/>
  <c r="AA31" i="3" a="1"/>
  <c r="AA31" i="3" s="1"/>
  <c r="AF25" i="3" a="1"/>
  <c r="AF25" i="3" s="1"/>
  <c r="AB31" i="3" a="1"/>
  <c r="AB31" i="3" s="1"/>
  <c r="AA26" i="3" a="1"/>
  <c r="AA26" i="3" s="1"/>
  <c r="AB23" i="3" a="1"/>
  <c r="AB23" i="3" s="1"/>
  <c r="AF28" i="3" a="1"/>
  <c r="AF28" i="3" s="1"/>
  <c r="AC23" i="3" a="1"/>
  <c r="AC23" i="3" s="1"/>
  <c r="AA29" i="3" a="1"/>
  <c r="AA29" i="3" s="1"/>
  <c r="AD23" i="3" a="1"/>
  <c r="AD23" i="3" s="1"/>
  <c r="AD26" i="3" a="1"/>
  <c r="AD26" i="3" s="1"/>
  <c r="AB29" i="3" a="1"/>
  <c r="AB29" i="3" s="1"/>
  <c r="AF31" i="3" a="1"/>
  <c r="AF31" i="3" s="1"/>
  <c r="AA24" i="3" a="1"/>
  <c r="AA24" i="3" s="1"/>
  <c r="AA32" i="3" a="1"/>
  <c r="AA32" i="3" s="1"/>
  <c r="AD29" i="3" a="1"/>
  <c r="AD29" i="3" s="1"/>
  <c r="AC24" i="3" a="1"/>
  <c r="AC24" i="3" s="1"/>
  <c r="AE29" i="3" a="1"/>
  <c r="AE29" i="3" s="1"/>
  <c r="AD24" i="3" a="1"/>
  <c r="AD24" i="3" s="1"/>
  <c r="AF29" i="3" a="1"/>
  <c r="AF29" i="3" s="1"/>
  <c r="AC33" i="3" a="1"/>
  <c r="AC33" i="3" s="1"/>
  <c r="AE41" i="3" a="1"/>
  <c r="AE41" i="3" s="1"/>
  <c r="AC43" i="3" a="1"/>
  <c r="AC43" i="3" s="1"/>
  <c r="AD46" i="3" a="1"/>
  <c r="AD46" i="3" s="1"/>
  <c r="AB48" i="3" a="1"/>
  <c r="AB48" i="3" s="1"/>
  <c r="AF49" i="3" a="1"/>
  <c r="AF49" i="3" s="1"/>
  <c r="AA39" i="3" a="1"/>
  <c r="AA39" i="3" s="1"/>
  <c r="AA45" i="3" a="1"/>
  <c r="AA45" i="3" s="1"/>
  <c r="AC48" i="3" a="1"/>
  <c r="AC48" i="3" s="1"/>
  <c r="AA50" i="3" a="1"/>
  <c r="AA50" i="3" s="1"/>
  <c r="AA40" i="3" a="1"/>
  <c r="AA40" i="3" s="1"/>
  <c r="AF41" i="3" a="1"/>
  <c r="AF41" i="3" s="1"/>
  <c r="AD43" i="3" a="1"/>
  <c r="AD43" i="3" s="1"/>
  <c r="AE46" i="3" a="1"/>
  <c r="AE46" i="3" s="1"/>
  <c r="AB40" i="3" a="1"/>
  <c r="AB40" i="3" s="1"/>
  <c r="AA42" i="3" a="1"/>
  <c r="AA42" i="3" s="1"/>
  <c r="AB45" i="3" a="1"/>
  <c r="AB45" i="3" s="1"/>
  <c r="AF46" i="3" a="1"/>
  <c r="AF46" i="3" s="1"/>
  <c r="AD48" i="3" a="1"/>
  <c r="AD48" i="3" s="1"/>
  <c r="AB50" i="3" a="1"/>
  <c r="AB50" i="3" s="1"/>
  <c r="AC40" i="3" a="1"/>
  <c r="AC40" i="3" s="1"/>
  <c r="AE43" i="3" a="1"/>
  <c r="AE43" i="3" s="1"/>
  <c r="AA47" i="3" a="1"/>
  <c r="AA47" i="3" s="1"/>
  <c r="AE48" i="3" a="1"/>
  <c r="AE48" i="3" s="1"/>
  <c r="AB42" i="3" a="1"/>
  <c r="AB42" i="3" s="1"/>
  <c r="AC45" i="3" a="1"/>
  <c r="AC45" i="3" s="1"/>
  <c r="AC50" i="3" a="1"/>
  <c r="AC50" i="3" s="1"/>
  <c r="AD40" i="3" a="1"/>
  <c r="AD40" i="3" s="1"/>
  <c r="AF43" i="3" a="1"/>
  <c r="AF43" i="3" s="1"/>
  <c r="AD45" i="3" a="1"/>
  <c r="AD45" i="3" s="1"/>
  <c r="AB47" i="3" a="1"/>
  <c r="AB47" i="3" s="1"/>
  <c r="AF48" i="3" a="1"/>
  <c r="AF48" i="3" s="1"/>
  <c r="AE40" i="3" a="1"/>
  <c r="AE40" i="3" s="1"/>
  <c r="AC42" i="3" a="1"/>
  <c r="AC42" i="3" s="1"/>
  <c r="AE45" i="3" a="1"/>
  <c r="AE45" i="3" s="1"/>
  <c r="AC47" i="3" a="1"/>
  <c r="AC47" i="3" s="1"/>
  <c r="AD50" i="3" a="1"/>
  <c r="AD50" i="3" s="1"/>
  <c r="AF40" i="3" a="1"/>
  <c r="AF40" i="3" s="1"/>
  <c r="AA44" i="3" a="1"/>
  <c r="AA44" i="3" s="1"/>
  <c r="AA49" i="3" a="1"/>
  <c r="AA49" i="3" s="1"/>
  <c r="AD42" i="3" a="1"/>
  <c r="AD42" i="3" s="1"/>
  <c r="AB44" i="3" a="1"/>
  <c r="AB44" i="3" s="1"/>
  <c r="AF45" i="3" a="1"/>
  <c r="AF45" i="3" s="1"/>
  <c r="AD47" i="3" a="1"/>
  <c r="AD47" i="3" s="1"/>
  <c r="AE50" i="3" a="1"/>
  <c r="AE50" i="3" s="1"/>
  <c r="AA41" i="3" a="1"/>
  <c r="AA41" i="3" s="1"/>
  <c r="AC44" i="3" a="1"/>
  <c r="AC44" i="3" s="1"/>
  <c r="AA46" i="3" a="1"/>
  <c r="AA46" i="3" s="1"/>
  <c r="AB49" i="3" a="1"/>
  <c r="AB49" i="3" s="1"/>
  <c r="AF50" i="3" a="1"/>
  <c r="AF50" i="3" s="1"/>
  <c r="AE42" i="3" a="1"/>
  <c r="AE42" i="3" s="1"/>
  <c r="AE47" i="3" a="1"/>
  <c r="AE47" i="3" s="1"/>
  <c r="AB39" i="3" a="1"/>
  <c r="AB39" i="3" s="1"/>
  <c r="AB41" i="3" a="1"/>
  <c r="AB41" i="3" s="1"/>
  <c r="AF42" i="3" a="1"/>
  <c r="AF42" i="3" s="1"/>
  <c r="AD44" i="3" a="1"/>
  <c r="AD44" i="3" s="1"/>
  <c r="AB46" i="3" a="1"/>
  <c r="AB46" i="3" s="1"/>
  <c r="AC49" i="3" a="1"/>
  <c r="AC49" i="3" s="1"/>
  <c r="AC39" i="3" a="1"/>
  <c r="AC39" i="3" s="1"/>
  <c r="AA43" i="3" a="1"/>
  <c r="AA43" i="3" s="1"/>
  <c r="AE44" i="3" a="1"/>
  <c r="AE44" i="3" s="1"/>
  <c r="AF47" i="3" a="1"/>
  <c r="AF47" i="3" s="1"/>
  <c r="AD49" i="3" a="1"/>
  <c r="AD49" i="3" s="1"/>
  <c r="AD39" i="3" a="1"/>
  <c r="AD39" i="3" s="1"/>
  <c r="AC41" i="3" a="1"/>
  <c r="AC41" i="3" s="1"/>
  <c r="AC46" i="3" a="1"/>
  <c r="AC46" i="3" s="1"/>
  <c r="AE49" i="3" a="1"/>
  <c r="AE49" i="3" s="1"/>
  <c r="AE39" i="3" a="1"/>
  <c r="AE39" i="3" s="1"/>
  <c r="AD41" i="3" a="1"/>
  <c r="AD41" i="3" s="1"/>
  <c r="AB43" i="3" a="1"/>
  <c r="AB43" i="3" s="1"/>
  <c r="AF44" i="3" a="1"/>
  <c r="AF44" i="3" s="1"/>
  <c r="AA48" i="3" a="1"/>
  <c r="AA48" i="3" s="1"/>
  <c r="AF39" i="3" a="1"/>
  <c r="AF39" i="3" s="1"/>
  <c r="O5" i="1"/>
  <c r="AA7" i="3" s="1" a="1"/>
  <c r="AA7" i="3" s="1"/>
  <c r="U5"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tc={82661447-535C-40AE-A07F-D3B6A087637E}</author>
    <author>tc={828CEADA-867C-4B30-A422-12AFFD26AF35}</author>
  </authors>
  <commentList>
    <comment ref="C548" authorId="0" shapeId="0" xr:uid="{82661447-535C-40AE-A07F-D3B6A087637E}">
      <text>
        <t xml:space="preserve">[Threaded comment]
Your version of Excel allows you to read this threaded comment; however, any edits to it will get removed if the file is opened in a newer version of Excel. Learn more: https://go.microsoft.com/fwlink/?linkid=870924
Comment:
    Finish 240 degrees
</t>
      </text>
    </comment>
    <comment ref="U575" authorId="1" shapeId="0" xr:uid="{828CEADA-867C-4B30-A422-12AFFD26AF35}">
      <text>
        <t xml:space="preserve">[Threaded comment]
Your version of Excel allows you to read this threaded comment; however, any edits to it will get removed if the file is opened in a newer version of Excel. Learn more: https://go.microsoft.com/fwlink/?linkid=870924
Comment:
    N*m*kg-1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tc={6BFFC9ED-7BA0-46B1-90A5-4AED19AD654A}</author>
  </authors>
  <commentList>
    <comment ref="AQ333" authorId="0" shapeId="0" xr:uid="{6BFFC9ED-7BA0-46B1-90A5-4AED19AD654A}">
      <text>
        <t xml:space="preserve">[Threaded comment]
Your version of Excel allows you to read this threaded comment; however, any edits to it will get removed if the file is opened in a newer version of Excel. Learn more: https://go.microsoft.com/fwlink/?linkid=870924
Comment:
    Eversion/Inversion Ratio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tc={9E1FCFD9-DD1C-4243-B11F-70589BDA6B38}</author>
  </authors>
  <commentList>
    <comment ref="S331" authorId="0" shapeId="0" xr:uid="{9E1FCFD9-DD1C-4243-B11F-70589BDA6B38}">
      <text>
        <t xml:space="preserve">[Threaded comment]
Your version of Excel allows you to read this threaded comment; however, any edits to it will get removed if the file is opened in a newer version of Excel. Learn more: https://go.microsoft.com/fwlink/?linkid=870924
Comment:
    N*m*kg-1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<sst xmlns="http://schemas.openxmlformats.org/spreadsheetml/2006/main" count="5517" uniqueCount="431">
  <si>
    <t>Notes</t>
  </si>
  <si>
    <t>Search Bar</t>
  </si>
  <si>
    <t>Total Number:</t>
  </si>
  <si>
    <t>Source</t>
  </si>
  <si>
    <t>Sport</t>
  </si>
  <si>
    <t>Positions</t>
  </si>
  <si>
    <t>Group</t>
  </si>
  <si>
    <t>Average Age</t>
  </si>
  <si>
    <t>Age.SD</t>
  </si>
  <si>
    <t>N</t>
  </si>
  <si>
    <t>Abbreviations Key</t>
  </si>
  <si>
    <t>Gender</t>
  </si>
  <si>
    <t>Directon</t>
  </si>
  <si>
    <t>Machine Type</t>
  </si>
  <si>
    <t>Units</t>
  </si>
  <si>
    <t>Extension Peak Force</t>
  </si>
  <si>
    <t>Ext SD.</t>
  </si>
  <si>
    <t>Flexion Peak Force</t>
  </si>
  <si>
    <t>Flexion SD.</t>
  </si>
  <si>
    <t>Ext Pk Torque/BW</t>
  </si>
  <si>
    <t>Ext BW SD</t>
  </si>
  <si>
    <t>Flex Pk Torque/BW</t>
  </si>
  <si>
    <t>Flex BW SD</t>
  </si>
  <si>
    <t>Power Ext (Watt)</t>
  </si>
  <si>
    <t>Power.Ext.SD</t>
  </si>
  <si>
    <t>Power Flex (Watt)</t>
  </si>
  <si>
    <t>Power.Flex.SD</t>
  </si>
  <si>
    <t>Work Ext (Joule)</t>
  </si>
  <si>
    <r>
      <t>Work.</t>
    </r>
    <r>
      <rPr>
        <b/>
        <sz val="10"/>
        <color theme="1"/>
        <rFont val="Aptos Narrow"/>
        <family val="2"/>
        <scheme val="minor"/>
      </rPr>
      <t>EXT</t>
    </r>
    <r>
      <rPr>
        <sz val="10"/>
        <color theme="1"/>
        <rFont val="Aptos Narrow"/>
        <family val="2"/>
        <scheme val="minor"/>
      </rPr>
      <t>.SD</t>
    </r>
  </si>
  <si>
    <t>Work Flex (Joule)</t>
  </si>
  <si>
    <t>QHS Ratio</t>
  </si>
  <si>
    <t>QHS.SD</t>
  </si>
  <si>
    <t>Degrees</t>
  </si>
  <si>
    <t>Bradic</t>
  </si>
  <si>
    <t>Schlitz</t>
  </si>
  <si>
    <t>Pekel</t>
  </si>
  <si>
    <t>Baumgart</t>
  </si>
  <si>
    <t>Basketball</t>
  </si>
  <si>
    <t>Tennis</t>
  </si>
  <si>
    <t>Kabacinski</t>
  </si>
  <si>
    <t>Soccer</t>
  </si>
  <si>
    <t>Franca</t>
  </si>
  <si>
    <t>Gorski</t>
  </si>
  <si>
    <t>Read</t>
  </si>
  <si>
    <t>Gen Pop</t>
  </si>
  <si>
    <t>Cvjetovic</t>
  </si>
  <si>
    <t>Mixed</t>
  </si>
  <si>
    <t>Mixed Sport</t>
  </si>
  <si>
    <t>Henderson</t>
  </si>
  <si>
    <t>Lategan</t>
  </si>
  <si>
    <t>Risberg</t>
  </si>
  <si>
    <t>Tuominen</t>
  </si>
  <si>
    <t>Wilkosz</t>
  </si>
  <si>
    <t>Bonetti</t>
  </si>
  <si>
    <t>Volleyball</t>
  </si>
  <si>
    <t>Fousekis</t>
  </si>
  <si>
    <t>Perry</t>
  </si>
  <si>
    <t>Takey</t>
  </si>
  <si>
    <t>Cybex</t>
  </si>
  <si>
    <t>Biodex</t>
  </si>
  <si>
    <t>Elite</t>
  </si>
  <si>
    <t>Spanish Handball Team</t>
  </si>
  <si>
    <t>Rave</t>
  </si>
  <si>
    <t>Handball</t>
  </si>
  <si>
    <t>Dominant</t>
  </si>
  <si>
    <t>Non-Dominant</t>
  </si>
  <si>
    <t>Male</t>
  </si>
  <si>
    <t>Concentric</t>
  </si>
  <si>
    <t>Professional</t>
  </si>
  <si>
    <t>European League</t>
  </si>
  <si>
    <t>Junior</t>
  </si>
  <si>
    <t>B.Guards</t>
  </si>
  <si>
    <t>B.Forwards</t>
  </si>
  <si>
    <t>B.Centers</t>
  </si>
  <si>
    <t>European League, Some had Knee Injury</t>
  </si>
  <si>
    <t>Year</t>
  </si>
  <si>
    <t>Theoharopoulos</t>
  </si>
  <si>
    <t>4 Guards, 4 Forwards, 4 Centers</t>
  </si>
  <si>
    <t>7 Years  Played</t>
  </si>
  <si>
    <t>ISOMED 2000</t>
  </si>
  <si>
    <t>Football</t>
  </si>
  <si>
    <t>Zvijac</t>
  </si>
  <si>
    <t>Defensive Line</t>
  </si>
  <si>
    <t>NFL Combine Data 08-11</t>
  </si>
  <si>
    <t>Bamaç</t>
  </si>
  <si>
    <t>Rouis</t>
  </si>
  <si>
    <t>Female</t>
  </si>
  <si>
    <t>Fenandez</t>
  </si>
  <si>
    <t>Operated ACL</t>
  </si>
  <si>
    <t>Non-Operated ACL</t>
  </si>
  <si>
    <t>randomized which limb was tested first</t>
  </si>
  <si>
    <t>ACL* 18 F, 20 M,  Most Soccer</t>
  </si>
  <si>
    <t>Left</t>
  </si>
  <si>
    <t>Right</t>
  </si>
  <si>
    <t xml:space="preserve"> </t>
  </si>
  <si>
    <t>Youth</t>
  </si>
  <si>
    <t>PL</t>
  </si>
  <si>
    <t>NPL</t>
  </si>
  <si>
    <t>PL = Preffered Leg</t>
  </si>
  <si>
    <t>NPL = Not Preferred Leg</t>
  </si>
  <si>
    <t>Q-H Involved</t>
  </si>
  <si>
    <t>Q-H, Non-Invovled</t>
  </si>
  <si>
    <t xml:space="preserve">Professional </t>
  </si>
  <si>
    <t>Performance data on pre-season tests</t>
  </si>
  <si>
    <t>Experimental, Control, ACL Reconstruction</t>
  </si>
  <si>
    <t>Experimentals</t>
  </si>
  <si>
    <t>Controls</t>
  </si>
  <si>
    <t>Wrzesień</t>
  </si>
  <si>
    <t>Uninvolved</t>
  </si>
  <si>
    <t>Involved</t>
  </si>
  <si>
    <t>ACL Reconstruction,  Experimentals</t>
  </si>
  <si>
    <t>ACL Reconstruction, Controls</t>
  </si>
  <si>
    <t>Nm/kg</t>
  </si>
  <si>
    <t>Might DeleteConfusing Data, No Age</t>
  </si>
  <si>
    <t>Need to Add 180 and 240 Degrees</t>
  </si>
  <si>
    <t>Excluded ACL Injury and pain</t>
  </si>
  <si>
    <t>Santos</t>
  </si>
  <si>
    <t>Elderly</t>
  </si>
  <si>
    <t>Knee Osteoarthritis, Ages range from 65+</t>
  </si>
  <si>
    <t>Test-Retest Reliability,engage in regular physical activity or recreational sport</t>
  </si>
  <si>
    <t>Only took Control cause experimental is gen pop, experimental was untrained population</t>
  </si>
  <si>
    <t>148,79</t>
  </si>
  <si>
    <t>Eccentric</t>
  </si>
  <si>
    <t>Concentric (Flex/Ext)</t>
  </si>
  <si>
    <t>Eccentric (Flex/Ext) eccentric testing was used because it's crucial for injury risk detection and reflects real game demands better than concentric tests alone.</t>
  </si>
  <si>
    <t>Did not do a 300 degree vlocity angle for eccentric</t>
  </si>
  <si>
    <t>Ft*Lb</t>
  </si>
  <si>
    <t>Entire Group,  Currently ranked by the United States Tennis Association (USTA),</t>
  </si>
  <si>
    <t>Currently ranked by the United States Tennis Association (USTA),</t>
  </si>
  <si>
    <t>11 players (31%) had previous hamstring injuries.</t>
  </si>
  <si>
    <t>Adults</t>
  </si>
  <si>
    <t>Only looked at extension, significant assymetry limbs</t>
  </si>
  <si>
    <r>
      <t>Controls</t>
    </r>
    <r>
      <rPr>
        <sz val="11"/>
        <color theme="1"/>
        <rFont val="Aptos Narrow"/>
        <family val="2"/>
        <scheme val="minor"/>
      </rPr>
      <t xml:space="preserve"> were non-athletic male students with no sports participation.</t>
    </r>
  </si>
  <si>
    <t>National and international competition level</t>
  </si>
  <si>
    <t>Healthy professional female soccer players</t>
  </si>
  <si>
    <t>The normalized peak torque values in the paper are presented as medians with interquartile ranges (IQR), not as mean ± standard deviation (SD). Here’s what that means practically:</t>
  </si>
  <si>
    <t>Median (Q1–Q3) gives the middle value and the 25th–75th percentiles.</t>
  </si>
  <si>
    <t>Mean ± SD describes the central tendency and spread under the assumption of a normal distribution.</t>
  </si>
  <si>
    <t>There’s no direct mathematical conversion from median + IQR to mean ± SD without access to raw data. That said, some approximations exist under specific assumptions:</t>
  </si>
  <si>
    <t>1. If the data is roughly symmetric and normal:</t>
  </si>
  <si>
    <t>SD ≈ (Q3 − Q1) ÷ 1.35</t>
  </si>
  <si>
    <t>This uses the fact that for a normal distribution, the IQR covers approximately 1.35 SDs.</t>
  </si>
  <si>
    <t>2. For example, using the flexion PT at 60°/s for the dominant leg:</t>
  </si>
  <si>
    <t>Reported as 1.47 (1.29–1.59) → IQR = 1.59 − 1.29 = 0.30</t>
  </si>
  <si>
    <t>Approximate SD = 0.30 ÷ 1.35 ≈ 0.22</t>
  </si>
  <si>
    <t>Standard Deviation Formula</t>
  </si>
  <si>
    <t>NCAA Division II University Football Players</t>
  </si>
  <si>
    <r>
      <t xml:space="preserve">These were originally analyzed separately, but the authors found </t>
    </r>
    <r>
      <rPr>
        <b/>
        <sz val="11"/>
        <color theme="1"/>
        <rFont val="Aptos Narrow"/>
        <family val="2"/>
        <scheme val="minor"/>
      </rPr>
      <t>no statistically significant differences</t>
    </r>
    <r>
      <rPr>
        <sz val="11"/>
        <color theme="1"/>
        <rFont val="Aptos Narrow"/>
        <family val="2"/>
        <scheme val="minor"/>
      </rPr>
      <t xml:space="preserve"> between these subgroups. Therefore, for analysis purposes, they were grouped together as one category</t>
    </r>
  </si>
  <si>
    <r>
      <t>Work.</t>
    </r>
    <r>
      <rPr>
        <b/>
        <sz val="10"/>
        <color theme="1"/>
        <rFont val="Aptos Narrow"/>
        <family val="2"/>
        <scheme val="minor"/>
      </rPr>
      <t>Flex.SD</t>
    </r>
  </si>
  <si>
    <t/>
  </si>
  <si>
    <t>External Rotation</t>
  </si>
  <si>
    <t>Ext.SD</t>
  </si>
  <si>
    <t>Internal Rotation</t>
  </si>
  <si>
    <t>Int.SD</t>
  </si>
  <si>
    <t>Flexion</t>
  </si>
  <si>
    <t>Flex.SD</t>
  </si>
  <si>
    <t>Extension</t>
  </si>
  <si>
    <t>Ext.SD2</t>
  </si>
  <si>
    <t>Pwr.Ext.SD</t>
  </si>
  <si>
    <t>Power Int (Watt)</t>
  </si>
  <si>
    <t>Pwr.Int.SD</t>
  </si>
  <si>
    <t>Work.Ext.SD</t>
  </si>
  <si>
    <t>Work  Int(Joule)</t>
  </si>
  <si>
    <t>Work.Int.SD</t>
  </si>
  <si>
    <t>ER/IR Ratio</t>
  </si>
  <si>
    <t>Ratio.SD</t>
  </si>
  <si>
    <t xml:space="preserve"> Batalha</t>
  </si>
  <si>
    <t>Swimming</t>
  </si>
  <si>
    <t>Lira</t>
  </si>
  <si>
    <t>Nm</t>
  </si>
  <si>
    <t>48.6 </t>
  </si>
  <si>
    <t>47.7 </t>
  </si>
  <si>
    <t>Adolescent</t>
  </si>
  <si>
    <t>Brito</t>
  </si>
  <si>
    <t>Tyler</t>
  </si>
  <si>
    <t>Ellenbecker</t>
  </si>
  <si>
    <t>Baseball</t>
  </si>
  <si>
    <t>Max Value</t>
  </si>
  <si>
    <t>N/A</t>
  </si>
  <si>
    <t>Knee Table</t>
  </si>
  <si>
    <t>Machine</t>
  </si>
  <si>
    <t>Shoulder Table</t>
  </si>
  <si>
    <r>
      <t xml:space="preserve">60 °/sec </t>
    </r>
    <r>
      <rPr>
        <sz val="11"/>
        <color rgb="FF000000"/>
        <rFont val="Aptos Narrow"/>
        <family val="2"/>
        <scheme val="minor"/>
      </rPr>
      <t xml:space="preserve">  </t>
    </r>
  </si>
  <si>
    <t xml:space="preserve">   </t>
  </si>
  <si>
    <t xml:space="preserve">300°/sec </t>
  </si>
  <si>
    <t xml:space="preserve">180°/sec </t>
  </si>
  <si>
    <t xml:space="preserve">240°/sec </t>
  </si>
  <si>
    <t>Kuhlman</t>
  </si>
  <si>
    <t xml:space="preserve">Elderly </t>
  </si>
  <si>
    <t>Dominace, All Subjects Right Handed</t>
  </si>
  <si>
    <t>Pitchers</t>
  </si>
  <si>
    <t>Non Dominant</t>
  </si>
  <si>
    <t>Compare the effect of 10-week dry-land vs. water-based resistance training on shoulder rotator strength, balance, and endurance in youth swimmers.</t>
  </si>
  <si>
    <t>Dry-land training was more effective than water-based training in improving ER/IR muscle balance and reducing ER fatigue.</t>
  </si>
  <si>
    <t>Water</t>
  </si>
  <si>
    <t>Land</t>
  </si>
  <si>
    <t>11 Pitchers, 7 Fielders</t>
  </si>
  <si>
    <t>Clements</t>
  </si>
  <si>
    <t>41.9 </t>
  </si>
  <si>
    <t>56.9 </t>
  </si>
  <si>
    <t>Relative</t>
  </si>
  <si>
    <t>Peak.TQBW _Ext.Rotation</t>
  </si>
  <si>
    <t>BW.Int.SD</t>
  </si>
  <si>
    <t>BW.EXT.SD</t>
  </si>
  <si>
    <t>Dodds</t>
  </si>
  <si>
    <t>CSMi</t>
  </si>
  <si>
    <t>18 NCAA Division II athletes</t>
  </si>
  <si>
    <t>Pitchers, infielders, outfielders</t>
  </si>
  <si>
    <t>Fielders</t>
  </si>
  <si>
    <t>Laudner</t>
  </si>
  <si>
    <t>Throwing Arm will be reffered to dominant hand. NCAA Division I baseball players. 13 pitchers, 17 position players</t>
  </si>
  <si>
    <t>ft-lb</t>
  </si>
  <si>
    <t>Patients</t>
  </si>
  <si>
    <t>Not Involved</t>
  </si>
  <si>
    <t>Scapular Plane</t>
  </si>
  <si>
    <t>Saccol</t>
  </si>
  <si>
    <r>
      <t xml:space="preserve">First study to describe </t>
    </r>
    <r>
      <rPr>
        <i/>
        <sz val="11"/>
        <color theme="1"/>
        <rFont val="Aptos Narrow"/>
        <family val="2"/>
        <scheme val="minor"/>
      </rPr>
      <t>functional ratios (ERecc/IRcon)</t>
    </r>
  </si>
  <si>
    <t>Boys</t>
  </si>
  <si>
    <t>Girls</t>
  </si>
  <si>
    <t>24/4</t>
  </si>
  <si>
    <t>Andrade</t>
  </si>
  <si>
    <t>,11</t>
  </si>
  <si>
    <t>,85</t>
  </si>
  <si>
    <t>,15</t>
  </si>
  <si>
    <t>P = 0.050 (Dominant &lt; Non-Dom)</t>
  </si>
  <si>
    <r>
      <t>Concentric strength exercises</t>
    </r>
    <r>
      <rPr>
        <sz val="11"/>
        <color theme="1"/>
        <rFont val="Aptos Narrow"/>
        <family val="2"/>
        <scheme val="minor"/>
      </rPr>
      <t xml:space="preserve"> for </t>
    </r>
    <r>
      <rPr>
        <b/>
        <sz val="11"/>
        <color theme="1"/>
        <rFont val="Aptos Narrow"/>
        <family val="2"/>
        <scheme val="minor"/>
      </rPr>
      <t>non-dominant side</t>
    </r>
    <r>
      <rPr>
        <sz val="11"/>
        <color theme="1"/>
        <rFont val="Aptos Narrow"/>
        <family val="2"/>
        <scheme val="minor"/>
      </rPr>
      <t>.</t>
    </r>
  </si>
  <si>
    <r>
      <t>Eccentric training for external rotators</t>
    </r>
    <r>
      <rPr>
        <sz val="11"/>
        <color theme="1"/>
        <rFont val="Aptos Narrow"/>
        <family val="2"/>
        <scheme val="minor"/>
      </rPr>
      <t xml:space="preserve"> in </t>
    </r>
    <r>
      <rPr>
        <b/>
        <sz val="11"/>
        <color theme="1"/>
        <rFont val="Aptos Narrow"/>
        <family val="2"/>
        <scheme val="minor"/>
      </rPr>
      <t>dominant shoulder</t>
    </r>
    <r>
      <rPr>
        <sz val="11"/>
        <color theme="1"/>
        <rFont val="Aptos Narrow"/>
        <family val="2"/>
        <scheme val="minor"/>
      </rPr>
      <t xml:space="preserve"> (rehab/prevention).</t>
    </r>
  </si>
  <si>
    <t>Batalha</t>
  </si>
  <si>
    <t>Swimmers</t>
  </si>
  <si>
    <r>
      <t xml:space="preserve">significantly higher </t>
    </r>
    <r>
      <rPr>
        <b/>
        <sz val="11"/>
        <color theme="1"/>
        <rFont val="Aptos Narrow"/>
        <family val="2"/>
        <scheme val="minor"/>
      </rPr>
      <t>internal rotation strength</t>
    </r>
    <r>
      <rPr>
        <sz val="11"/>
        <color theme="1"/>
        <rFont val="Aptos Narrow"/>
        <family val="2"/>
        <scheme val="minor"/>
      </rPr>
      <t xml:space="preserve"> in both limbs and at both speeds.</t>
    </r>
  </si>
  <si>
    <r>
      <t xml:space="preserve">ER/IR ratios were </t>
    </r>
    <r>
      <rPr>
        <b/>
        <sz val="11"/>
        <color theme="1"/>
        <rFont val="Aptos Narrow"/>
        <family val="2"/>
        <scheme val="minor"/>
      </rPr>
      <t>below 83%</t>
    </r>
    <r>
      <rPr>
        <sz val="11"/>
        <color theme="1"/>
        <rFont val="Aptos Narrow"/>
        <family val="2"/>
        <scheme val="minor"/>
      </rPr>
      <t xml:space="preserve"> at both velocities — suggesting mild imbalance (norm: ~66–75%).</t>
    </r>
  </si>
  <si>
    <t>Mulligan</t>
  </si>
  <si>
    <t>Did not record Non Dominant Limb</t>
  </si>
  <si>
    <t>10 left-hand, 10 right-hand dominant</t>
  </si>
  <si>
    <t>Pre</t>
  </si>
  <si>
    <t>Post</t>
  </si>
  <si>
    <t>Dale</t>
  </si>
  <si>
    <t xml:space="preserve">90°/sec </t>
  </si>
  <si>
    <t xml:space="preserve">120°/sec </t>
  </si>
  <si>
    <r>
      <t xml:space="preserve">210 °/sec </t>
    </r>
    <r>
      <rPr>
        <sz val="11"/>
        <color rgb="FF000000"/>
        <rFont val="Aptos Narrow"/>
        <family val="2"/>
        <scheme val="minor"/>
      </rPr>
      <t xml:space="preserve">  </t>
    </r>
  </si>
  <si>
    <t>Gonosova</t>
  </si>
  <si>
    <t>Payne</t>
  </si>
  <si>
    <t>Ordway</t>
  </si>
  <si>
    <t>Dorsal Flexion, Peak Torque</t>
  </si>
  <si>
    <t>SD</t>
  </si>
  <si>
    <t>Eversion, Peak Torque</t>
  </si>
  <si>
    <t>Inversion, Peak Torque</t>
  </si>
  <si>
    <t>Plantar Flexion, Peak Torque</t>
  </si>
  <si>
    <t>Dorsi Flexion Pk Torque/BW</t>
  </si>
  <si>
    <t>Plantar Flexion (Joule)</t>
  </si>
  <si>
    <t>Ratio</t>
  </si>
  <si>
    <t>Wang</t>
  </si>
  <si>
    <t>Kin-Com AP</t>
  </si>
  <si>
    <t>Newtons</t>
  </si>
  <si>
    <t>Whole Numbers, take out decimal places</t>
  </si>
  <si>
    <t>Isomed 2000</t>
  </si>
  <si>
    <t>Non Domiannt</t>
  </si>
  <si>
    <t>Dorsiflexion Work (Joule)</t>
  </si>
  <si>
    <t>Primary Units</t>
  </si>
  <si>
    <t>Kai</t>
  </si>
  <si>
    <t>Track</t>
  </si>
  <si>
    <t>Sprinters</t>
  </si>
  <si>
    <r>
      <t>Right leg only</t>
    </r>
    <r>
      <rPr>
        <sz val="11"/>
        <color theme="1"/>
        <rFont val="Aptos Narrow"/>
        <family val="2"/>
        <scheme val="minor"/>
      </rPr>
      <t xml:space="preserve"> was assessed; left leg values not reported.</t>
    </r>
  </si>
  <si>
    <t>PF.SD</t>
  </si>
  <si>
    <t>IV.SD</t>
  </si>
  <si>
    <t>EV.SD</t>
  </si>
  <si>
    <t>DF.BW.SD</t>
  </si>
  <si>
    <t>Fl.BW.SD</t>
  </si>
  <si>
    <t>Power Eve (Watt)2</t>
  </si>
  <si>
    <t>Power DF (Watt)</t>
  </si>
  <si>
    <t>P.DF.SD</t>
  </si>
  <si>
    <t>Power PF (Watt)</t>
  </si>
  <si>
    <t>P.PF.SD</t>
  </si>
  <si>
    <t>P.E.SD</t>
  </si>
  <si>
    <t>P.INV.SD</t>
  </si>
  <si>
    <t>DF.W.SD</t>
  </si>
  <si>
    <t>PF.W.SD</t>
  </si>
  <si>
    <t>Row Labels</t>
  </si>
  <si>
    <t>Grand Total</t>
  </si>
  <si>
    <t>(All)</t>
  </si>
  <si>
    <t>Average of External Rotation</t>
  </si>
  <si>
    <t>Average of Internal Rotation</t>
  </si>
  <si>
    <t>Average of Flexion</t>
  </si>
  <si>
    <t>Average of Extension</t>
  </si>
  <si>
    <t>Values</t>
  </si>
  <si>
    <t>Baseball Total</t>
  </si>
  <si>
    <t>Gen Pop Total</t>
  </si>
  <si>
    <t>Handball Total</t>
  </si>
  <si>
    <t>Swimming Total</t>
  </si>
  <si>
    <t>Tennis Total</t>
  </si>
  <si>
    <t>No averages ages for position</t>
  </si>
  <si>
    <t>Tatlıcıoğlu</t>
  </si>
  <si>
    <t>No significant correlation between isokinetic knee strength</t>
  </si>
  <si>
    <t>Humac</t>
  </si>
  <si>
    <t>Song</t>
  </si>
  <si>
    <t>CSMI</t>
  </si>
  <si>
    <t>Inversion PkTorque/BW</t>
  </si>
  <si>
    <t>SD2</t>
  </si>
  <si>
    <t>SD3</t>
  </si>
  <si>
    <t>Eversion PkTorque/BW</t>
  </si>
  <si>
    <t>Korean League, 12 Guards, 11 Forwards, 2 Centers, Guards showed greater inversion strength than forwards at higher velocity (150°/s).</t>
  </si>
  <si>
    <t>240°/sec</t>
  </si>
  <si>
    <t>300°/sec</t>
  </si>
  <si>
    <t>Notes For Users</t>
  </si>
  <si>
    <t>How to Use Features</t>
  </si>
  <si>
    <t>Slicers</t>
  </si>
  <si>
    <t>Shortcuts</t>
  </si>
  <si>
    <t>Alt → C</t>
  </si>
  <si>
    <t>Clear slicer filter</t>
  </si>
  <si>
    <t>How to Use The Interactive Charts</t>
  </si>
  <si>
    <t>How to Use Search Bar</t>
  </si>
  <si>
    <t>Different Conversions</t>
  </si>
  <si>
    <t>How to Add Your Own Items</t>
  </si>
  <si>
    <t>What would you expect for female soccer peak torque</t>
  </si>
  <si>
    <t>give people questions for what they should figure out</t>
  </si>
  <si>
    <t>Look for UI Complications</t>
  </si>
  <si>
    <t>Notes:</t>
  </si>
  <si>
    <t>Sample Size</t>
  </si>
  <si>
    <t>Y Axis (Units of Measure)</t>
  </si>
  <si>
    <t>(Sources, Sports, Articles)</t>
  </si>
  <si>
    <t>Ankle Table</t>
  </si>
  <si>
    <t>13,7</t>
  </si>
  <si>
    <t>Not broken down by playing position (general team-level sample)</t>
  </si>
  <si>
    <t>Bodiex</t>
  </si>
  <si>
    <t>Average of Plantar Flexion, Peak Torque</t>
  </si>
  <si>
    <t>Average of Inversion, Peak Torque</t>
  </si>
  <si>
    <t>Average of Eversion, Peak Torque</t>
  </si>
  <si>
    <t>Average of Dorsal Flexion, Peak Torque</t>
  </si>
  <si>
    <t>Pre-Test Only, Dominant limb consistently showed more reliable results.</t>
  </si>
  <si>
    <t>Karate</t>
  </si>
  <si>
    <t>Judo</t>
  </si>
  <si>
    <t>Boxing</t>
  </si>
  <si>
    <t>Taekwondo</t>
  </si>
  <si>
    <t>El-Ashker</t>
  </si>
  <si>
    <t>All had 4-5 Years of Experience</t>
  </si>
  <si>
    <t>Karate Total</t>
  </si>
  <si>
    <t>Judo Total</t>
  </si>
  <si>
    <t>Boxing Total</t>
  </si>
  <si>
    <t>Taekwondo Total</t>
  </si>
  <si>
    <t>Volleyball Total</t>
  </si>
  <si>
    <t>Silva</t>
  </si>
  <si>
    <t>No Age Specific, Grouped of Defenders (n=6), Midfielders (n=7), Forwards (n=8)</t>
  </si>
  <si>
    <t>S.Defense</t>
  </si>
  <si>
    <t>S.Midfield</t>
  </si>
  <si>
    <t>S.Forwarders</t>
  </si>
  <si>
    <t>volleyball is expiremental group in article</t>
  </si>
  <si>
    <t>control in article</t>
  </si>
  <si>
    <t>TechnoGym Rev 9000</t>
  </si>
  <si>
    <t>Wilk</t>
  </si>
  <si>
    <t>S.Goalkeeper</t>
  </si>
  <si>
    <t>S.Striker</t>
  </si>
  <si>
    <t>H/Q ratios falling within the generally accepted injury-risk threshold ranges, suggesting balanced hamstring-to-quadriceps function in U15 soccer players.</t>
  </si>
  <si>
    <t>Sekir</t>
  </si>
  <si>
    <t>Injured</t>
  </si>
  <si>
    <t>Concentric, 3 × 15 reps at 120°·s⁻¹,</t>
  </si>
  <si>
    <t>Injured, Pre</t>
  </si>
  <si>
    <t>Healthy, Pre</t>
  </si>
  <si>
    <t>Injured, Post</t>
  </si>
  <si>
    <t>Healthy, Post</t>
  </si>
  <si>
    <t>Gerodimos</t>
  </si>
  <si>
    <t>U12–U17 basketball players, plantarflexor torque was 2–4× higher than dorsiflexor torque</t>
  </si>
  <si>
    <t>UnInjured</t>
  </si>
  <si>
    <t>Eldery</t>
  </si>
  <si>
    <t>Men</t>
  </si>
  <si>
    <t>Women</t>
  </si>
  <si>
    <t>Both plantarflexion and dorsiflexion PT decreased as velocity increased (30°·s⁻¹ &gt; 120°·s⁻¹).</t>
  </si>
  <si>
    <t>71..94</t>
  </si>
  <si>
    <t>Only  Dominant Limb</t>
  </si>
  <si>
    <t>Unit Conversions</t>
  </si>
  <si>
    <t>Every article is always different, and at times literature will use different units for their own interest or because of machines.</t>
  </si>
  <si>
    <t>Average of Ext Pk Torque/BW</t>
  </si>
  <si>
    <t>Average of Flex Pk Torque/BW</t>
  </si>
  <si>
    <r>
      <t xml:space="preserve">30 °/sec </t>
    </r>
    <r>
      <rPr>
        <sz val="11"/>
        <color rgb="FF000000"/>
        <rFont val="Aptos Narrow"/>
        <family val="2"/>
        <scheme val="minor"/>
      </rPr>
      <t xml:space="preserve">  </t>
    </r>
  </si>
  <si>
    <t xml:space="preserve">60°/sec </t>
  </si>
  <si>
    <r>
      <t xml:space="preserve">120°/sec </t>
    </r>
    <r>
      <rPr>
        <sz val="11"/>
        <color rgb="FF000000"/>
        <rFont val="Aptos Narrow"/>
        <family val="2"/>
        <scheme val="minor"/>
      </rPr>
      <t xml:space="preserve">  </t>
    </r>
  </si>
  <si>
    <t xml:space="preserve">150°/sec </t>
  </si>
  <si>
    <t>Shift + Click start and end of range</t>
  </si>
  <si>
    <t>Insert Slicer</t>
  </si>
  <si>
    <t>Ribbon (Insert / PivotTable Analyze) or right-click field → Add as Slicer</t>
  </si>
  <si>
    <t>Highlights multiple options in a filter</t>
  </si>
  <si>
    <t>Ctrl + Drag slicer</t>
  </si>
  <si>
    <t>Duplicates a slicer (creates a copy)</t>
  </si>
  <si>
    <t xml:space="preserve">Ctrl + Click slicer options </t>
  </si>
  <si>
    <t>Pick multiple</t>
  </si>
  <si>
    <t>Ctrl + Z</t>
  </si>
  <si>
    <t>undo any slicer action (just like any other Excel action).</t>
  </si>
  <si>
    <t>Open Chart Tools (Design/Format tabs)</t>
  </si>
  <si>
    <t>Alt + J, C</t>
  </si>
  <si>
    <t>Action</t>
  </si>
  <si>
    <t>Open Field Settings</t>
  </si>
  <si>
    <t>Alt + J, T, S</t>
  </si>
  <si>
    <t>Alt + J, C, A</t>
  </si>
  <si>
    <t>Add chart element</t>
  </si>
  <si>
    <t>Pivot Charts</t>
  </si>
  <si>
    <t>Show/Hide Field List</t>
  </si>
  <si>
    <t>Alt + J, T, F</t>
  </si>
  <si>
    <t>The search bar can only reference data that is visible in the workbook.</t>
  </si>
  <si>
    <t>If a chart is linked to hidden rows/columns, the search bar won’t pull in those values.</t>
  </si>
  <si>
    <r>
      <rPr>
        <b/>
        <sz val="11"/>
        <color theme="1"/>
        <rFont val="Aptos Narrow"/>
        <family val="2"/>
        <scheme val="minor"/>
      </rPr>
      <t>To extend functionality:</t>
    </r>
    <r>
      <rPr>
        <sz val="11"/>
        <color theme="1"/>
        <rFont val="Aptos Narrow"/>
        <family val="2"/>
        <scheme val="minor"/>
      </rPr>
      <t xml:space="preserve">
1. Unhide the cells feeding the chart so the search bar can read them.
2. Add extra cells (data placeholders or expanded ranges) if you expect to grow the dataset.                                                                                                                                       3. Save the workbook to lock in the updated references so the search bar continues working properly.</t>
    </r>
  </si>
  <si>
    <t>Watch A Video</t>
  </si>
  <si>
    <t>Adding Articles</t>
  </si>
  <si>
    <t>Every article is different, and literature may use different units depending on the author’s preference or the measurement machines used.</t>
  </si>
  <si>
    <t xml:space="preserve">Most of these articles were using Newton Meters(Nm) for Peak Torque  </t>
  </si>
  <si>
    <r>
      <rPr>
        <b/>
        <u/>
        <sz val="13.5"/>
        <color theme="1"/>
        <rFont val="Aptos Narrow"/>
        <family val="2"/>
        <scheme val="minor"/>
      </rPr>
      <t>Correct Conversion Factors</t>
    </r>
    <r>
      <rPr>
        <b/>
        <sz val="13.5"/>
        <color theme="1"/>
        <rFont val="Aptos Narrow"/>
        <family val="2"/>
        <scheme val="minor"/>
      </rPr>
      <t xml:space="preserve">
1 ft·lb = 1.3558 Nm
1 Nm = 0.7376 ft·lb
1 lb = 0.4536 kg</t>
    </r>
  </si>
  <si>
    <t>A frequent mistake when converting force-to-bodyweight ratios (Force/BW) is:
People convert ft·lb → Nm (torque) correctly,
But forget to also convert bodyweight from pounds → kilograms (or vice versa).</t>
  </si>
  <si>
    <t>Average of Extension Peak Force</t>
  </si>
  <si>
    <t>Average of Flexion Peak Force</t>
  </si>
  <si>
    <t>Average of Peak.TQBW _Ext.Rotation</t>
  </si>
  <si>
    <t>Peak.TQBW _Int.Rotation</t>
  </si>
  <si>
    <t>Housh</t>
  </si>
  <si>
    <t>Guards had significantly stronger normalized inversion torque than forwards at high speed (150°·s⁻¹).</t>
  </si>
  <si>
    <t>Provides reference values for ankle inversion/eversion in pro basketball; useful in rehab and RTP decisions.</t>
  </si>
  <si>
    <t>Average of Dorsi Flexion Pk Torque/BW</t>
  </si>
  <si>
    <t>Average of Inversion PkTorque/BW</t>
  </si>
  <si>
    <t>Average of Eversion PkTorque/BW</t>
  </si>
  <si>
    <t>23`</t>
  </si>
  <si>
    <t>My recommendation is using Chatgpt to give you the information for what Headers you want to fill</t>
  </si>
  <si>
    <t>Copy and Paste Data from ChatGPT to desired Limb Data</t>
  </si>
  <si>
    <t>You can HyperLink Articles by right clicking on the author and then copy and pasting the link</t>
  </si>
  <si>
    <t>F.Punters</t>
  </si>
  <si>
    <t>F.Defensive Back</t>
  </si>
  <si>
    <t>F.Linebackers</t>
  </si>
  <si>
    <t>F.Offensive Line</t>
  </si>
  <si>
    <t>F.Quarterbacks</t>
  </si>
  <si>
    <t>F.Running Backs</t>
  </si>
  <si>
    <t>F.Tight ends</t>
  </si>
  <si>
    <t>F.Wide Recievers</t>
  </si>
  <si>
    <t>F.Offensive Back</t>
  </si>
  <si>
    <t>F.Defensive Line</t>
  </si>
  <si>
    <t>Relative Units</t>
  </si>
  <si>
    <t>Absolute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</si>
</sst>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3" formatCode="_(* #,##0.00_);_(* \(#,##0.00\);_(* &quot;-&quot;??_);_(@_)"/>
  </numFmts>
  <fonts count="56" x14ac:knownFonts="1">
    <font>
      <sz val="11"/>
      <color theme="1"/>
      <name val="Aptos Narrow"/>
      <family val="2"/>
      <scheme val="minor"/>
    </font>
    <font>
      <b/>
      <sz val="11"/>
      <color theme="0"/>
      <name val="Aptos Narrow"/>
      <family val="2"/>
      <scheme val="minor"/>
    </font>
    <font>
      <b/>
      <sz val="11"/>
      <color theme="1"/>
      <name val="Aptos Narrow"/>
      <family val="2"/>
      <scheme val="minor"/>
    </font>
    <font>
      <b/>
      <sz val="16"/>
      <color theme="1"/>
      <name val="Aptos Narrow"/>
      <family val="2"/>
      <scheme val="minor"/>
    </font>
    <font>
      <b/>
      <sz val="18"/>
      <color theme="1"/>
      <name val="Aptos Narrow"/>
      <family val="2"/>
      <scheme val="minor"/>
    </font>
    <font>
      <b/>
      <u/>
      <sz val="11"/>
      <color theme="1"/>
      <name val="Aptos Narrow"/>
      <family val="2"/>
      <scheme val="minor"/>
    </font>
    <font>
      <sz val="18"/>
      <color theme="1"/>
      <name val="Aptos Narrow"/>
      <family val="2"/>
      <scheme val="minor"/>
    </font>
    <font>
      <b/>
      <sz val="10"/>
      <color theme="0"/>
      <name val="Aptos Narrow"/>
      <family val="2"/>
      <scheme val="minor"/>
    </font>
    <font>
      <sz val="10"/>
      <color theme="1"/>
      <name val="Aptos Narrow"/>
      <family val="2"/>
      <scheme val="minor"/>
    </font>
    <font>
      <sz val="12"/>
      <color theme="1"/>
      <name val="Aptos Narrow"/>
      <family val="2"/>
      <scheme val="minor"/>
    </font>
    <font>
      <b/>
      <sz val="10"/>
      <color theme="1"/>
      <name val="Aptos Narrow"/>
      <family val="2"/>
      <scheme val="minor"/>
    </font>
    <font>
      <b/>
      <u/>
      <sz val="18"/>
      <color rgb="FF002060"/>
      <name val="Aptos Narrow"/>
      <family val="2"/>
      <scheme val="minor"/>
    </font>
    <font>
      <u/>
      <sz val="11"/>
      <color theme="1"/>
      <name val="Aptos Narrow"/>
      <family val="2"/>
      <scheme val="minor"/>
    </font>
    <font>
      <u/>
      <sz val="11"/>
      <color theme="10"/>
      <name val="Aptos Narrow"/>
      <family val="2"/>
      <scheme val="minor"/>
    </font>
    <font>
      <sz val="11"/>
      <color theme="1"/>
      <name val="Aptos Narrow"/>
      <family val="2"/>
      <scheme val="minor"/>
    </font>
    <font>
      <sz val="8"/>
      <name val="Aptos Narrow"/>
      <family val="2"/>
      <scheme val="minor"/>
    </font>
    <font>
      <sz val="12"/>
      <color rgb="FF1F1F1F"/>
      <name val="Georgia"/>
      <family val="1"/>
    </font>
    <font>
      <sz val="11"/>
      <color rgb="FF1F1F1F"/>
      <name val="Georgia"/>
      <family val="1"/>
    </font>
    <font>
      <b/>
      <u/>
      <sz val="18"/>
      <color theme="1"/>
      <name val="Aptos Narrow"/>
      <family val="2"/>
      <scheme val="minor"/>
    </font>
    <font>
      <sz val="11"/>
      <color theme="1"/>
      <name val="Aptos"/>
      <family val="2"/>
    </font>
    <font>
      <sz val="10"/>
      <color rgb="FF1B1B1B"/>
      <name val="Cambria"/>
      <family val="1"/>
    </font>
    <font>
      <u/>
      <sz val="10"/>
      <color theme="10"/>
      <name val="Aptos Narrow"/>
      <family val="2"/>
      <scheme val="minor"/>
    </font>
    <font>
      <b/>
      <u/>
      <sz val="14"/>
      <color theme="1"/>
      <name val="Aptos Narrow"/>
      <family val="2"/>
      <scheme val="minor"/>
    </font>
    <font>
      <sz val="20"/>
      <color theme="1"/>
      <name val="Aptos Narrow"/>
      <family val="2"/>
      <scheme val="minor"/>
    </font>
    <font>
      <b/>
      <sz val="11"/>
      <color rgb="FF000000"/>
      <name val="Aptos Narrow"/>
      <family val="2"/>
      <scheme val="minor"/>
    </font>
    <font>
      <sz val="11"/>
      <color rgb="FF000000"/>
      <name val="Aptos Narrow"/>
      <family val="2"/>
      <scheme val="minor"/>
    </font>
    <font>
      <b/>
      <u/>
      <sz val="12"/>
      <color theme="1"/>
      <name val="Aptos Narrow"/>
      <family val="2"/>
      <scheme val="minor"/>
    </font>
    <font>
      <sz val="11"/>
      <color theme="0"/>
      <name val="Aptos Narrow"/>
      <family val="2"/>
      <scheme val="minor"/>
    </font>
    <font>
      <sz val="13"/>
      <color rgb="FF1B1B1B"/>
      <name val="Cambria"/>
      <family val="1"/>
    </font>
    <font>
      <sz val="10"/>
      <color rgb="FF1B1B1B"/>
      <name val="Aptos Narrow"/>
      <family val="2"/>
      <scheme val="minor"/>
    </font>
    <font>
      <sz val="8"/>
      <color rgb="FF333333"/>
      <name val="Fira Sans"/>
      <family val="2"/>
    </font>
    <font>
      <i/>
      <sz val="11"/>
      <color theme="1"/>
      <name val="Aptos Narrow"/>
      <family val="2"/>
      <scheme val="minor"/>
    </font>
    <font>
      <sz val="11"/>
      <color theme="5" tint="0.59999389629810485"/>
      <name val="Aptos Narrow"/>
      <family val="2"/>
      <scheme val="minor"/>
    </font>
    <font>
      <sz val="9"/>
      <color rgb="FF222222"/>
      <name val="Arial"/>
      <family val="2"/>
    </font>
    <font>
      <sz val="9"/>
      <color theme="1"/>
      <name val="Times New Roman"/>
      <family val="1"/>
    </font>
    <font>
      <b/>
      <u/>
      <sz val="10"/>
      <color theme="1"/>
      <name val="Aptos Narrow"/>
      <family val="2"/>
      <scheme val="minor"/>
    </font>
    <font>
      <b/>
      <u/>
      <sz val="16"/>
      <color theme="1"/>
      <name val="Aptos Narrow"/>
      <family val="2"/>
      <scheme val="minor"/>
    </font>
    <font>
      <b/>
      <u/>
      <sz val="20"/>
      <color theme="1"/>
      <name val="Aptos Narrow"/>
      <family val="2"/>
      <scheme val="minor"/>
    </font>
    <font>
      <b/>
      <sz val="12"/>
      <color theme="1"/>
      <name val="Aptos Narrow"/>
      <family val="2"/>
      <scheme val="minor"/>
    </font>
    <font>
      <sz val="22"/>
      <color theme="1"/>
      <name val="Aptos Narrow"/>
      <family val="2"/>
      <scheme val="minor"/>
    </font>
    <font>
      <b/>
      <u/>
      <sz val="22"/>
      <color theme="1"/>
      <name val="Aptos Narrow"/>
      <family val="2"/>
      <scheme val="minor"/>
    </font>
    <font>
      <sz val="11"/>
      <color theme="1" tint="0.249977111117893"/>
      <name val="Aptos Narrow"/>
      <family val="2"/>
      <scheme val="minor"/>
    </font>
    <font>
      <u/>
      <sz val="12"/>
      <color theme="1"/>
      <name val="Aptos Narrow"/>
      <family val="2"/>
      <scheme val="minor"/>
    </font>
    <font>
      <b/>
      <sz val="10"/>
      <color theme="7" tint="-0.499984740745262"/>
      <name val="Aptos Narrow"/>
      <family val="2"/>
      <scheme val="minor"/>
    </font>
    <font>
      <u/>
      <sz val="11"/>
      <color theme="4"/>
      <name val="Aptos Narrow"/>
      <family val="2"/>
      <scheme val="minor"/>
    </font>
    <font>
      <u/>
      <sz val="10"/>
      <color theme="4"/>
      <name val="Aptos Narrow"/>
      <family val="2"/>
      <scheme val="minor"/>
    </font>
    <font>
      <b/>
      <u/>
      <sz val="18"/>
      <color theme="1"/>
      <name val="Abadi"/>
      <family val="2"/>
    </font>
    <font>
      <b/>
      <u/>
      <sz val="22"/>
      <color theme="1"/>
      <name val="Abadi"/>
      <family val="2"/>
    </font>
    <font>
      <sz val="22"/>
      <color theme="1"/>
      <name val="Abadi"/>
      <family val="2"/>
    </font>
    <font>
      <b/>
      <sz val="14"/>
      <color theme="1"/>
      <name val="Abadi"/>
      <family val="2"/>
    </font>
    <font>
      <sz val="14"/>
      <color theme="1"/>
      <name val="Abadi"/>
      <family val="2"/>
    </font>
    <font>
      <b/>
      <sz val="13.5"/>
      <color theme="1"/>
      <name val="Aptos Narrow"/>
      <family val="2"/>
      <scheme val="minor"/>
    </font>
    <font>
      <b/>
      <u/>
      <sz val="13.5"/>
      <color theme="1"/>
      <name val="Aptos Narrow"/>
      <family val="2"/>
      <scheme val="minor"/>
    </font>
    <font>
      <sz val="12"/>
      <color theme="1"/>
      <name val="Abadi"/>
      <family val="2"/>
    </font>
    <font>
      <sz val="11"/>
      <color theme="4"/>
      <name val="Aptos Narrow"/>
      <family val="2"/>
      <scheme val="minor"/>
    </font>
    <font>
      <sz val="11"/>
      <color theme="5" tint="0.39997558519241921"/>
      <name val="Aptos Narrow"/>
      <family val="2"/>
      <scheme val="minor"/>
    </font>
  </fonts>
  <fills count="28">
    <fill>
      <patternFill patternType="none"/>
    </fill>
    <fill>
      <patternFill patternType="gray125"/>
    </fill>
    <fill>
      <patternFill patternType="solid">
        <fgColor theme="0" tint="-0.34998626667073579"/>
        <bgColor indexed="64"/>
      </patternFill>
    </fill>
    <fill>
      <patternFill patternType="solid">
        <fgColor theme="3" tint="0.749992370372631"/>
        <bgColor indexed="64"/>
      </patternFill>
    </fill>
    <fill>
      <patternFill patternType="solid">
        <fgColor theme="0"/>
        <bgColor indexed="64"/>
      </patternFill>
    </fill>
    <fill>
      <patternFill patternType="solid">
        <fgColor theme="4"/>
        <bgColor theme="4"/>
      </patternFill>
    </fill>
    <fill>
      <patternFill patternType="solid">
        <fgColor theme="0" tint="-0.34998626667073579"/>
        <bgColor theme="4"/>
      </patternFill>
    </fill>
    <fill>
      <patternFill patternType="solid">
        <fgColor theme="4"/>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59999389629810485"/>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249977111117893"/>
        <bgColor theme="4"/>
      </patternFill>
    </fill>
    <fill>
      <patternFill patternType="solid">
        <fgColor theme="4" tint="-0.249977111117893"/>
        <bgColor theme="6"/>
      </patternFill>
    </fill>
    <fill>
      <patternFill patternType="solid">
        <fgColor theme="4" tint="0.79998168889431442"/>
        <bgColor indexed="64"/>
      </patternFill>
    </fill>
    <fill>
      <patternFill patternType="solid">
        <fgColor theme="4" tint="0.79998168889431442"/>
        <bgColor theme="4"/>
      </patternFill>
    </fill>
    <fill>
      <patternFill patternType="solid">
        <fgColor theme="9" tint="0.59999389629810485"/>
        <bgColor indexed="64"/>
      </patternFill>
    </fill>
    <fill>
      <patternFill patternType="solid">
        <fgColor theme="1"/>
        <bgColor indexed="64"/>
      </patternFill>
    </fill>
    <fill>
      <patternFill patternType="solid">
        <fgColor theme="5" tint="0.39997558519241921"/>
        <bgColor theme="4"/>
      </patternFill>
    </fill>
    <fill>
      <patternFill patternType="solid">
        <fgColor theme="1" tint="4.9989318521683403E-2"/>
        <bgColor indexed="64"/>
      </patternFill>
    </fill>
    <fill>
      <patternFill patternType="solid">
        <fgColor theme="1"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4" tint="-0.499984740745262"/>
        <bgColor indexed="64"/>
      </patternFill>
    </fill>
    <fill>
      <patternFill patternType="solid">
        <fgColor theme="2" tint="-9.9978637043366805E-2"/>
        <bgColor indexed="64"/>
      </patternFill>
    </fill>
  </fills>
  <borders count="46">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6" tint="0.39997558519241921"/>
      </bottom>
      <diagonal/>
    </border>
    <border>
      <left/>
      <right style="thin">
        <color theme="6" tint="0.39997558519241921"/>
      </right>
      <top/>
      <bottom style="thin">
        <color theme="6" tint="0.3999755851924192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thick">
        <color auto="1"/>
      </right>
      <top/>
      <bottom/>
      <diagonal/>
    </border>
    <border>
      <left/>
      <right style="thick">
        <color auto="1"/>
      </right>
      <top style="thin">
        <color theme="4" tint="0.39997558519241921"/>
      </top>
      <bottom style="thin">
        <color theme="4" tint="0.39997558519241921"/>
      </bottom>
      <diagonal/>
    </border>
    <border>
      <left style="thin">
        <color auto="1"/>
      </left>
      <right/>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3">
    <xf numFmtId="0" fontId="0" fillId="0" borderId="0"/>
    <xf numFmtId="0" fontId="13" fillId="0" borderId="0" applyNumberFormat="0" applyFill="0" applyBorder="0" applyAlignment="0" applyProtection="0"/>
    <xf numFmtId="43" fontId="14" fillId="0" borderId="0" applyFont="0" applyFill="0" applyBorder="0" applyAlignment="0" applyProtection="0"/>
  </cellStyleXfs>
  <cellXfs count="372">
    <xf numFmtId="0" fontId="0" fillId="0" borderId="0" xfId="0"/>
    <xf numFmtId="0" fontId="3" fillId="2" borderId="0" xfId="0" applyFont="1" applyFill="1"/>
    <xf numFmtId="0" fontId="0" fillId="2" borderId="0" xfId="0" applyFill="1"/>
    <xf numFmtId="0" fontId="7" fillId="5" borderId="1" xfId="0" applyFont="1" applyFill="1" applyBorder="1" applyAlignment="1">
      <alignment horizontal="left" vertical="top" wrapText="1"/>
    </xf>
    <xf numFmtId="0" fontId="0" fillId="2" borderId="0" xfId="0" applyFill="1" applyAlignment="1">
      <alignment horizontal="left" vertical="top" wrapText="1"/>
    </xf>
    <xf numFmtId="0" fontId="9" fillId="2" borderId="0" xfId="0" applyFont="1" applyFill="1" applyAlignment="1">
      <alignment horizontal="left" vertical="top" wrapText="1"/>
    </xf>
    <xf numFmtId="0" fontId="7" fillId="5" borderId="2" xfId="0" applyFont="1" applyFill="1" applyBorder="1" applyAlignment="1">
      <alignment horizontal="left" vertical="top" wrapText="1"/>
    </xf>
    <xf numFmtId="0" fontId="8" fillId="2" borderId="0" xfId="0" applyFont="1" applyFill="1" applyAlignment="1">
      <alignment horizontal="left" vertical="top" wrapText="1"/>
    </xf>
    <xf numFmtId="0" fontId="7" fillId="6" borderId="0" xfId="0" applyFont="1" applyFill="1" applyAlignment="1">
      <alignment horizontal="left" vertical="top" wrapText="1"/>
    </xf>
    <xf numFmtId="0" fontId="7" fillId="0" borderId="0" xfId="0" applyFont="1" applyAlignment="1">
      <alignment horizontal="left" vertical="top" wrapText="1"/>
    </xf>
    <xf numFmtId="0" fontId="11" fillId="2" borderId="0" xfId="0" applyFont="1" applyFill="1"/>
    <xf numFmtId="0" fontId="12" fillId="2" borderId="0" xfId="0" applyFont="1" applyFill="1"/>
    <xf numFmtId="0" fontId="5" fillId="2" borderId="0" xfId="0" applyFont="1" applyFill="1" applyAlignment="1">
      <alignment horizontal="center"/>
    </xf>
    <xf numFmtId="0" fontId="0" fillId="2" borderId="0" xfId="0" applyFill="1" applyAlignment="1">
      <alignment horizontal="right" vertical="top" wrapText="1"/>
    </xf>
    <xf numFmtId="0" fontId="8" fillId="2" borderId="0" xfId="0" applyFont="1" applyFill="1" applyAlignment="1">
      <alignment horizontal="right" vertical="top" wrapText="1"/>
    </xf>
    <xf numFmtId="0" fontId="1" fillId="7" borderId="0" xfId="0" applyFont="1" applyFill="1" applyAlignment="1">
      <alignment horizontal="left" vertical="top" wrapText="1"/>
    </xf>
    <xf numFmtId="0" fontId="2" fillId="2" borderId="0" xfId="0" applyFont="1" applyFill="1" applyAlignment="1">
      <alignment horizontal="right"/>
    </xf>
    <xf numFmtId="0" fontId="0" fillId="0" borderId="0" xfId="0" applyAlignment="1">
      <alignment horizontal="left" vertical="top"/>
    </xf>
    <xf numFmtId="0" fontId="13" fillId="0" borderId="0" xfId="1" applyAlignment="1">
      <alignment horizontal="left" vertical="top"/>
    </xf>
    <xf numFmtId="0" fontId="0" fillId="0" borderId="1" xfId="0" applyBorder="1" applyAlignment="1">
      <alignment horizontal="left" vertical="top"/>
    </xf>
    <xf numFmtId="0" fontId="0" fillId="0" borderId="0" xfId="0" applyAlignment="1">
      <alignment wrapText="1"/>
    </xf>
    <xf numFmtId="0" fontId="13" fillId="0" borderId="1" xfId="1" applyBorder="1"/>
    <xf numFmtId="0" fontId="13" fillId="0" borderId="1" xfId="1" applyBorder="1" applyAlignment="1">
      <alignment horizontal="left" vertical="top"/>
    </xf>
    <xf numFmtId="0" fontId="0" fillId="0" borderId="0" xfId="0" applyAlignment="1">
      <alignment horizontal="left" vertical="center" indent="1"/>
    </xf>
    <xf numFmtId="0" fontId="0" fillId="0" borderId="0" xfId="0" applyAlignment="1">
      <alignment horizontal="left" vertical="center" indent="2"/>
    </xf>
    <xf numFmtId="0" fontId="0" fillId="0" borderId="0" xfId="0" applyAlignment="1">
      <alignment vertical="center" wrapText="1"/>
    </xf>
    <xf numFmtId="0" fontId="7" fillId="2" borderId="0" xfId="0" applyFont="1" applyFill="1" applyAlignment="1">
      <alignment horizontal="left" vertical="top" wrapText="1"/>
    </xf>
    <xf numFmtId="0" fontId="0" fillId="10" borderId="0" xfId="0" applyFill="1"/>
    <xf numFmtId="0" fontId="19" fillId="4" borderId="0" xfId="0" applyFont="1" applyFill="1" applyAlignment="1">
      <alignment horizontal="left" vertical="top"/>
    </xf>
    <xf numFmtId="0" fontId="19" fillId="4" borderId="0" xfId="0" applyFont="1" applyFill="1" applyAlignment="1">
      <alignment horizontal="left" vertical="top" wrapText="1"/>
    </xf>
    <xf numFmtId="0" fontId="0" fillId="11" borderId="0" xfId="0" applyFill="1"/>
    <xf numFmtId="0" fontId="1" fillId="0" borderId="2" xfId="0" applyFont="1" applyBorder="1" applyAlignment="1">
      <alignment horizontal="left" vertical="top" wrapText="1"/>
    </xf>
    <xf numFmtId="0" fontId="7" fillId="0" borderId="2" xfId="0" applyFont="1" applyBorder="1" applyAlignment="1">
      <alignment horizontal="left" vertical="top" wrapText="1"/>
    </xf>
    <xf numFmtId="0" fontId="7" fillId="0" borderId="1" xfId="0" applyFont="1" applyBorder="1" applyAlignment="1">
      <alignment horizontal="left" vertical="top" wrapText="1"/>
    </xf>
    <xf numFmtId="0" fontId="0" fillId="0" borderId="0" xfId="0" applyAlignment="1">
      <alignment horizontal="left" vertical="center" wrapText="1"/>
    </xf>
    <xf numFmtId="0" fontId="8" fillId="0" borderId="0" xfId="0" applyFont="1" applyAlignment="1">
      <alignment horizontal="left" vertical="center" wrapText="1"/>
    </xf>
    <xf numFmtId="0" fontId="22" fillId="2" borderId="0" xfId="0" applyFont="1" applyFill="1" applyAlignment="1">
      <alignment horizontal="center"/>
    </xf>
    <xf numFmtId="0" fontId="24" fillId="2" borderId="0" xfId="0" applyFont="1" applyFill="1"/>
    <xf numFmtId="0" fontId="24" fillId="2" borderId="0" xfId="0" applyFont="1" applyFill="1" applyAlignment="1">
      <alignment horizontal="left" vertical="center"/>
    </xf>
    <xf numFmtId="0" fontId="0" fillId="0" borderId="10" xfId="0" applyBorder="1"/>
    <xf numFmtId="0" fontId="24" fillId="0" borderId="10" xfId="0" applyFont="1" applyBorder="1" applyAlignment="1">
      <alignment horizontal="left" vertical="center"/>
    </xf>
    <xf numFmtId="0" fontId="2" fillId="10" borderId="0" xfId="0" applyFont="1" applyFill="1"/>
    <xf numFmtId="0" fontId="0" fillId="12" borderId="0" xfId="0" applyFill="1"/>
    <xf numFmtId="9" fontId="0" fillId="12" borderId="0" xfId="0" applyNumberFormat="1" applyFill="1"/>
    <xf numFmtId="0" fontId="13" fillId="0" borderId="0" xfId="1" applyAlignment="1">
      <alignment horizontal="left" vertical="center" wrapText="1"/>
    </xf>
    <xf numFmtId="0" fontId="1" fillId="13" borderId="5" xfId="0" applyFont="1" applyFill="1" applyBorder="1" applyAlignment="1">
      <alignment horizontal="left" vertical="top" wrapText="1"/>
    </xf>
    <xf numFmtId="0" fontId="1" fillId="14" borderId="5" xfId="0" applyFont="1" applyFill="1" applyBorder="1" applyAlignment="1">
      <alignment horizontal="left" vertical="top" wrapText="1"/>
    </xf>
    <xf numFmtId="0" fontId="1" fillId="14" borderId="4" xfId="0" applyFont="1" applyFill="1" applyBorder="1" applyAlignment="1">
      <alignment horizontal="left" vertical="top" wrapText="1"/>
    </xf>
    <xf numFmtId="0" fontId="7" fillId="14" borderId="4" xfId="0" applyFont="1" applyFill="1" applyBorder="1" applyAlignment="1">
      <alignment horizontal="left" vertical="top" wrapText="1"/>
    </xf>
    <xf numFmtId="0" fontId="7" fillId="15" borderId="6" xfId="0" applyFont="1" applyFill="1" applyBorder="1" applyAlignment="1">
      <alignment horizontal="left" vertical="top" wrapText="1"/>
    </xf>
    <xf numFmtId="0" fontId="7" fillId="15" borderId="7" xfId="0" applyFont="1" applyFill="1" applyBorder="1" applyAlignment="1">
      <alignment horizontal="left" vertical="top" wrapText="1"/>
    </xf>
    <xf numFmtId="0" fontId="1" fillId="0" borderId="0" xfId="0" applyFont="1"/>
    <xf numFmtId="0" fontId="27" fillId="0" borderId="0" xfId="0" applyFont="1"/>
    <xf numFmtId="0" fontId="32" fillId="11" borderId="0" xfId="0" applyFont="1" applyFill="1"/>
    <xf numFmtId="0" fontId="24" fillId="11" borderId="0" xfId="0" applyFont="1" applyFill="1"/>
    <xf numFmtId="0" fontId="10" fillId="0" borderId="0" xfId="0" applyFont="1" applyAlignment="1">
      <alignment horizontal="left" vertical="center" wrapText="1"/>
    </xf>
    <xf numFmtId="0" fontId="10" fillId="16" borderId="2" xfId="0" applyFont="1" applyFill="1" applyBorder="1" applyAlignment="1">
      <alignment horizontal="left" vertical="top" wrapText="1"/>
    </xf>
    <xf numFmtId="0" fontId="10" fillId="17" borderId="2" xfId="0" applyFont="1" applyFill="1" applyBorder="1" applyAlignment="1">
      <alignment horizontal="left" vertical="top" wrapText="1"/>
    </xf>
    <xf numFmtId="0" fontId="10" fillId="17" borderId="1" xfId="0" applyFont="1" applyFill="1" applyBorder="1" applyAlignment="1">
      <alignment horizontal="left" vertical="top" wrapText="1"/>
    </xf>
    <xf numFmtId="0" fontId="33" fillId="0" borderId="0" xfId="0" applyFont="1" applyAlignment="1">
      <alignment horizontal="left" vertical="top"/>
    </xf>
    <xf numFmtId="0" fontId="10" fillId="0" borderId="0" xfId="0" applyFont="1" applyAlignment="1">
      <alignment horizontal="left" vertical="top"/>
    </xf>
    <xf numFmtId="0" fontId="2" fillId="0" borderId="0" xfId="0" applyFont="1" applyAlignment="1">
      <alignment horizontal="left" vertical="top"/>
    </xf>
    <xf numFmtId="0" fontId="34" fillId="0" borderId="0" xfId="0" applyFont="1" applyAlignment="1">
      <alignment horizontal="left" vertical="top"/>
    </xf>
    <xf numFmtId="0" fontId="0" fillId="18" borderId="0" xfId="0" applyFill="1"/>
    <xf numFmtId="0" fontId="0" fillId="4" borderId="0" xfId="0" applyFill="1"/>
    <xf numFmtId="0" fontId="0" fillId="4" borderId="11" xfId="0"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11" xfId="0" applyBorder="1"/>
    <xf numFmtId="0" fontId="0" fillId="19" borderId="0" xfId="0" applyFill="1"/>
    <xf numFmtId="0" fontId="0" fillId="3" borderId="0" xfId="0" applyFill="1"/>
    <xf numFmtId="0" fontId="35" fillId="3" borderId="8" xfId="0" applyFont="1" applyFill="1" applyBorder="1" applyAlignment="1">
      <alignment horizontal="center"/>
    </xf>
    <xf numFmtId="0" fontId="0" fillId="3" borderId="9" xfId="0" applyFill="1" applyBorder="1" applyAlignment="1">
      <alignment horizontal="center"/>
    </xf>
    <xf numFmtId="0" fontId="35" fillId="3" borderId="8" xfId="0" applyFont="1" applyFill="1" applyBorder="1"/>
    <xf numFmtId="0" fontId="0" fillId="3" borderId="12" xfId="0" applyFill="1" applyBorder="1" applyAlignment="1">
      <alignment horizontal="center"/>
    </xf>
    <xf numFmtId="0" fontId="0" fillId="2" borderId="15" xfId="0" applyFill="1" applyBorder="1"/>
    <xf numFmtId="0" fontId="0" fillId="2" borderId="16" xfId="0" applyFill="1" applyBorder="1"/>
    <xf numFmtId="0" fontId="0" fillId="0" borderId="15" xfId="0" applyBorder="1"/>
    <xf numFmtId="0" fontId="0" fillId="0" borderId="16" xfId="0" applyBorder="1"/>
    <xf numFmtId="0" fontId="24" fillId="0" borderId="15" xfId="0" applyFont="1" applyBorder="1" applyAlignment="1">
      <alignment horizontal="left" vertical="center"/>
    </xf>
    <xf numFmtId="0" fontId="24" fillId="0" borderId="20" xfId="0" applyFont="1" applyBorder="1" applyAlignment="1">
      <alignment horizontal="left" vertical="center"/>
    </xf>
    <xf numFmtId="0" fontId="0" fillId="0" borderId="21" xfId="0" applyBorder="1"/>
    <xf numFmtId="0" fontId="39" fillId="0" borderId="0" xfId="0" applyFont="1"/>
    <xf numFmtId="0" fontId="0" fillId="4" borderId="15" xfId="0" applyFill="1" applyBorder="1" applyAlignment="1">
      <alignment wrapText="1"/>
    </xf>
    <xf numFmtId="0" fontId="0" fillId="4" borderId="16" xfId="0" applyFill="1" applyBorder="1" applyAlignment="1">
      <alignment wrapText="1"/>
    </xf>
    <xf numFmtId="0" fontId="0" fillId="0" borderId="15" xfId="0" applyBorder="1" applyAlignment="1">
      <alignment wrapText="1"/>
    </xf>
    <xf numFmtId="0" fontId="0" fillId="0" borderId="16" xfId="0" applyBorder="1" applyAlignment="1">
      <alignment wrapText="1"/>
    </xf>
    <xf numFmtId="0" fontId="0" fillId="4" borderId="20" xfId="0" applyFill="1" applyBorder="1" applyAlignment="1">
      <alignment wrapText="1"/>
    </xf>
    <xf numFmtId="0" fontId="0" fillId="4" borderId="11" xfId="0" applyFill="1" applyBorder="1" applyAlignment="1">
      <alignment wrapText="1"/>
    </xf>
    <xf numFmtId="0" fontId="0" fillId="4" borderId="21" xfId="0" applyFill="1" applyBorder="1" applyAlignment="1">
      <alignment wrapText="1"/>
    </xf>
    <xf numFmtId="43" fontId="0" fillId="0" borderId="0" xfId="2" applyFont="1" applyAlignment="1">
      <alignment horizontal="left" vertical="top"/>
    </xf>
    <xf numFmtId="0" fontId="13" fillId="0" borderId="0" xfId="1" applyFill="1"/>
    <xf numFmtId="1" fontId="0" fillId="0" borderId="0" xfId="0" applyNumberFormat="1"/>
    <xf numFmtId="0" fontId="26" fillId="2" borderId="0" xfId="0" applyFont="1" applyFill="1"/>
    <xf numFmtId="0" fontId="7" fillId="5" borderId="13" xfId="0" applyFont="1" applyFill="1" applyBorder="1" applyAlignment="1">
      <alignment horizontal="left" vertical="top" wrapText="1"/>
    </xf>
    <xf numFmtId="0" fontId="7" fillId="5" borderId="22" xfId="0" applyFont="1" applyFill="1" applyBorder="1" applyAlignment="1">
      <alignment horizontal="left" vertical="top" wrapText="1"/>
    </xf>
    <xf numFmtId="0" fontId="7" fillId="5" borderId="14" xfId="0" applyFont="1" applyFill="1" applyBorder="1" applyAlignment="1">
      <alignment horizontal="left" vertical="top" wrapText="1"/>
    </xf>
    <xf numFmtId="0" fontId="0" fillId="0" borderId="20" xfId="0" applyBorder="1"/>
    <xf numFmtId="0" fontId="0" fillId="0" borderId="14" xfId="0" applyBorder="1"/>
    <xf numFmtId="0" fontId="0" fillId="0" borderId="13" xfId="0" applyBorder="1"/>
    <xf numFmtId="0" fontId="0" fillId="0" borderId="22" xfId="0" applyBorder="1"/>
    <xf numFmtId="1" fontId="0" fillId="0" borderId="0" xfId="0" applyNumberFormat="1" applyAlignment="1">
      <alignment horizontal="left" vertical="center" wrapText="1"/>
    </xf>
    <xf numFmtId="1" fontId="8" fillId="0" borderId="0" xfId="0" applyNumberFormat="1" applyFont="1" applyAlignment="1">
      <alignment horizontal="left" vertical="center" wrapText="1"/>
    </xf>
    <xf numFmtId="0" fontId="8" fillId="0" borderId="0" xfId="0" applyFont="1" applyAlignment="1">
      <alignment horizontal="left" vertical="center"/>
    </xf>
    <xf numFmtId="0" fontId="21" fillId="0" borderId="0" xfId="1" applyFont="1" applyAlignment="1">
      <alignment horizontal="left" vertical="center" wrapText="1"/>
    </xf>
    <xf numFmtId="1" fontId="8" fillId="0" borderId="0" xfId="0" applyNumberFormat="1" applyFont="1" applyAlignment="1">
      <alignment horizontal="left" vertical="center"/>
    </xf>
    <xf numFmtId="0" fontId="20" fillId="0" borderId="0" xfId="0" applyFont="1" applyAlignment="1">
      <alignment horizontal="left" vertical="center" wrapText="1"/>
    </xf>
    <xf numFmtId="0" fontId="20" fillId="0" borderId="0" xfId="0" applyFont="1" applyAlignment="1">
      <alignment horizontal="left" vertical="center"/>
    </xf>
    <xf numFmtId="0" fontId="8" fillId="0" borderId="0" xfId="0" applyFont="1" applyAlignment="1">
      <alignment horizontal="left" vertical="center" indent="1"/>
    </xf>
    <xf numFmtId="0" fontId="29" fillId="0" borderId="0" xfId="0" applyFont="1" applyAlignment="1">
      <alignment horizontal="left" vertical="center"/>
    </xf>
    <xf numFmtId="0" fontId="28" fillId="0" borderId="0" xfId="0" applyFont="1" applyAlignment="1">
      <alignment horizontal="left" vertical="center"/>
    </xf>
    <xf numFmtId="0" fontId="0" fillId="0" borderId="0" xfId="0" applyAlignment="1">
      <alignment horizontal="left" vertical="center"/>
    </xf>
    <xf numFmtId="1" fontId="20" fillId="0" borderId="0" xfId="0" applyNumberFormat="1" applyFont="1" applyAlignment="1">
      <alignment horizontal="left" vertical="center"/>
    </xf>
    <xf numFmtId="0" fontId="30" fillId="0" borderId="0" xfId="0" applyFont="1" applyAlignment="1">
      <alignment horizontal="left" vertical="center"/>
    </xf>
    <xf numFmtId="0" fontId="2" fillId="0" borderId="0" xfId="0" applyFont="1" applyAlignment="1">
      <alignment horizontal="left" vertical="center"/>
    </xf>
    <xf numFmtId="0" fontId="13" fillId="0" borderId="0" xfId="1" applyAlignment="1">
      <alignment horizontal="left" vertical="center"/>
    </xf>
    <xf numFmtId="0" fontId="14" fillId="0" borderId="0" xfId="1" applyFont="1" applyAlignment="1">
      <alignment horizontal="left" vertical="center" wrapText="1"/>
    </xf>
    <xf numFmtId="0" fontId="16" fillId="0" borderId="0" xfId="0" applyFont="1" applyAlignment="1">
      <alignment horizontal="left" vertical="center"/>
    </xf>
    <xf numFmtId="0" fontId="14" fillId="0" borderId="0" xfId="1" applyFont="1" applyBorder="1" applyAlignment="1">
      <alignment horizontal="left" vertical="center"/>
    </xf>
    <xf numFmtId="0" fontId="14" fillId="0" borderId="0" xfId="1" applyFont="1" applyBorder="1" applyAlignment="1">
      <alignment horizontal="left" vertical="center" wrapText="1"/>
    </xf>
    <xf numFmtId="0" fontId="17" fillId="0" borderId="0" xfId="0" applyFont="1" applyAlignment="1">
      <alignment horizontal="left" vertical="center"/>
    </xf>
    <xf numFmtId="0" fontId="14" fillId="0" borderId="0" xfId="0" applyFont="1" applyAlignment="1">
      <alignment horizontal="left" vertical="center" wrapText="1"/>
    </xf>
    <xf numFmtId="0" fontId="14" fillId="0" borderId="0" xfId="0" applyFont="1" applyAlignment="1">
      <alignment horizontal="left" vertical="center"/>
    </xf>
    <xf numFmtId="0" fontId="0" fillId="8" borderId="0" xfId="0" applyFill="1" applyAlignment="1">
      <alignment horizontal="left" vertical="center"/>
    </xf>
    <xf numFmtId="0" fontId="0" fillId="9" borderId="0" xfId="0" applyFill="1" applyAlignment="1">
      <alignment horizontal="left" vertical="center"/>
    </xf>
    <xf numFmtId="0" fontId="0" fillId="9" borderId="0" xfId="0" applyFill="1" applyAlignment="1">
      <alignment horizontal="left" vertical="center" wrapText="1"/>
    </xf>
    <xf numFmtId="0" fontId="8" fillId="0" borderId="1" xfId="0" applyFont="1" applyBorder="1" applyAlignment="1">
      <alignment horizontal="left" vertical="center"/>
    </xf>
    <xf numFmtId="0" fontId="0" fillId="0" borderId="1" xfId="0" applyBorder="1" applyAlignment="1">
      <alignment horizontal="left"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0" fillId="9" borderId="1" xfId="0" applyFill="1" applyBorder="1" applyAlignment="1">
      <alignment horizontal="left" vertical="center"/>
    </xf>
    <xf numFmtId="0" fontId="10" fillId="0" borderId="1" xfId="0" applyFont="1" applyBorder="1" applyAlignment="1">
      <alignment horizontal="left" vertical="center" wrapText="1"/>
    </xf>
    <xf numFmtId="0" fontId="14" fillId="0" borderId="1" xfId="1" applyFont="1" applyBorder="1" applyAlignment="1">
      <alignment horizontal="left" vertical="center" wrapText="1"/>
    </xf>
    <xf numFmtId="0" fontId="2" fillId="0" borderId="0" xfId="0" applyFont="1" applyAlignment="1">
      <alignment horizontal="left" vertical="center" wrapText="1"/>
    </xf>
    <xf numFmtId="0" fontId="2" fillId="9" borderId="0" xfId="0" applyFont="1" applyFill="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vertical="center"/>
    </xf>
    <xf numFmtId="0" fontId="0" fillId="4" borderId="14" xfId="0" applyFill="1" applyBorder="1"/>
    <xf numFmtId="0" fontId="0" fillId="4" borderId="13" xfId="0" applyFill="1" applyBorder="1"/>
    <xf numFmtId="0" fontId="0" fillId="4" borderId="22" xfId="0" applyFill="1" applyBorder="1"/>
    <xf numFmtId="0" fontId="0" fillId="4" borderId="16" xfId="0" applyFill="1" applyBorder="1"/>
    <xf numFmtId="0" fontId="0" fillId="4" borderId="15" xfId="0" applyFill="1" applyBorder="1"/>
    <xf numFmtId="0" fontId="0" fillId="10" borderId="15" xfId="0" applyFill="1" applyBorder="1" applyAlignment="1">
      <alignment wrapText="1"/>
    </xf>
    <xf numFmtId="0" fontId="0" fillId="10" borderId="16" xfId="0" applyFill="1" applyBorder="1"/>
    <xf numFmtId="0" fontId="0" fillId="10" borderId="20" xfId="0" applyFill="1" applyBorder="1" applyAlignment="1">
      <alignment wrapText="1"/>
    </xf>
    <xf numFmtId="0" fontId="0" fillId="10" borderId="11" xfId="0" applyFill="1" applyBorder="1" applyAlignment="1">
      <alignment wrapText="1"/>
    </xf>
    <xf numFmtId="0" fontId="0" fillId="10" borderId="11" xfId="0" applyFill="1" applyBorder="1"/>
    <xf numFmtId="0" fontId="0" fillId="10" borderId="21" xfId="0" applyFill="1" applyBorder="1"/>
    <xf numFmtId="0" fontId="0" fillId="3" borderId="13" xfId="0" applyFill="1" applyBorder="1"/>
    <xf numFmtId="0" fontId="0" fillId="3" borderId="22" xfId="0" applyFill="1" applyBorder="1"/>
    <xf numFmtId="0" fontId="0" fillId="3" borderId="14" xfId="0" applyFill="1" applyBorder="1"/>
    <xf numFmtId="0" fontId="0" fillId="3" borderId="15" xfId="0" applyFill="1" applyBorder="1"/>
    <xf numFmtId="0" fontId="0" fillId="3" borderId="16" xfId="0" applyFill="1" applyBorder="1"/>
    <xf numFmtId="0" fontId="10" fillId="3" borderId="15" xfId="0" applyFont="1" applyFill="1" applyBorder="1"/>
    <xf numFmtId="0" fontId="10" fillId="3" borderId="0" xfId="0" applyFont="1" applyFill="1"/>
    <xf numFmtId="0" fontId="22" fillId="3" borderId="0" xfId="0" applyFont="1" applyFill="1"/>
    <xf numFmtId="0" fontId="38" fillId="3" borderId="0" xfId="0" applyFont="1" applyFill="1"/>
    <xf numFmtId="0" fontId="23" fillId="3" borderId="0" xfId="0" applyFont="1" applyFill="1"/>
    <xf numFmtId="0" fontId="23" fillId="3" borderId="15" xfId="0" applyFont="1" applyFill="1" applyBorder="1"/>
    <xf numFmtId="0" fontId="37" fillId="3" borderId="15" xfId="0" applyFont="1" applyFill="1" applyBorder="1"/>
    <xf numFmtId="0" fontId="37" fillId="3" borderId="0" xfId="0" applyFont="1" applyFill="1"/>
    <xf numFmtId="0" fontId="0" fillId="19" borderId="20" xfId="0" applyFill="1" applyBorder="1"/>
    <xf numFmtId="0" fontId="0" fillId="19" borderId="11" xfId="0" applyFill="1" applyBorder="1"/>
    <xf numFmtId="0" fontId="0" fillId="19" borderId="21" xfId="0" applyFill="1" applyBorder="1"/>
    <xf numFmtId="0" fontId="0" fillId="26" borderId="0" xfId="0" applyFill="1"/>
    <xf numFmtId="0" fontId="43" fillId="20" borderId="17" xfId="0" applyFont="1" applyFill="1" applyBorder="1" applyAlignment="1">
      <alignment horizontal="left" vertical="top" wrapText="1"/>
    </xf>
    <xf numFmtId="0" fontId="43" fillId="20" borderId="18" xfId="0" applyFont="1" applyFill="1" applyBorder="1" applyAlignment="1">
      <alignment horizontal="left" vertical="top" wrapText="1"/>
    </xf>
    <xf numFmtId="0" fontId="43" fillId="20" borderId="19" xfId="0" applyFont="1" applyFill="1" applyBorder="1" applyAlignment="1">
      <alignment horizontal="left" vertical="top" wrapText="1"/>
    </xf>
    <xf numFmtId="0" fontId="24" fillId="0" borderId="0" xfId="0" applyFont="1" applyAlignment="1">
      <alignment horizontal="left" vertical="center"/>
    </xf>
    <xf numFmtId="0" fontId="24" fillId="0" borderId="0" xfId="0" applyFont="1"/>
    <xf numFmtId="0" fontId="24" fillId="11" borderId="0" xfId="0" applyFont="1" applyFill="1" applyAlignment="1">
      <alignment horizontal="left" vertical="center"/>
    </xf>
    <xf numFmtId="0" fontId="24" fillId="0" borderId="13" xfId="0" applyFont="1" applyBorder="1" applyAlignment="1">
      <alignment horizontal="left" vertical="center"/>
    </xf>
    <xf numFmtId="0" fontId="24" fillId="0" borderId="22" xfId="0" applyFont="1" applyBorder="1" applyAlignment="1">
      <alignment horizontal="left" vertical="center"/>
    </xf>
    <xf numFmtId="0" fontId="24" fillId="11" borderId="15" xfId="0" applyFont="1" applyFill="1" applyBorder="1"/>
    <xf numFmtId="0" fontId="0" fillId="18" borderId="15" xfId="0" applyFill="1" applyBorder="1"/>
    <xf numFmtId="0" fontId="0" fillId="0" borderId="23" xfId="0" applyBorder="1"/>
    <xf numFmtId="0" fontId="0" fillId="0" borderId="27" xfId="0" applyBorder="1"/>
    <xf numFmtId="0" fontId="0" fillId="11" borderId="23" xfId="0" applyFill="1" applyBorder="1"/>
    <xf numFmtId="0" fontId="0" fillId="18" borderId="23" xfId="0" applyFill="1" applyBorder="1"/>
    <xf numFmtId="0" fontId="0" fillId="0" borderId="24" xfId="0" applyBorder="1"/>
    <xf numFmtId="43" fontId="0" fillId="11" borderId="0" xfId="2" applyFont="1" applyFill="1"/>
    <xf numFmtId="0" fontId="44" fillId="0" borderId="0" xfId="1" applyFont="1" applyAlignment="1">
      <alignment horizontal="left" vertical="center" wrapText="1"/>
    </xf>
    <xf numFmtId="0" fontId="44" fillId="0" borderId="0" xfId="1" applyFont="1" applyAlignment="1">
      <alignment horizontal="left" vertical="center"/>
    </xf>
    <xf numFmtId="0" fontId="45" fillId="0" borderId="0" xfId="1" applyFont="1" applyAlignment="1">
      <alignment horizontal="left" vertical="center" wrapText="1"/>
    </xf>
    <xf numFmtId="0" fontId="44" fillId="9" borderId="1" xfId="1" applyFont="1" applyFill="1" applyBorder="1" applyAlignment="1">
      <alignment horizontal="left" vertical="top" wrapText="1"/>
    </xf>
    <xf numFmtId="0" fontId="44" fillId="0" borderId="0" xfId="1" applyFont="1" applyFill="1" applyBorder="1" applyAlignment="1">
      <alignment horizontal="left" vertical="top"/>
    </xf>
    <xf numFmtId="0" fontId="13" fillId="0" borderId="0" xfId="1" applyFill="1" applyBorder="1" applyAlignment="1">
      <alignment horizontal="left" vertical="top"/>
    </xf>
    <xf numFmtId="0" fontId="0" fillId="4" borderId="21" xfId="0" applyFill="1" applyBorder="1"/>
    <xf numFmtId="0" fontId="0" fillId="4" borderId="20" xfId="0" applyFill="1" applyBorder="1"/>
    <xf numFmtId="0" fontId="0" fillId="0" borderId="33" xfId="0" applyBorder="1"/>
    <xf numFmtId="0" fontId="0" fillId="4" borderId="32" xfId="0" applyFill="1" applyBorder="1" applyAlignment="1">
      <alignment wrapText="1"/>
    </xf>
    <xf numFmtId="0" fontId="35" fillId="3" borderId="34" xfId="0" applyFont="1" applyFill="1" applyBorder="1" applyAlignment="1">
      <alignment horizontal="center"/>
    </xf>
    <xf numFmtId="0" fontId="0" fillId="19" borderId="0" xfId="0" applyFill="1" applyProtection="1">
      <protection locked="0"/>
    </xf>
    <xf numFmtId="0" fontId="0" fillId="19" borderId="23" xfId="0" applyFill="1" applyBorder="1" applyProtection="1">
      <protection locked="0"/>
    </xf>
    <xf numFmtId="0" fontId="0" fillId="19" borderId="24" xfId="0" applyFill="1" applyBorder="1" applyProtection="1">
      <protection locked="0"/>
    </xf>
    <xf numFmtId="0" fontId="41" fillId="22" borderId="0" xfId="0" applyFont="1" applyFill="1" applyProtection="1">
      <protection locked="0"/>
    </xf>
    <xf numFmtId="0" fontId="0" fillId="22" borderId="0" xfId="0" applyFill="1" applyProtection="1">
      <protection locked="0"/>
    </xf>
    <xf numFmtId="0" fontId="0" fillId="21" borderId="0" xfId="0" applyFill="1" applyProtection="1">
      <protection locked="0"/>
    </xf>
    <xf numFmtId="2" fontId="0" fillId="0" borderId="0" xfId="0" applyNumberFormat="1"/>
    <xf numFmtId="0" fontId="0" fillId="2" borderId="35" xfId="0" applyFill="1" applyBorder="1"/>
    <xf numFmtId="0" fontId="7" fillId="2" borderId="35" xfId="0" applyFont="1" applyFill="1" applyBorder="1" applyAlignment="1">
      <alignment horizontal="left" vertical="top" wrapText="1"/>
    </xf>
    <xf numFmtId="0" fontId="0" fillId="0" borderId="35" xfId="0" applyBorder="1"/>
    <xf numFmtId="0" fontId="7" fillId="5" borderId="36" xfId="0" applyFont="1" applyFill="1" applyBorder="1" applyAlignment="1">
      <alignment horizontal="left" vertical="top" wrapText="1"/>
    </xf>
    <xf numFmtId="0" fontId="8" fillId="0" borderId="35" xfId="0" applyFont="1" applyBorder="1" applyAlignment="1">
      <alignment horizontal="left" vertical="center" wrapText="1"/>
    </xf>
    <xf numFmtId="0" fontId="0" fillId="0" borderId="35" xfId="0" applyBorder="1" applyAlignment="1">
      <alignment horizontal="left" vertical="center"/>
    </xf>
    <xf numFmtId="0" fontId="8" fillId="0" borderId="35" xfId="0" applyFont="1" applyBorder="1" applyAlignment="1">
      <alignment horizontal="left" vertical="center"/>
    </xf>
    <xf numFmtId="0" fontId="6" fillId="0" borderId="0" xfId="0" applyFont="1" applyAlignment="1">
      <alignment vertical="top" wrapText="1"/>
    </xf>
    <xf numFmtId="0" fontId="37" fillId="4" borderId="15" xfId="0" applyFont="1" applyFill="1" applyBorder="1" applyAlignment="1">
      <alignment horizontal="center" wrapText="1"/>
    </xf>
    <xf numFmtId="0" fontId="37" fillId="4" borderId="16" xfId="0" applyFont="1" applyFill="1" applyBorder="1" applyAlignment="1">
      <alignment horizontal="center" wrapText="1"/>
    </xf>
    <xf numFmtId="0" fontId="37" fillId="0" borderId="0" xfId="0" applyFont="1" applyAlignment="1">
      <alignment horizontal="center" wrapText="1"/>
    </xf>
    <xf numFmtId="0" fontId="37" fillId="0" borderId="0" xfId="0" applyFont="1" applyAlignment="1">
      <alignment wrapText="1"/>
    </xf>
    <xf numFmtId="0" fontId="40" fillId="0" borderId="0" xfId="0" applyFont="1"/>
    <xf numFmtId="0" fontId="44" fillId="0" borderId="0" xfId="1" applyFont="1" applyFill="1" applyBorder="1" applyAlignment="1">
      <alignment horizontal="left" vertical="top" wrapText="1"/>
    </xf>
    <xf numFmtId="0" fontId="13" fillId="0" borderId="0" xfId="1" applyFill="1" applyBorder="1"/>
    <xf numFmtId="9" fontId="0" fillId="0" borderId="0" xfId="0" applyNumberFormat="1"/>
    <xf numFmtId="0" fontId="24" fillId="0" borderId="9" xfId="0" applyFont="1" applyBorder="1"/>
    <xf numFmtId="0" fontId="0" fillId="0" borderId="37" xfId="0" applyBorder="1"/>
    <xf numFmtId="0" fontId="24" fillId="0" borderId="38" xfId="0" applyFont="1" applyBorder="1" applyAlignment="1">
      <alignment horizontal="left" vertical="center"/>
    </xf>
    <xf numFmtId="0" fontId="0" fillId="0" borderId="39" xfId="0" applyBorder="1"/>
    <xf numFmtId="0" fontId="24" fillId="0" borderId="39" xfId="0" applyFont="1" applyBorder="1" applyAlignment="1">
      <alignment horizontal="left" vertical="center"/>
    </xf>
    <xf numFmtId="0" fontId="0" fillId="0" borderId="40" xfId="0" applyBorder="1"/>
    <xf numFmtId="0" fontId="24" fillId="0" borderId="41" xfId="0" applyFont="1" applyBorder="1" applyAlignment="1">
      <alignment horizontal="left" vertical="center"/>
    </xf>
    <xf numFmtId="0" fontId="0" fillId="0" borderId="42" xfId="0" applyBorder="1"/>
    <xf numFmtId="0" fontId="24" fillId="0" borderId="43" xfId="0" applyFont="1" applyBorder="1" applyAlignment="1">
      <alignment horizontal="left" vertical="center"/>
    </xf>
    <xf numFmtId="0" fontId="0" fillId="0" borderId="44" xfId="0" applyBorder="1"/>
    <xf numFmtId="0" fontId="24" fillId="0" borderId="44" xfId="0" applyFont="1" applyBorder="1" applyAlignment="1">
      <alignment horizontal="left" vertical="center"/>
    </xf>
    <xf numFmtId="0" fontId="0" fillId="0" borderId="45" xfId="0" applyBorder="1"/>
    <xf numFmtId="0" fontId="44" fillId="0" borderId="0" xfId="1" applyFont="1"/>
    <xf numFmtId="0" fontId="44" fillId="0" borderId="0" xfId="1" applyFont="1" applyFill="1"/>
    <xf numFmtId="0" fontId="54" fillId="0" borderId="0" xfId="0" applyFont="1"/>
    <xf numFmtId="0" fontId="0" fillId="10" borderId="0" xfId="0" applyFill="1" applyAlignment="1">
      <alignment wrapText="1"/>
    </xf>
    <xf numFmtId="0" fontId="37" fillId="4" borderId="0" xfId="0" applyFont="1" applyFill="1" applyAlignment="1">
      <alignment horizontal="center" wrapText="1"/>
    </xf>
    <xf numFmtId="0" fontId="0" fillId="4" borderId="0" xfId="0" applyFill="1" applyAlignment="1">
      <alignment wrapText="1"/>
    </xf>
    <xf numFmtId="0" fontId="2" fillId="10" borderId="0" xfId="0" applyFont="1" applyFill="1" applyAlignment="1">
      <alignment horizontal="center" vertical="center" wrapText="1"/>
    </xf>
    <xf numFmtId="0" fontId="0" fillId="10" borderId="0" xfId="0" applyFill="1" applyAlignment="1">
      <alignment vertical="center" wrapText="1"/>
    </xf>
    <xf numFmtId="0" fontId="55" fillId="10" borderId="22" xfId="0" applyFont="1" applyFill="1" applyBorder="1"/>
    <xf numFmtId="0" fontId="55" fillId="10" borderId="13" xfId="0" applyFont="1" applyFill="1" applyBorder="1"/>
    <xf numFmtId="0" fontId="55" fillId="10" borderId="14" xfId="0" applyFont="1" applyFill="1" applyBorder="1"/>
    <xf numFmtId="0" fontId="0" fillId="27" borderId="0" xfId="0" applyFill="1" applyProtection="1">
      <protection locked="0"/>
    </xf>
    <xf numFmtId="0" fontId="0" fillId="27" borderId="11" xfId="0" applyFill="1" applyBorder="1" applyProtection="1">
      <protection locked="0"/>
    </xf>
    <xf numFmtId="0" fontId="36" fillId="18" borderId="0" xfId="0" applyFont="1" applyFill="1"/>
    <xf numFmtId="0" fontId="7" fillId="5" borderId="10" xfId="0" applyFont="1" applyFill="1" applyBorder="1" applyAlignment="1">
      <alignment horizontal="left" vertical="top" wrapText="1"/>
    </xf>
    <xf numFmtId="0" fontId="0" fillId="0" borderId="9" xfId="0" applyBorder="1"/>
    <xf numFmtId="0" fontId="13" fillId="0" borderId="0" xfId="1"/>
    <xf numFmtId="0" fontId="14" fillId="0" borderId="1" xfId="1" applyFont="1" applyBorder="1" applyAlignment="1">
      <alignment horizontal="left" vertical="center"/>
    </xf>
    <xf numFmtId="0" fontId="44" fillId="0" borderId="0" xfId="0" applyFont="1"/>
    <xf numFmtId="0" fontId="5" fillId="2" borderId="0" xfId="0" applyFont="1" applyFill="1" applyAlignment="1">
      <alignment horizontal="center"/>
    </xf>
    <xf numFmtId="0" fontId="26" fillId="2" borderId="0" xfId="0" applyFont="1" applyFill="1" applyAlignment="1">
      <alignment horizontal="center"/>
    </xf>
    <xf numFmtId="0" fontId="26" fillId="3" borderId="13" xfId="0" applyFont="1" applyFill="1" applyBorder="1" applyAlignment="1">
      <alignment horizontal="center"/>
    </xf>
    <xf numFmtId="0" fontId="26" fillId="3" borderId="14" xfId="0" applyFont="1" applyFill="1" applyBorder="1" applyAlignment="1">
      <alignment horizontal="center"/>
    </xf>
    <xf numFmtId="0" fontId="18" fillId="2" borderId="0" xfId="0" applyFont="1" applyFill="1" applyAlignment="1">
      <alignment horizontal="center"/>
    </xf>
    <xf numFmtId="0" fontId="26" fillId="11" borderId="0" xfId="0" applyFont="1" applyFill="1" applyAlignment="1">
      <alignment horizontal="center"/>
    </xf>
    <xf numFmtId="0" fontId="26" fillId="3" borderId="0" xfId="0" applyFont="1" applyFill="1" applyAlignment="1">
      <alignment horizontal="center"/>
    </xf>
    <xf numFmtId="0" fontId="36" fillId="11" borderId="0" xfId="0" applyFont="1" applyFill="1" applyAlignment="1">
      <alignment horizontal="center"/>
    </xf>
    <xf numFmtId="0" fontId="0" fillId="0" borderId="0" xfId="0" applyAlignment="1">
      <alignment horizontal="center" wrapText="1"/>
    </xf>
    <xf numFmtId="0" fontId="0" fillId="0" borderId="0" xfId="0" applyAlignment="1">
      <alignment horizontal="center"/>
    </xf>
    <xf numFmtId="0" fontId="53" fillId="0" borderId="0" xfId="0" applyFont="1" applyAlignment="1">
      <alignment horizontal="center" wrapText="1"/>
    </xf>
    <xf numFmtId="0" fontId="9" fillId="0" borderId="0" xfId="0" applyFont="1" applyAlignment="1">
      <alignment horizontal="center" wrapText="1"/>
    </xf>
    <xf numFmtId="0" fontId="37" fillId="4" borderId="13" xfId="0" applyFont="1" applyFill="1" applyBorder="1" applyAlignment="1">
      <alignment horizontal="center" vertical="top" wrapText="1"/>
    </xf>
    <xf numFmtId="0" fontId="37" fillId="4" borderId="22" xfId="0" applyFont="1" applyFill="1" applyBorder="1" applyAlignment="1">
      <alignment horizontal="center" vertical="top" wrapText="1"/>
    </xf>
    <xf numFmtId="0" fontId="37" fillId="4" borderId="14" xfId="0" applyFont="1" applyFill="1" applyBorder="1" applyAlignment="1">
      <alignment horizontal="center" vertical="top" wrapText="1"/>
    </xf>
    <xf numFmtId="0" fontId="37" fillId="4" borderId="15" xfId="0" applyFont="1" applyFill="1" applyBorder="1" applyAlignment="1">
      <alignment horizontal="center" vertical="top" wrapText="1"/>
    </xf>
    <xf numFmtId="0" fontId="37" fillId="4" borderId="0" xfId="0" applyFont="1" applyFill="1" applyAlignment="1">
      <alignment horizontal="center" vertical="top" wrapText="1"/>
    </xf>
    <xf numFmtId="0" fontId="37" fillId="4" borderId="16" xfId="0" applyFont="1" applyFill="1" applyBorder="1" applyAlignment="1">
      <alignment horizontal="center" vertical="top" wrapText="1"/>
    </xf>
    <xf numFmtId="0" fontId="37" fillId="4" borderId="20" xfId="0" applyFont="1" applyFill="1" applyBorder="1" applyAlignment="1">
      <alignment horizontal="center" vertical="top" wrapText="1"/>
    </xf>
    <xf numFmtId="0" fontId="37" fillId="4" borderId="11" xfId="0" applyFont="1" applyFill="1" applyBorder="1" applyAlignment="1">
      <alignment horizontal="center" vertical="top" wrapText="1"/>
    </xf>
    <xf numFmtId="0" fontId="37" fillId="4" borderId="21" xfId="0" applyFont="1" applyFill="1" applyBorder="1" applyAlignment="1">
      <alignment horizontal="center" vertical="top" wrapText="1"/>
    </xf>
    <xf numFmtId="0" fontId="49" fillId="4" borderId="17" xfId="0" applyFont="1" applyFill="1" applyBorder="1" applyAlignment="1">
      <alignment horizontal="center"/>
    </xf>
    <xf numFmtId="0" fontId="49" fillId="4" borderId="18" xfId="0" applyFont="1" applyFill="1" applyBorder="1" applyAlignment="1">
      <alignment horizontal="center"/>
    </xf>
    <xf numFmtId="0" fontId="49" fillId="4" borderId="19" xfId="0" applyFont="1" applyFill="1" applyBorder="1" applyAlignment="1">
      <alignment horizontal="center"/>
    </xf>
    <xf numFmtId="0" fontId="0" fillId="23" borderId="17" xfId="0" applyFill="1" applyBorder="1" applyAlignment="1">
      <alignment horizontal="center"/>
    </xf>
    <xf numFmtId="0" fontId="0" fillId="23" borderId="18" xfId="0" applyFill="1" applyBorder="1" applyAlignment="1">
      <alignment horizontal="center"/>
    </xf>
    <xf numFmtId="0" fontId="0" fillId="23" borderId="19" xfId="0" applyFill="1" applyBorder="1" applyAlignment="1">
      <alignment horizontal="center"/>
    </xf>
    <xf numFmtId="0" fontId="0" fillId="4" borderId="15" xfId="0" applyFill="1" applyBorder="1" applyAlignment="1">
      <alignment horizontal="center" wrapText="1"/>
    </xf>
    <xf numFmtId="0" fontId="0" fillId="4" borderId="0" xfId="0" applyFill="1" applyAlignment="1">
      <alignment horizontal="center" wrapText="1"/>
    </xf>
    <xf numFmtId="0" fontId="0" fillId="4" borderId="16" xfId="0" applyFill="1" applyBorder="1" applyAlignment="1">
      <alignment horizontal="center" wrapText="1"/>
    </xf>
    <xf numFmtId="0" fontId="0" fillId="4" borderId="13" xfId="0" applyFill="1" applyBorder="1" applyAlignment="1">
      <alignment horizontal="center" vertical="top" wrapText="1"/>
    </xf>
    <xf numFmtId="0" fontId="0" fillId="4" borderId="22" xfId="0" applyFill="1" applyBorder="1" applyAlignment="1">
      <alignment horizontal="center" vertical="top" wrapText="1"/>
    </xf>
    <xf numFmtId="0" fontId="0" fillId="4" borderId="14" xfId="0" applyFill="1" applyBorder="1" applyAlignment="1">
      <alignment horizontal="center" vertical="top" wrapText="1"/>
    </xf>
    <xf numFmtId="0" fontId="49" fillId="4" borderId="17" xfId="0" applyFont="1" applyFill="1" applyBorder="1" applyAlignment="1">
      <alignment horizontal="center" wrapText="1"/>
    </xf>
    <xf numFmtId="0" fontId="49" fillId="4" borderId="18" xfId="0" applyFont="1" applyFill="1" applyBorder="1" applyAlignment="1">
      <alignment horizontal="center" wrapText="1"/>
    </xf>
    <xf numFmtId="0" fontId="49" fillId="4" borderId="19" xfId="0" applyFont="1" applyFill="1" applyBorder="1" applyAlignment="1">
      <alignment horizontal="center" wrapText="1"/>
    </xf>
    <xf numFmtId="0" fontId="53" fillId="4" borderId="13" xfId="0" applyFont="1" applyFill="1" applyBorder="1" applyAlignment="1">
      <alignment horizontal="center" wrapText="1"/>
    </xf>
    <xf numFmtId="0" fontId="9" fillId="4" borderId="14" xfId="0" applyFont="1" applyFill="1" applyBorder="1" applyAlignment="1">
      <alignment horizontal="center" wrapText="1"/>
    </xf>
    <xf numFmtId="0" fontId="9" fillId="4" borderId="15" xfId="0" applyFont="1" applyFill="1" applyBorder="1" applyAlignment="1">
      <alignment horizontal="center" wrapText="1"/>
    </xf>
    <xf numFmtId="0" fontId="9" fillId="4" borderId="16" xfId="0" applyFont="1" applyFill="1" applyBorder="1" applyAlignment="1">
      <alignment horizontal="center" wrapText="1"/>
    </xf>
    <xf numFmtId="0" fontId="9" fillId="4" borderId="20" xfId="0" applyFont="1" applyFill="1" applyBorder="1" applyAlignment="1">
      <alignment horizontal="center" wrapText="1"/>
    </xf>
    <xf numFmtId="0" fontId="9" fillId="4" borderId="21" xfId="0" applyFont="1" applyFill="1" applyBorder="1" applyAlignment="1">
      <alignment horizontal="center" wrapText="1"/>
    </xf>
    <xf numFmtId="0" fontId="0" fillId="4" borderId="13" xfId="0" applyFill="1" applyBorder="1" applyAlignment="1">
      <alignment horizontal="center" wrapText="1"/>
    </xf>
    <xf numFmtId="0" fontId="0" fillId="4" borderId="22" xfId="0" applyFill="1" applyBorder="1" applyAlignment="1">
      <alignment horizontal="center" wrapText="1"/>
    </xf>
    <xf numFmtId="0" fontId="0" fillId="4" borderId="14" xfId="0" applyFill="1" applyBorder="1" applyAlignment="1">
      <alignment horizontal="center" wrapText="1"/>
    </xf>
    <xf numFmtId="0" fontId="0" fillId="4" borderId="20" xfId="0" applyFill="1" applyBorder="1" applyAlignment="1">
      <alignment horizontal="center" wrapText="1"/>
    </xf>
    <xf numFmtId="0" fontId="0" fillId="4" borderId="11" xfId="0" applyFill="1" applyBorder="1" applyAlignment="1">
      <alignment horizontal="center" wrapText="1"/>
    </xf>
    <xf numFmtId="0" fontId="0" fillId="4" borderId="21" xfId="0" applyFill="1" applyBorder="1" applyAlignment="1">
      <alignment horizontal="center" wrapText="1"/>
    </xf>
    <xf numFmtId="0" fontId="0" fillId="0" borderId="13" xfId="0" applyBorder="1" applyAlignment="1">
      <alignment horizontal="center"/>
    </xf>
    <xf numFmtId="0" fontId="0" fillId="0" borderId="22"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0" xfId="0" applyBorder="1" applyAlignment="1">
      <alignment horizontal="center"/>
    </xf>
    <xf numFmtId="0" fontId="0" fillId="0" borderId="11" xfId="0" applyBorder="1" applyAlignment="1">
      <alignment horizontal="center"/>
    </xf>
    <xf numFmtId="0" fontId="0" fillId="0" borderId="21" xfId="0" applyBorder="1" applyAlignment="1">
      <alignment horizontal="center"/>
    </xf>
    <xf numFmtId="0" fontId="37" fillId="0" borderId="0" xfId="0" applyFont="1" applyAlignment="1">
      <alignment horizontal="center" vertical="top" wrapText="1"/>
    </xf>
    <xf numFmtId="0" fontId="0" fillId="0" borderId="28" xfId="0" applyBorder="1" applyAlignment="1">
      <alignment horizontal="center"/>
    </xf>
    <xf numFmtId="0" fontId="0" fillId="0" borderId="29" xfId="0" applyBorder="1" applyAlignment="1">
      <alignment horizontal="center"/>
    </xf>
    <xf numFmtId="0" fontId="0" fillId="4" borderId="28" xfId="0" applyFill="1" applyBorder="1" applyAlignment="1">
      <alignment horizontal="center" wrapText="1"/>
    </xf>
    <xf numFmtId="0" fontId="0" fillId="4" borderId="29" xfId="0" applyFill="1" applyBorder="1" applyAlignment="1">
      <alignment horizontal="center" wrapText="1"/>
    </xf>
    <xf numFmtId="0" fontId="0" fillId="0" borderId="15" xfId="0" applyBorder="1" applyAlignment="1">
      <alignment horizontal="center" wrapText="1"/>
    </xf>
    <xf numFmtId="0" fontId="0" fillId="0" borderId="16" xfId="0" applyBorder="1" applyAlignment="1">
      <alignment horizontal="center" wrapText="1"/>
    </xf>
    <xf numFmtId="0" fontId="50" fillId="4" borderId="19" xfId="0" applyFont="1" applyFill="1" applyBorder="1" applyAlignment="1">
      <alignment horizontal="center" wrapText="1"/>
    </xf>
    <xf numFmtId="0" fontId="0" fillId="0" borderId="25" xfId="0" applyBorder="1" applyAlignment="1">
      <alignment horizontal="center"/>
    </xf>
    <xf numFmtId="0" fontId="0" fillId="0" borderId="26" xfId="0" applyBorder="1" applyAlignment="1">
      <alignment horizontal="center"/>
    </xf>
    <xf numFmtId="0" fontId="4" fillId="0" borderId="0" xfId="0" applyFont="1" applyAlignment="1">
      <alignment horizontal="center"/>
    </xf>
    <xf numFmtId="0" fontId="40" fillId="10" borderId="15" xfId="0" applyFont="1" applyFill="1" applyBorder="1" applyAlignment="1">
      <alignment horizontal="center"/>
    </xf>
    <xf numFmtId="0" fontId="40" fillId="10" borderId="0" xfId="0" applyFont="1" applyFill="1" applyAlignment="1">
      <alignment horizontal="center"/>
    </xf>
    <xf numFmtId="0" fontId="37" fillId="4" borderId="15" xfId="0" applyFont="1" applyFill="1" applyBorder="1" applyAlignment="1">
      <alignment horizontal="center" wrapText="1"/>
    </xf>
    <xf numFmtId="0" fontId="37" fillId="4" borderId="0" xfId="0" applyFont="1" applyFill="1" applyAlignment="1">
      <alignment horizontal="center" wrapText="1"/>
    </xf>
    <xf numFmtId="0" fontId="37" fillId="4" borderId="16" xfId="0" applyFont="1" applyFill="1" applyBorder="1" applyAlignment="1">
      <alignment horizontal="center" wrapText="1"/>
    </xf>
    <xf numFmtId="0" fontId="46" fillId="7" borderId="17" xfId="0" applyFont="1" applyFill="1" applyBorder="1" applyAlignment="1">
      <alignment horizontal="center" wrapText="1"/>
    </xf>
    <xf numFmtId="0" fontId="26" fillId="7" borderId="18" xfId="0" applyFont="1" applyFill="1" applyBorder="1" applyAlignment="1">
      <alignment horizontal="center" wrapText="1"/>
    </xf>
    <xf numFmtId="0" fontId="26" fillId="7" borderId="19" xfId="0" applyFont="1" applyFill="1" applyBorder="1" applyAlignment="1">
      <alignment horizontal="center" wrapText="1"/>
    </xf>
    <xf numFmtId="0" fontId="18" fillId="23" borderId="17" xfId="0" applyFont="1" applyFill="1" applyBorder="1" applyAlignment="1">
      <alignment horizontal="center" wrapText="1"/>
    </xf>
    <xf numFmtId="0" fontId="42" fillId="23" borderId="18" xfId="0" applyFont="1" applyFill="1" applyBorder="1" applyAlignment="1">
      <alignment horizontal="center" wrapText="1"/>
    </xf>
    <xf numFmtId="0" fontId="42" fillId="23" borderId="19" xfId="0" applyFont="1" applyFill="1" applyBorder="1" applyAlignment="1">
      <alignment horizontal="center" wrapText="1"/>
    </xf>
    <xf numFmtId="0" fontId="46" fillId="24" borderId="17" xfId="0" applyFont="1" applyFill="1" applyBorder="1" applyAlignment="1">
      <alignment horizontal="center" wrapText="1"/>
    </xf>
    <xf numFmtId="0" fontId="0" fillId="24" borderId="18" xfId="0" applyFill="1" applyBorder="1" applyAlignment="1">
      <alignment horizontal="center" wrapText="1"/>
    </xf>
    <xf numFmtId="0" fontId="0" fillId="24" borderId="19" xfId="0" applyFill="1" applyBorder="1" applyAlignment="1">
      <alignment horizontal="center" wrapText="1"/>
    </xf>
    <xf numFmtId="0" fontId="47" fillId="25" borderId="17" xfId="0" applyFont="1" applyFill="1" applyBorder="1" applyAlignment="1">
      <alignment horizontal="center"/>
    </xf>
    <xf numFmtId="0" fontId="48" fillId="25" borderId="18" xfId="0" applyFont="1" applyFill="1" applyBorder="1" applyAlignment="1">
      <alignment horizontal="center"/>
    </xf>
    <xf numFmtId="0" fontId="48" fillId="25" borderId="19" xfId="0" applyFont="1" applyFill="1" applyBorder="1" applyAlignment="1">
      <alignment horizontal="center"/>
    </xf>
    <xf numFmtId="0" fontId="49" fillId="4" borderId="13" xfId="0" applyFont="1" applyFill="1" applyBorder="1" applyAlignment="1">
      <alignment horizontal="center" wrapText="1"/>
    </xf>
    <xf numFmtId="0" fontId="49" fillId="4" borderId="14" xfId="0" applyFont="1" applyFill="1" applyBorder="1" applyAlignment="1">
      <alignment horizontal="center" wrapText="1"/>
    </xf>
    <xf numFmtId="0" fontId="2" fillId="4" borderId="25" xfId="0" applyFont="1" applyFill="1" applyBorder="1" applyAlignment="1">
      <alignment horizontal="center" wrapText="1"/>
    </xf>
    <xf numFmtId="0" fontId="2" fillId="4" borderId="26" xfId="0" applyFont="1" applyFill="1" applyBorder="1" applyAlignment="1">
      <alignment horizontal="center" wrapText="1"/>
    </xf>
    <xf numFmtId="0" fontId="2" fillId="0" borderId="0" xfId="0" applyFont="1" applyAlignment="1">
      <alignment horizontal="center" wrapText="1"/>
    </xf>
    <xf numFmtId="0" fontId="37" fillId="0" borderId="0" xfId="0" applyFont="1" applyAlignment="1">
      <alignment horizontal="center" wrapText="1"/>
    </xf>
    <xf numFmtId="0" fontId="26" fillId="0" borderId="0" xfId="0" applyFont="1" applyAlignment="1">
      <alignment horizontal="center" wrapText="1"/>
    </xf>
    <xf numFmtId="0" fontId="42" fillId="0" borderId="0" xfId="0" applyFont="1" applyAlignment="1">
      <alignment horizontal="center" wrapText="1"/>
    </xf>
    <xf numFmtId="0" fontId="50" fillId="0" borderId="0" xfId="0" applyFont="1" applyAlignment="1">
      <alignment horizontal="center" vertical="top" wrapText="1"/>
    </xf>
    <xf numFmtId="0" fontId="0" fillId="0" borderId="0" xfId="0" applyAlignment="1">
      <alignment horizontal="center" vertical="top" wrapText="1"/>
    </xf>
    <xf numFmtId="0" fontId="5" fillId="0" borderId="0" xfId="0" applyFont="1" applyAlignment="1">
      <alignment horizontal="center"/>
    </xf>
    <xf numFmtId="0" fontId="51" fillId="0" borderId="0" xfId="0" applyFont="1" applyAlignment="1">
      <alignment horizontal="center" vertical="center" wrapText="1"/>
    </xf>
    <xf numFmtId="0" fontId="0" fillId="4" borderId="30" xfId="0" applyFill="1" applyBorder="1" applyAlignment="1">
      <alignment horizontal="center" wrapText="1"/>
    </xf>
    <xf numFmtId="0" fontId="0" fillId="4" borderId="31" xfId="0" applyFill="1" applyBorder="1" applyAlignment="1">
      <alignment horizontal="center" wrapText="1"/>
    </xf>
    <xf numFmtId="0" fontId="40" fillId="0" borderId="0" xfId="0" applyFont="1" applyAlignment="1">
      <alignment horizontal="center"/>
    </xf>
    <xf numFmtId="0" fontId="53" fillId="4" borderId="13" xfId="0" applyFont="1" applyFill="1" applyBorder="1" applyAlignment="1">
      <alignment horizontal="center" vertical="top" wrapText="1"/>
    </xf>
    <xf numFmtId="0" fontId="51" fillId="0" borderId="13" xfId="0" applyFont="1" applyBorder="1" applyAlignment="1">
      <alignment horizontal="center" vertical="center" wrapText="1"/>
    </xf>
    <xf numFmtId="0" fontId="51" fillId="0" borderId="14" xfId="0" applyFont="1" applyBorder="1" applyAlignment="1">
      <alignment horizontal="center" vertical="center" wrapText="1"/>
    </xf>
    <xf numFmtId="0" fontId="51" fillId="0" borderId="15" xfId="0" applyFont="1" applyBorder="1" applyAlignment="1">
      <alignment horizontal="center" vertical="center" wrapText="1"/>
    </xf>
    <xf numFmtId="0" fontId="51" fillId="0" borderId="16" xfId="0" applyFont="1" applyBorder="1" applyAlignment="1">
      <alignment horizontal="center" vertical="center" wrapText="1"/>
    </xf>
    <xf numFmtId="0" fontId="51" fillId="0" borderId="20" xfId="0" applyFont="1" applyBorder="1" applyAlignment="1">
      <alignment horizontal="center" vertical="center" wrapText="1"/>
    </xf>
    <xf numFmtId="0" fontId="51" fillId="0" borderId="21" xfId="0" applyFont="1" applyBorder="1" applyAlignment="1">
      <alignment horizontal="center" vertical="center" wrapText="1"/>
    </xf>
    <xf numFmtId="0" fontId="0" fillId="4" borderId="15" xfId="0" applyFill="1" applyBorder="1" applyAlignment="1">
      <alignment horizontal="center" vertical="top" wrapText="1"/>
    </xf>
    <xf numFmtId="0" fontId="0" fillId="4" borderId="0" xfId="0" applyFill="1" applyAlignment="1">
      <alignment horizontal="center" vertical="top" wrapText="1"/>
    </xf>
    <xf numFmtId="0" fontId="0" fillId="4" borderId="16" xfId="0" applyFill="1" applyBorder="1" applyAlignment="1">
      <alignment horizontal="center" vertical="top" wrapText="1"/>
    </xf>
    <xf numFmtId="0" fontId="0" fillId="4" borderId="20" xfId="0" applyFill="1" applyBorder="1" applyAlignment="1">
      <alignment horizontal="center" vertical="top" wrapText="1"/>
    </xf>
    <xf numFmtId="0" fontId="0" fillId="4" borderId="11" xfId="0" applyFill="1" applyBorder="1" applyAlignment="1">
      <alignment horizontal="center" vertical="top" wrapText="1"/>
    </xf>
    <xf numFmtId="0" fontId="0" fillId="4" borderId="21" xfId="0" applyFill="1" applyBorder="1" applyAlignment="1">
      <alignment horizontal="center" vertical="top" wrapText="1"/>
    </xf>
    <xf numFmtId="0" fontId="0" fillId="0" borderId="28" xfId="0" applyBorder="1" applyAlignment="1">
      <alignment horizontal="center" wrapText="1"/>
    </xf>
    <xf numFmtId="0" fontId="0" fillId="0" borderId="29" xfId="0" applyBorder="1" applyAlignment="1">
      <alignment horizontal="center" wrapText="1"/>
    </xf>
    <xf numFmtId="0" fontId="0" fillId="4" borderId="33" xfId="0" applyFill="1" applyBorder="1" applyAlignment="1">
      <alignment horizontal="center" wrapText="1"/>
    </xf>
    <xf numFmtId="0" fontId="0" fillId="4" borderId="32" xfId="0" applyFill="1" applyBorder="1" applyAlignment="1">
      <alignment horizontal="center" wrapText="1"/>
    </xf>
    <xf numFmtId="0" fontId="0" fillId="0" borderId="25" xfId="0" applyBorder="1" applyAlignment="1">
      <alignment horizontal="center" wrapText="1"/>
    </xf>
    <xf numFmtId="0" fontId="0" fillId="0" borderId="26" xfId="0" applyBorder="1" applyAlignment="1">
      <alignment horizontal="center" wrapText="1"/>
    </xf>
    <xf numFmtId="0" fontId="2" fillId="0" borderId="28" xfId="0" applyFont="1" applyBorder="1" applyAlignment="1">
      <alignment horizontal="center" wrapText="1"/>
    </xf>
    <xf numFmtId="0" fontId="2" fillId="0" borderId="29" xfId="0" applyFont="1" applyBorder="1" applyAlignment="1">
      <alignment horizontal="center" wrapText="1"/>
    </xf>
    <xf numFmtId="0" fontId="0" fillId="0" borderId="33" xfId="0" applyBorder="1" applyAlignment="1">
      <alignment horizontal="center" wrapText="1"/>
    </xf>
    <xf numFmtId="0" fontId="2" fillId="0" borderId="32" xfId="0" applyFont="1" applyBorder="1" applyAlignment="1">
      <alignment horizontal="center" wrapText="1"/>
    </xf>
    <xf numFmtId="0" fontId="2" fillId="7" borderId="0" xfId="0" applyFont="1" applyFill="1" applyAlignment="1">
      <alignment horizontal="center" wrapText="1"/>
    </xf>
    <xf numFmtId="0" fontId="0" fillId="27" borderId="0" xfId="0" applyFill="1" applyBorder="1" applyProtection="1">
      <protection locked="0"/>
    </xf>
    <xf numFmtId="0" fontId="0" fillId="0" borderId="0" xfId="0" applyNumberFormat="1"/>
  </cellXfs>
  <cellStyles count="3">
    <cellStyle name="Comma" xfId="2" builtinId="3"/>
    <cellStyle name="Hyperlink" xfId="1" builtinId="8"/>
    <cellStyle name="Normal" xfId="0" builtinId="0"/>
  </cellStyles>
  <dxfs count="161">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ont>
        <b/>
        <i val="0"/>
        <strike val="0"/>
        <condense val="0"/>
        <extend val="0"/>
        <outline val="0"/>
        <shadow val="0"/>
        <u val="none"/>
        <vertAlign val="baseline"/>
        <sz val="10"/>
        <color theme="1"/>
        <name val="Aptos Narrow"/>
        <family val="2"/>
        <scheme val="minor"/>
      </font>
      <alignment horizontal="left" vertical="center" textRotation="0" wrapText="1" indent="0" justifyLastLine="0" shrinkToFit="0" readingOrder="0"/>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b val="0"/>
        <i val="0"/>
        <strike val="0"/>
        <condense val="0"/>
        <extend val="0"/>
        <outline val="0"/>
        <shadow val="0"/>
        <u val="none"/>
        <vertAlign val="baseline"/>
        <sz val="10"/>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left" vertical="center" textRotation="0" wrapText="0" indent="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numFmt numFmtId="1" formatCode="0"/>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strike val="0"/>
        <outline val="0"/>
        <shadow val="0"/>
        <vertAlign val="baseline"/>
        <sz val="10"/>
      </font>
      <alignment horizontal="left" vertical="center" textRotation="0" justifyLastLine="0" shrinkToFit="0" readingOrder="0"/>
    </dxf>
    <dxf>
      <font>
        <b/>
        <i val="0"/>
        <strike val="0"/>
        <condense val="0"/>
        <extend val="0"/>
        <outline val="0"/>
        <shadow val="0"/>
        <u val="none"/>
        <vertAlign val="baseline"/>
        <sz val="10"/>
        <color theme="1"/>
        <name val="Aptos Narrow"/>
        <family val="2"/>
        <scheme val="minor"/>
      </font>
      <alignment horizontal="left" vertical="center" textRotation="0" wrapText="1" indent="0" justifyLastLine="0" shrinkToFit="0" readingOrder="0"/>
    </dxf>
    <dxf>
      <border outline="0">
        <top style="thin">
          <color theme="4" tint="0.39997558519241921"/>
        </top>
      </border>
    </dxf>
    <dxf>
      <font>
        <strike val="0"/>
        <outline val="0"/>
        <shadow val="0"/>
        <vertAlign val="baseline"/>
        <sz val="10"/>
      </font>
      <alignment horizontal="left" vertical="center" textRotation="0" justifyLastLine="0" shrinkToFit="0" readingOrder="0"/>
    </dxf>
    <dxf>
      <font>
        <b/>
        <i val="0"/>
        <strike val="0"/>
        <condense val="0"/>
        <extend val="0"/>
        <outline val="0"/>
        <shadow val="0"/>
        <u val="none"/>
        <vertAlign val="baseline"/>
        <sz val="10"/>
        <color theme="0"/>
        <name val="Aptos Narrow"/>
        <family val="2"/>
        <scheme val="minor"/>
      </font>
      <fill>
        <patternFill patternType="solid">
          <fgColor theme="6"/>
          <bgColor theme="4" tint="-0.249977111117893"/>
        </patternFill>
      </fill>
      <alignment horizontal="left" vertical="top" textRotation="0" wrapText="1" indent="0" justifyLastLine="0" shrinkToFit="0" readingOrder="0"/>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alignment horizontal="left" vertical="center" textRotation="0" justifyLastLine="0" shrinkToFit="0" readingOrder="0"/>
      <border diagonalUp="0" diagonalDown="0">
        <left/>
        <right style="thick">
          <color auto="1"/>
        </right>
        <vertical/>
      </border>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font>
        <b val="0"/>
        <i val="0"/>
        <strike val="0"/>
        <condense val="0"/>
        <extend val="0"/>
        <outline val="0"/>
        <shadow val="0"/>
        <u val="none"/>
        <vertAlign val="baseline"/>
        <sz val="10"/>
        <color theme="1"/>
        <name val="Aptos Narrow"/>
        <family val="2"/>
        <scheme val="minor"/>
      </font>
      <alignment horizontal="left" vertical="center" textRotation="0" wrapText="1" indent="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fill>
        <patternFill patternType="none">
          <fgColor indexed="64"/>
          <bgColor indexed="65"/>
        </patternFill>
      </fill>
      <alignment horizontal="left" vertical="center" textRotation="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justifyLastLine="0" shrinkToFit="0" readingOrder="0"/>
    </dxf>
    <dxf>
      <alignment horizontal="left" vertical="center" textRotation="0" wrapText="1" indent="0" justifyLastLine="0" shrinkToFit="0" readingOrder="0"/>
    </dxf>
    <dxf>
      <font>
        <strike val="0"/>
        <outline val="0"/>
        <shadow val="0"/>
        <u val="none"/>
        <vertAlign val="baseline"/>
        <sz val="11"/>
        <color theme="4"/>
        <name val="Aptos Narrow"/>
        <family val="2"/>
        <scheme val="minor"/>
      </font>
      <alignment horizontal="left" vertical="center" textRotation="0" wrapText="1" indent="0" justifyLastLine="0" shrinkToFit="0" readingOrder="0"/>
    </dxf>
    <dxf>
      <alignment horizontal="left" vertical="center" textRotation="0" justifyLastLine="0" shrinkToFit="0" readingOrder="0"/>
    </dxf>
    <dxf>
      <font>
        <b/>
        <strike val="0"/>
        <outline val="0"/>
        <shadow val="0"/>
        <u val="none"/>
        <vertAlign val="baseline"/>
        <sz val="11"/>
        <color theme="1"/>
        <name val="Aptos Narrow"/>
        <family val="2"/>
        <scheme val="minor"/>
      </font>
      <alignment horizontal="left" vertical="center" textRotation="0" justifyLastLine="0" shrinkToFit="0" readingOrder="0"/>
    </dxf>
    <dxf>
      <alignment horizontal="left" vertical="center" textRotation="0" justifyLastLine="0" shrinkToFit="0" readingOrder="0"/>
    </dxf>
    <dxf>
      <font>
        <b/>
        <i val="0"/>
        <strike val="0"/>
        <condense val="0"/>
        <extend val="0"/>
        <outline val="0"/>
        <shadow val="0"/>
        <u val="none"/>
        <vertAlign val="baseline"/>
        <sz val="10"/>
        <color theme="0"/>
        <name val="Aptos Narrow"/>
        <family val="2"/>
        <scheme val="minor"/>
      </font>
      <fill>
        <patternFill patternType="solid">
          <fgColor theme="4"/>
          <bgColor theme="4"/>
        </patternFill>
      </fill>
      <alignment horizontal="left" vertical="top" textRotation="0" wrapText="1" indent="0" justifyLastLine="0" shrinkToFit="0" readingOrder="0"/>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color theme="1"/>
      </font>
      <border>
        <bottom style="thin">
          <color theme="4"/>
        </bottom>
        <vertical/>
        <horizontal/>
      </border>
    </dxf>
    <dxf>
      <font>
        <color theme="1"/>
      </font>
      <border diagonalUp="0" diagonalDown="0">
        <left/>
        <right/>
        <top/>
        <bottom/>
        <vertical/>
        <horizontal/>
      </border>
    </dxf>
    <dxf>
      <font>
        <color theme="0"/>
      </font>
      <border>
        <bottom style="thin">
          <color theme="9"/>
        </bottom>
        <vertical/>
        <horizontal/>
      </border>
    </dxf>
    <dxf>
      <font>
        <color theme="1"/>
      </font>
      <fill>
        <patternFill>
          <bgColor theme="1" tint="0.24994659260841701"/>
        </patternFill>
      </fill>
      <border diagonalUp="0" diagonalDown="0">
        <left/>
        <right/>
        <top/>
        <bottom/>
        <vertical/>
        <horizontal/>
      </border>
    </dxf>
  </dxfs>
  <tableStyles count="2" defaultTableStyle="TableStyleMedium2" defaultPivotStyle="PivotStyleLight16">
    <tableStyle name="Degrees°" pivot="0" table="0" count="10" xr9:uid="{615A1000-671A-411B-9230-6E1DDB87D721}">
      <tableStyleElement type="wholeTable" dxfId="160"/>
      <tableStyleElement type="headerRow" dxfId="159"/>
    </tableStyle>
    <tableStyle name="graphs" pivot="0" table="0" count="10" xr9:uid="{BCF0B006-A8C3-4D86-AA8E-A18479D527FC}">
      <tableStyleElement type="wholeTable" dxfId="158"/>
      <tableStyleElement type="headerRow" dxfId="157"/>
    </tableStyle>
  </tableStyles>
  <colors>
    <mruColors>
      <color rgb="FFD0D0D0"/>
      <color rgb="FFF0AA2C"/>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egrees°">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graph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9.xml"/><Relationship Id="rId21" Type="http://schemas.microsoft.com/office/2007/relationships/slicerCache" Target="slicerCaches/slicerCache4.xml"/><Relationship Id="rId42" Type="http://schemas.microsoft.com/office/2007/relationships/slicerCache" Target="slicerCaches/slicerCache25.xml"/><Relationship Id="rId47" Type="http://schemas.microsoft.com/office/2007/relationships/slicerCache" Target="slicerCaches/slicerCache30.xml"/><Relationship Id="rId63" Type="http://schemas.microsoft.com/office/2007/relationships/slicerCache" Target="slicerCaches/slicerCache46.xml"/><Relationship Id="rId68" Type="http://schemas.microsoft.com/office/2007/relationships/slicerCache" Target="slicerCaches/slicerCache51.xml"/><Relationship Id="rId84" Type="http://schemas.microsoft.com/office/2007/relationships/slicerCache" Target="slicerCaches/slicerCache67.xml"/><Relationship Id="rId89" Type="http://schemas.microsoft.com/office/2007/relationships/slicerCache" Target="slicerCaches/slicerCache72.xml"/><Relationship Id="rId16" Type="http://schemas.openxmlformats.org/officeDocument/2006/relationships/pivotCacheDefinition" Target="pivotCache/pivotCacheDefinition2.xml"/><Relationship Id="rId11" Type="http://schemas.openxmlformats.org/officeDocument/2006/relationships/worksheet" Target="worksheets/sheet11.xml"/><Relationship Id="rId32" Type="http://schemas.microsoft.com/office/2007/relationships/slicerCache" Target="slicerCaches/slicerCache15.xml"/><Relationship Id="rId37" Type="http://schemas.microsoft.com/office/2007/relationships/slicerCache" Target="slicerCaches/slicerCache20.xml"/><Relationship Id="rId53" Type="http://schemas.microsoft.com/office/2007/relationships/slicerCache" Target="slicerCaches/slicerCache36.xml"/><Relationship Id="rId58" Type="http://schemas.microsoft.com/office/2007/relationships/slicerCache" Target="slicerCaches/slicerCache41.xml"/><Relationship Id="rId74" Type="http://schemas.microsoft.com/office/2007/relationships/slicerCache" Target="slicerCaches/slicerCache57.xml"/><Relationship Id="rId79" Type="http://schemas.microsoft.com/office/2007/relationships/slicerCache" Target="slicerCaches/slicerCache62.xml"/><Relationship Id="rId5" Type="http://schemas.openxmlformats.org/officeDocument/2006/relationships/worksheet" Target="worksheets/sheet5.xml"/><Relationship Id="rId90" Type="http://schemas.microsoft.com/office/2007/relationships/slicerCache" Target="slicerCaches/slicerCache73.xml"/><Relationship Id="rId95" Type="http://schemas.microsoft.com/office/2017/10/relationships/person" Target="persons/person.xml"/><Relationship Id="rId22" Type="http://schemas.microsoft.com/office/2007/relationships/slicerCache" Target="slicerCaches/slicerCache5.xml"/><Relationship Id="rId27" Type="http://schemas.microsoft.com/office/2007/relationships/slicerCache" Target="slicerCaches/slicerCache10.xml"/><Relationship Id="rId43" Type="http://schemas.microsoft.com/office/2007/relationships/slicerCache" Target="slicerCaches/slicerCache26.xml"/><Relationship Id="rId48" Type="http://schemas.microsoft.com/office/2007/relationships/slicerCache" Target="slicerCaches/slicerCache31.xml"/><Relationship Id="rId64" Type="http://schemas.microsoft.com/office/2007/relationships/slicerCache" Target="slicerCaches/slicerCache47.xml"/><Relationship Id="rId69" Type="http://schemas.microsoft.com/office/2007/relationships/slicerCache" Target="slicerCaches/slicerCache52.xml"/><Relationship Id="rId80" Type="http://schemas.microsoft.com/office/2007/relationships/slicerCache" Target="slicerCaches/slicerCache63.xml"/><Relationship Id="rId85" Type="http://schemas.microsoft.com/office/2007/relationships/slicerCache" Target="slicerCaches/slicerCache6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8.xml"/><Relationship Id="rId33" Type="http://schemas.microsoft.com/office/2007/relationships/slicerCache" Target="slicerCaches/slicerCache16.xml"/><Relationship Id="rId38" Type="http://schemas.microsoft.com/office/2007/relationships/slicerCache" Target="slicerCaches/slicerCache21.xml"/><Relationship Id="rId46" Type="http://schemas.microsoft.com/office/2007/relationships/slicerCache" Target="slicerCaches/slicerCache29.xml"/><Relationship Id="rId59" Type="http://schemas.microsoft.com/office/2007/relationships/slicerCache" Target="slicerCaches/slicerCache42.xml"/><Relationship Id="rId67" Type="http://schemas.microsoft.com/office/2007/relationships/slicerCache" Target="slicerCaches/slicerCache50.xml"/><Relationship Id="rId20" Type="http://schemas.microsoft.com/office/2007/relationships/slicerCache" Target="slicerCaches/slicerCache3.xml"/><Relationship Id="rId41" Type="http://schemas.microsoft.com/office/2007/relationships/slicerCache" Target="slicerCaches/slicerCache24.xml"/><Relationship Id="rId54" Type="http://schemas.microsoft.com/office/2007/relationships/slicerCache" Target="slicerCaches/slicerCache37.xml"/><Relationship Id="rId62" Type="http://schemas.microsoft.com/office/2007/relationships/slicerCache" Target="slicerCaches/slicerCache45.xml"/><Relationship Id="rId70" Type="http://schemas.microsoft.com/office/2007/relationships/slicerCache" Target="slicerCaches/slicerCache53.xml"/><Relationship Id="rId75" Type="http://schemas.microsoft.com/office/2007/relationships/slicerCache" Target="slicerCaches/slicerCache58.xml"/><Relationship Id="rId83" Type="http://schemas.microsoft.com/office/2007/relationships/slicerCache" Target="slicerCaches/slicerCache66.xml"/><Relationship Id="rId88" Type="http://schemas.microsoft.com/office/2007/relationships/slicerCache" Target="slicerCaches/slicerCache71.xml"/><Relationship Id="rId91" Type="http://schemas.openxmlformats.org/officeDocument/2006/relationships/theme" Target="theme/theme1.xml"/><Relationship Id="rId9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07/relationships/slicerCache" Target="slicerCaches/slicerCache6.xml"/><Relationship Id="rId28" Type="http://schemas.microsoft.com/office/2007/relationships/slicerCache" Target="slicerCaches/slicerCache11.xml"/><Relationship Id="rId36" Type="http://schemas.microsoft.com/office/2007/relationships/slicerCache" Target="slicerCaches/slicerCache19.xml"/><Relationship Id="rId49" Type="http://schemas.microsoft.com/office/2007/relationships/slicerCache" Target="slicerCaches/slicerCache32.xml"/><Relationship Id="rId57" Type="http://schemas.microsoft.com/office/2007/relationships/slicerCache" Target="slicerCaches/slicerCache40.xml"/><Relationship Id="rId10" Type="http://schemas.openxmlformats.org/officeDocument/2006/relationships/worksheet" Target="worksheets/sheet10.xml"/><Relationship Id="rId31" Type="http://schemas.microsoft.com/office/2007/relationships/slicerCache" Target="slicerCaches/slicerCache14.xml"/><Relationship Id="rId44" Type="http://schemas.microsoft.com/office/2007/relationships/slicerCache" Target="slicerCaches/slicerCache27.xml"/><Relationship Id="rId52" Type="http://schemas.microsoft.com/office/2007/relationships/slicerCache" Target="slicerCaches/slicerCache35.xml"/><Relationship Id="rId60" Type="http://schemas.microsoft.com/office/2007/relationships/slicerCache" Target="slicerCaches/slicerCache43.xml"/><Relationship Id="rId65" Type="http://schemas.microsoft.com/office/2007/relationships/slicerCache" Target="slicerCaches/slicerCache48.xml"/><Relationship Id="rId73" Type="http://schemas.microsoft.com/office/2007/relationships/slicerCache" Target="slicerCaches/slicerCache56.xml"/><Relationship Id="rId78" Type="http://schemas.microsoft.com/office/2007/relationships/slicerCache" Target="slicerCaches/slicerCache61.xml"/><Relationship Id="rId81" Type="http://schemas.microsoft.com/office/2007/relationships/slicerCache" Target="slicerCaches/slicerCache64.xml"/><Relationship Id="rId86" Type="http://schemas.microsoft.com/office/2007/relationships/slicerCache" Target="slicerCaches/slicerCache69.xml"/><Relationship Id="rId94" Type="http://schemas.openxmlformats.org/officeDocument/2006/relationships/sheetMetadata" Target="metadata.xml"/><Relationship Id="rId9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microsoft.com/office/2007/relationships/slicerCache" Target="slicerCaches/slicerCache1.xml"/><Relationship Id="rId39" Type="http://schemas.microsoft.com/office/2007/relationships/slicerCache" Target="slicerCaches/slicerCache22.xml"/><Relationship Id="rId34" Type="http://schemas.microsoft.com/office/2007/relationships/slicerCache" Target="slicerCaches/slicerCache17.xml"/><Relationship Id="rId50" Type="http://schemas.microsoft.com/office/2007/relationships/slicerCache" Target="slicerCaches/slicerCache33.xml"/><Relationship Id="rId55" Type="http://schemas.microsoft.com/office/2007/relationships/slicerCache" Target="slicerCaches/slicerCache38.xml"/><Relationship Id="rId76" Type="http://schemas.microsoft.com/office/2007/relationships/slicerCache" Target="slicerCaches/slicerCache59.xml"/><Relationship Id="rId97" Type="http://schemas.openxmlformats.org/officeDocument/2006/relationships/customXml" Target="../customXml/item1.xml"/><Relationship Id="rId7" Type="http://schemas.openxmlformats.org/officeDocument/2006/relationships/worksheet" Target="worksheets/sheet7.xml"/><Relationship Id="rId71" Type="http://schemas.microsoft.com/office/2007/relationships/slicerCache" Target="slicerCaches/slicerCache54.xml"/><Relationship Id="rId92" Type="http://schemas.openxmlformats.org/officeDocument/2006/relationships/styles" Target="styles.xml"/><Relationship Id="rId2" Type="http://schemas.openxmlformats.org/officeDocument/2006/relationships/worksheet" Target="worksheets/sheet2.xml"/><Relationship Id="rId29" Type="http://schemas.microsoft.com/office/2007/relationships/slicerCache" Target="slicerCaches/slicerCache12.xml"/><Relationship Id="rId24" Type="http://schemas.microsoft.com/office/2007/relationships/slicerCache" Target="slicerCaches/slicerCache7.xml"/><Relationship Id="rId40" Type="http://schemas.microsoft.com/office/2007/relationships/slicerCache" Target="slicerCaches/slicerCache23.xml"/><Relationship Id="rId45" Type="http://schemas.microsoft.com/office/2007/relationships/slicerCache" Target="slicerCaches/slicerCache28.xml"/><Relationship Id="rId66" Type="http://schemas.microsoft.com/office/2007/relationships/slicerCache" Target="slicerCaches/slicerCache49.xml"/><Relationship Id="rId87" Type="http://schemas.microsoft.com/office/2007/relationships/slicerCache" Target="slicerCaches/slicerCache70.xml"/><Relationship Id="rId61" Type="http://schemas.microsoft.com/office/2007/relationships/slicerCache" Target="slicerCaches/slicerCache44.xml"/><Relationship Id="rId82" Type="http://schemas.microsoft.com/office/2007/relationships/slicerCache" Target="slicerCaches/slicerCache65.xml"/><Relationship Id="rId19" Type="http://schemas.microsoft.com/office/2007/relationships/slicerCache" Target="slicerCaches/slicerCache2.xml"/><Relationship Id="rId14" Type="http://schemas.openxmlformats.org/officeDocument/2006/relationships/worksheet" Target="worksheets/sheet14.xml"/><Relationship Id="rId30" Type="http://schemas.microsoft.com/office/2007/relationships/slicerCache" Target="slicerCaches/slicerCache13.xml"/><Relationship Id="rId35" Type="http://schemas.microsoft.com/office/2007/relationships/slicerCache" Target="slicerCaches/slicerCache18.xml"/><Relationship Id="rId56" Type="http://schemas.microsoft.com/office/2007/relationships/slicerCache" Target="slicerCaches/slicerCache39.xml"/><Relationship Id="rId77" Type="http://schemas.microsoft.com/office/2007/relationships/slicerCache" Target="slicerCaches/slicerCache60.xml"/><Relationship Id="rId100" Type="http://schemas.microsoft.com/office/2006/relationships/vbaProject" Target="vbaProject.bin"/><Relationship Id="rId8" Type="http://schemas.openxmlformats.org/officeDocument/2006/relationships/worksheet" Target="worksheets/sheet8.xml"/><Relationship Id="rId51" Type="http://schemas.microsoft.com/office/2007/relationships/slicerCache" Target="slicerCaches/slicerCache34.xml"/><Relationship Id="rId72" Type="http://schemas.microsoft.com/office/2007/relationships/slicerCache" Target="slicerCaches/slicerCache55.xml"/><Relationship Id="rId93" Type="http://schemas.openxmlformats.org/officeDocument/2006/relationships/sharedStrings" Target="sharedStrings.xml"/><Relationship Id="rId98"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[Isokinetic Normative Data.xlsm]Shoulder Graphs!PivotTable2</c:name>
    <c:fmtId val="4"/>
  </c:pivotSource>
  <c:chart>
    <c:title>
      <c:tx>
        <c:rich>
          <a:bodyPr rot="0" spcFirstLastPara="1" vertOverflow="ellipsis" vert="horz" wrap="square" anchor="ctr" anchorCtr="1"/>
          <a:lstStyle/>
          <a:p>
            <a:pPr>
              <a:defRPr sz="1400" b="1" i="0" u="sng" strike="noStrike" kern="1200" cap="none" baseline="0">
                <a:solidFill>
                  <a:schemeClr val="lt1">
                    <a:lumMod val="85000"/>
                  </a:schemeClr>
                </a:solidFill>
                <a:latin typeface="+mn-lt"/>
                <a:ea typeface="+mn-ea"/>
                <a:cs typeface="+mn-cs"/>
              </a:defRPr>
            </a:pPr>
            <a:r>
              <a:rPr lang="en-US" sz="2800" u="sng"/>
              <a:t>Absolute</a:t>
            </a:r>
            <a:r>
              <a:rPr lang="en-US" sz="2800" u="sng" baseline="0"/>
              <a:t> Peak Torque for Shoulder</a:t>
            </a:r>
            <a:endParaRPr lang="en-US" sz="2800" u="sng"/>
          </a:p>
        </c:rich>
      </c:tx>
      <c:layout>
        <c:manualLayout>
          <c:xMode val="edge"/>
          <c:yMode val="edge"/>
          <c:x val="0.42546786720030833"/>
          <c:y val="0"/>
        </c:manualLayout>
      </c:layout>
      <c:overlay val="0"/>
      <c:spPr>
        <a:noFill/>
        <a:ln>
          <a:noFill/>
        </a:ln>
        <a:effectLst/>
      </c:spPr>
      <c:txPr>
        <a:bodyPr rot="0" spcFirstLastPara="1" vertOverflow="ellipsis" vert="horz" wrap="square" anchor="ctr" anchorCtr="1"/>
        <a:lstStyle/>
        <a:p>
          <a:pPr>
            <a:defRPr sz="1400" b="1" i="0" u="sng"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lumMod val="60000"/>
              <a:lumOff val="40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75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00B05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FF00"/>
          </a:solidFill>
          <a:ln w="9525" cap="flat" cmpd="sng" algn="ctr">
            <a:solidFill>
              <a:srgbClr val="FFFF00"/>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lumMod val="75000"/>
            </a:schemeClr>
          </a:solidFill>
          <a:ln w="9525" cap="flat" cmpd="sng" algn="ctr">
            <a:solidFill>
              <a:schemeClr val="accent2"/>
            </a:solidFill>
            <a:miter lim="800000"/>
          </a:ln>
          <a:effectLst>
            <a:glow rad="63500">
              <a:schemeClr val="accent2">
                <a:satMod val="175000"/>
                <a:alpha val="25000"/>
              </a:schemeClr>
            </a:glow>
          </a:effectLst>
        </c:spPr>
      </c:pivotFmt>
      <c:pivotFmt>
        <c:idx val="19"/>
        <c:spPr>
          <a:solidFill>
            <a:srgbClr val="FFFF00"/>
          </a:solidFill>
          <a:ln w="9525" cap="flat" cmpd="sng" algn="ctr">
            <a:solidFill>
              <a:srgbClr val="FFFF00"/>
            </a:solidFill>
            <a:miter lim="800000"/>
          </a:ln>
          <a:effectLst>
            <a:glow rad="63500">
              <a:schemeClr val="accent4">
                <a:satMod val="175000"/>
                <a:alpha val="25000"/>
              </a:schemeClr>
            </a:glow>
          </a:effectLst>
        </c:spPr>
      </c:pivotFmt>
    </c:pivotFmts>
    <c:plotArea>
      <c:layout>
        <c:manualLayout>
          <c:layoutTarget val="inner"/>
          <c:xMode val="edge"/>
          <c:yMode val="edge"/>
          <c:x val="7.0525610296436114E-2"/>
          <c:y val="0.12562960827445668"/>
          <c:w val="0.80823710322179876"/>
          <c:h val="0.69447165034970548"/>
        </c:manualLayout>
      </c:layout>
      <c:barChart>
        <c:barDir val="col"/>
        <c:grouping val="clustered"/>
        <c:varyColors val="0"/>
        <c:ser>
          <c:idx val="0"/>
          <c:order val="0"/>
          <c:tx>
            <c:strRef>
              <c:f>'Shoulder Graphs'!$C$8:$C$9</c:f>
              <c:strCache>
                <c:ptCount val="1"/>
                <c:pt idx="0">
                  <c:v>Average of External Rotation</c:v>
                </c:pt>
              </c:strCache>
            </c:strRef>
          </c:tx>
          <c:spPr>
            <a:solidFill>
              <a:schemeClr val="accent1">
                <a:lumMod val="60000"/>
                <a:lumOff val="40000"/>
              </a:schemeClr>
            </a:solid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'Shoulder Graphs'!$A$10:$B$37</c:f>
              <c:multiLvlStrCache>
                <c:ptCount val="18"/>
                <c:lvl>
                  <c:pt idx="0">
                    <c:v>Clements</c:v>
                  </c:pt>
                  <c:pt idx="1">
                    <c:v>Dodds</c:v>
                  </c:pt>
                  <c:pt idx="2">
                    <c:v>Ellenbecker</c:v>
                  </c:pt>
                  <c:pt idx="3">
                    <c:v>Laudner</c:v>
                  </c:pt>
                  <c:pt idx="4">
                    <c:v>Mulligan</c:v>
                  </c:pt>
                  <c:pt idx="5">
                    <c:v>Kuhlman</c:v>
                  </c:pt>
                  <c:pt idx="6">
                    <c:v>Tyler</c:v>
                  </c:pt>
                  <c:pt idx="7">
                    <c:v>Andrade</c:v>
                  </c:pt>
                  <c:pt idx="8">
                    <c:v> Batalha</c:v>
                  </c:pt>
                  <c:pt idx="9">
                    <c:v>Batalha</c:v>
                  </c:pt>
                  <c:pt idx="10">
                    <c:v>Brito</c:v>
                  </c:pt>
                  <c:pt idx="11">
                    <c:v>Saccol</c:v>
                  </c:pt>
                  <c:pt idx="12">
                    <c:v>Lira</c:v>
                  </c:pt>
                  <c:pt idx="13">
                    <c:v>Wang</c:v>
                  </c:pt>
                  <c:pt idx="14">
                    <c:v>El-Ashker</c:v>
                  </c:pt>
                  <c:pt idx="15">
                    <c:v>El-Ashker</c:v>
                  </c:pt>
                  <c:pt idx="16">
                    <c:v>El-Ashker</c:v>
                  </c:pt>
                  <c:pt idx="17">
                    <c:v>El-Ashker</c:v>
                  </c:pt>
                </c:lvl>
                <c:lvl>
                  <c:pt idx="0">
                    <c:v>Baseball</c:v>
                  </c:pt>
                  <c:pt idx="5">
                    <c:v>Gen Pop</c:v>
                  </c:pt>
                  <c:pt idx="7">
                    <c:v>Handball</c:v>
                  </c:pt>
                  <c:pt idx="8">
                    <c:v>Swimming</c:v>
                  </c:pt>
                  <c:pt idx="10">
                    <c:v>Tennis</c:v>
                  </c:pt>
                  <c:pt idx="12">
                    <c:v>Volleyball</c:v>
                  </c:pt>
                  <c:pt idx="14">
                    <c:v>Karate</c:v>
                  </c:pt>
                  <c:pt idx="15">
                    <c:v>Judo</c:v>
                  </c:pt>
                  <c:pt idx="16">
                    <c:v>Boxing</c:v>
                  </c:pt>
                  <c:pt idx="17">
                    <c:v>Taekwondo</c:v>
                  </c:pt>
                </c:lvl>
              </c:multiLvlStrCache>
            </c:multiLvlStrRef>
          </c:cat>
          <c:val>
            <c:numRef>
              <c:f>'Shoulder Graphs'!$C$10:$C$37</c:f>
              <c:numCache>
                <c:formatCode>0</c:formatCode>
                <c:ptCount val="18"/>
                <c:pt idx="0">
                  <c:v>52.82</c:v>
                </c:pt>
                <c:pt idx="1">
                  <c:v>20.057499999999997</c:v>
                </c:pt>
                <c:pt idx="2">
                  <c:v>36.299999999999997</c:v>
                </c:pt>
                <c:pt idx="3">
                  <c:v>20.225000000000001</c:v>
                </c:pt>
                <c:pt idx="4">
                  <c:v>9.0762499999999999</c:v>
                </c:pt>
                <c:pt idx="5">
                  <c:v>25.816666666666666</c:v>
                </c:pt>
                <c:pt idx="6">
                  <c:v>25.525000000000002</c:v>
                </c:pt>
                <c:pt idx="7">
                  <c:v>28.183333333333334</c:v>
                </c:pt>
                <c:pt idx="8">
                  <c:v>17.607500000000002</c:v>
                </c:pt>
                <c:pt idx="9">
                  <c:v>23.753749999999997</c:v>
                </c:pt>
                <c:pt idx="10">
                  <c:v>20.65</c:v>
                </c:pt>
                <c:pt idx="11">
                  <c:v>33.200000000000003</c:v>
                </c:pt>
                <c:pt idx="12">
                  <c:v>41.68333333333333</c:v>
                </c:pt>
                <c:pt idx="13">
                  <c:v>116.875</c:v>
                </c:pt>
              </c:numCache>
            </c:numRef>
          </c:val>
          <c:extLst>
            <c:ext xmlns:c16="http://schemas.microsoft.com/office/drawing/2014/chart" uri="{C3380CC4-5D6E-409C-BE32-E72D297353CC}">
              <c16:uniqueId val="{00000000-FBC7-4DFE-AE3A-343FA9616EA5}"/>
            </c:ext>
          </c:extLst>
        </c:ser>
        <c:ser>
          <c:idx val="1"/>
          <c:order val="1"/>
          <c:tx>
            <c:strRef>
              <c:f>'Shoulder Graphs'!$D$8:$D$9</c:f>
              <c:strCache>
                <c:ptCount val="1"/>
                <c:pt idx="0">
                  <c:v>Average of Internal Rotation</c:v>
                </c:pt>
              </c:strCache>
            </c:strRef>
          </c:tx>
          <c:spPr>
            <a:solidFill>
              <a:schemeClr val="accent2">
                <a:lumMod val="75000"/>
              </a:schemeClr>
            </a:solid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'Shoulder Graphs'!$A$10:$B$37</c:f>
              <c:multiLvlStrCache>
                <c:ptCount val="18"/>
                <c:lvl>
                  <c:pt idx="0">
                    <c:v>Clements</c:v>
                  </c:pt>
                  <c:pt idx="1">
                    <c:v>Dodds</c:v>
                  </c:pt>
                  <c:pt idx="2">
                    <c:v>Ellenbecker</c:v>
                  </c:pt>
                  <c:pt idx="3">
                    <c:v>Laudner</c:v>
                  </c:pt>
                  <c:pt idx="4">
                    <c:v>Mulligan</c:v>
                  </c:pt>
                  <c:pt idx="5">
                    <c:v>Kuhlman</c:v>
                  </c:pt>
                  <c:pt idx="6">
                    <c:v>Tyler</c:v>
                  </c:pt>
                  <c:pt idx="7">
                    <c:v>Andrade</c:v>
                  </c:pt>
                  <c:pt idx="8">
                    <c:v> Batalha</c:v>
                  </c:pt>
                  <c:pt idx="9">
                    <c:v>Batalha</c:v>
                  </c:pt>
                  <c:pt idx="10">
                    <c:v>Brito</c:v>
                  </c:pt>
                  <c:pt idx="11">
                    <c:v>Saccol</c:v>
                  </c:pt>
                  <c:pt idx="12">
                    <c:v>Lira</c:v>
                  </c:pt>
                  <c:pt idx="13">
                    <c:v>Wang</c:v>
                  </c:pt>
                  <c:pt idx="14">
                    <c:v>El-Ashker</c:v>
                  </c:pt>
                  <c:pt idx="15">
                    <c:v>El-Ashker</c:v>
                  </c:pt>
                  <c:pt idx="16">
                    <c:v>El-Ashker</c:v>
                  </c:pt>
                  <c:pt idx="17">
                    <c:v>El-Ashker</c:v>
                  </c:pt>
                </c:lvl>
                <c:lvl>
                  <c:pt idx="0">
                    <c:v>Baseball</c:v>
                  </c:pt>
                  <c:pt idx="5">
                    <c:v>Gen Pop</c:v>
                  </c:pt>
                  <c:pt idx="7">
                    <c:v>Handball</c:v>
                  </c:pt>
                  <c:pt idx="8">
                    <c:v>Swimming</c:v>
                  </c:pt>
                  <c:pt idx="10">
                    <c:v>Tennis</c:v>
                  </c:pt>
                  <c:pt idx="12">
                    <c:v>Volleyball</c:v>
                  </c:pt>
                  <c:pt idx="14">
                    <c:v>Karate</c:v>
                  </c:pt>
                  <c:pt idx="15">
                    <c:v>Judo</c:v>
                  </c:pt>
                  <c:pt idx="16">
                    <c:v>Boxing</c:v>
                  </c:pt>
                  <c:pt idx="17">
                    <c:v>Taekwondo</c:v>
                  </c:pt>
                </c:lvl>
              </c:multiLvlStrCache>
            </c:multiLvlStrRef>
          </c:cat>
          <c:val>
            <c:numRef>
              <c:f>'Shoulder Graphs'!$D$10:$D$37</c:f>
              <c:numCache>
                <c:formatCode>0</c:formatCode>
                <c:ptCount val="18"/>
                <c:pt idx="0">
                  <c:v>71.86</c:v>
                </c:pt>
                <c:pt idx="1">
                  <c:v>29.47</c:v>
                </c:pt>
                <c:pt idx="2">
                  <c:v>51.75</c:v>
                </c:pt>
                <c:pt idx="3">
                  <c:v>20.225000000000001</c:v>
                </c:pt>
                <c:pt idx="4">
                  <c:v>13.126249999999999</c:v>
                </c:pt>
                <c:pt idx="6">
                  <c:v>32.800000000000004</c:v>
                </c:pt>
                <c:pt idx="7">
                  <c:v>32.524999999999999</c:v>
                </c:pt>
                <c:pt idx="8">
                  <c:v>26.16</c:v>
                </c:pt>
                <c:pt idx="9">
                  <c:v>28.786249999999999</c:v>
                </c:pt>
                <c:pt idx="10">
                  <c:v>34.274999999999999</c:v>
                </c:pt>
                <c:pt idx="11">
                  <c:v>40.073333333333338</c:v>
                </c:pt>
                <c:pt idx="12">
                  <c:v>51.516666666666673</c:v>
                </c:pt>
                <c:pt idx="13">
                  <c:v>201.55</c:v>
                </c:pt>
              </c:numCache>
            </c:numRef>
          </c:val>
          <c:extLst>
            <c:ext xmlns:c16="http://schemas.microsoft.com/office/drawing/2014/chart" uri="{C3380CC4-5D6E-409C-BE32-E72D297353CC}">
              <c16:uniqueId val="{00000001-FBC7-4DFE-AE3A-343FA9616EA5}"/>
            </c:ext>
          </c:extLst>
        </c:ser>
        <c:ser>
          <c:idx val="2"/>
          <c:order val="2"/>
          <c:tx>
            <c:strRef>
              <c:f>'Shoulder Graphs'!$E$8:$E$9</c:f>
              <c:strCache>
                <c:ptCount val="1"/>
                <c:pt idx="0">
                  <c:v>Average of Flexion</c:v>
                </c:pt>
              </c:strCache>
            </c:strRef>
          </c:tx>
          <c:spPr>
            <a:solidFill>
              <a:srgbClr val="00B050"/>
            </a:solid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'Shoulder Graphs'!$A$10:$B$37</c:f>
              <c:multiLvlStrCache>
                <c:ptCount val="18"/>
                <c:lvl>
                  <c:pt idx="0">
                    <c:v>Clements</c:v>
                  </c:pt>
                  <c:pt idx="1">
                    <c:v>Dodds</c:v>
                  </c:pt>
                  <c:pt idx="2">
                    <c:v>Ellenbecker</c:v>
                  </c:pt>
                  <c:pt idx="3">
                    <c:v>Laudner</c:v>
                  </c:pt>
                  <c:pt idx="4">
                    <c:v>Mulligan</c:v>
                  </c:pt>
                  <c:pt idx="5">
                    <c:v>Kuhlman</c:v>
                  </c:pt>
                  <c:pt idx="6">
                    <c:v>Tyler</c:v>
                  </c:pt>
                  <c:pt idx="7">
                    <c:v>Andrade</c:v>
                  </c:pt>
                  <c:pt idx="8">
                    <c:v> Batalha</c:v>
                  </c:pt>
                  <c:pt idx="9">
                    <c:v>Batalha</c:v>
                  </c:pt>
                  <c:pt idx="10">
                    <c:v>Brito</c:v>
                  </c:pt>
                  <c:pt idx="11">
                    <c:v>Saccol</c:v>
                  </c:pt>
                  <c:pt idx="12">
                    <c:v>Lira</c:v>
                  </c:pt>
                  <c:pt idx="13">
                    <c:v>Wang</c:v>
                  </c:pt>
                  <c:pt idx="14">
                    <c:v>El-Ashker</c:v>
                  </c:pt>
                  <c:pt idx="15">
                    <c:v>El-Ashker</c:v>
                  </c:pt>
                  <c:pt idx="16">
                    <c:v>El-Ashker</c:v>
                  </c:pt>
                  <c:pt idx="17">
                    <c:v>El-Ashker</c:v>
                  </c:pt>
                </c:lvl>
                <c:lvl>
                  <c:pt idx="0">
                    <c:v>Baseball</c:v>
                  </c:pt>
                  <c:pt idx="5">
                    <c:v>Gen Pop</c:v>
                  </c:pt>
                  <c:pt idx="7">
                    <c:v>Handball</c:v>
                  </c:pt>
                  <c:pt idx="8">
                    <c:v>Swimming</c:v>
                  </c:pt>
                  <c:pt idx="10">
                    <c:v>Tennis</c:v>
                  </c:pt>
                  <c:pt idx="12">
                    <c:v>Volleyball</c:v>
                  </c:pt>
                  <c:pt idx="14">
                    <c:v>Karate</c:v>
                  </c:pt>
                  <c:pt idx="15">
                    <c:v>Judo</c:v>
                  </c:pt>
                  <c:pt idx="16">
                    <c:v>Boxing</c:v>
                  </c:pt>
                  <c:pt idx="17">
                    <c:v>Taekwondo</c:v>
                  </c:pt>
                </c:lvl>
              </c:multiLvlStrCache>
            </c:multiLvlStrRef>
          </c:cat>
          <c:val>
            <c:numRef>
              <c:f>'Shoulder Graphs'!$E$10:$E$37</c:f>
              <c:numCache>
                <c:formatCode>0</c:formatCode>
                <c:ptCount val="18"/>
                <c:pt idx="0">
                  <c:v>69.894999999999996</c:v>
                </c:pt>
                <c:pt idx="14">
                  <c:v>43.050000000000004</c:v>
                </c:pt>
                <c:pt idx="15">
                  <c:v>47.050000000000004</c:v>
                </c:pt>
                <c:pt idx="16">
                  <c:v>52.133333333333333</c:v>
                </c:pt>
                <c:pt idx="17">
                  <c:v>44.733333333333327</c:v>
                </c:pt>
              </c:numCache>
            </c:numRef>
          </c:val>
          <c:extLst>
            <c:ext xmlns:c16="http://schemas.microsoft.com/office/drawing/2014/chart" uri="{C3380CC4-5D6E-409C-BE32-E72D297353CC}">
              <c16:uniqueId val="{00000002-FBC7-4DFE-AE3A-343FA9616EA5}"/>
            </c:ext>
          </c:extLst>
        </c:ser>
        <c:ser>
          <c:idx val="3"/>
          <c:order val="3"/>
          <c:tx>
            <c:strRef>
              <c:f>'Shoulder Graphs'!$F$8:$F$9</c:f>
              <c:strCache>
                <c:ptCount val="1"/>
                <c:pt idx="0">
                  <c:v>Average of Extension</c:v>
                </c:pt>
              </c:strCache>
            </c:strRef>
          </c:tx>
          <c:spPr>
            <a:solidFill>
              <a:srgbClr val="FFFF00"/>
            </a:solidFill>
            <a:ln w="9525" cap="flat" cmpd="sng" algn="ctr">
              <a:solidFill>
                <a:srgbClr val="FFFF00"/>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'Shoulder Graphs'!$A$10:$B$37</c:f>
              <c:multiLvlStrCache>
                <c:ptCount val="18"/>
                <c:lvl>
                  <c:pt idx="0">
                    <c:v>Clements</c:v>
                  </c:pt>
                  <c:pt idx="1">
                    <c:v>Dodds</c:v>
                  </c:pt>
                  <c:pt idx="2">
                    <c:v>Ellenbecker</c:v>
                  </c:pt>
                  <c:pt idx="3">
                    <c:v>Laudner</c:v>
                  </c:pt>
                  <c:pt idx="4">
                    <c:v>Mulligan</c:v>
                  </c:pt>
                  <c:pt idx="5">
                    <c:v>Kuhlman</c:v>
                  </c:pt>
                  <c:pt idx="6">
                    <c:v>Tyler</c:v>
                  </c:pt>
                  <c:pt idx="7">
                    <c:v>Andrade</c:v>
                  </c:pt>
                  <c:pt idx="8">
                    <c:v> Batalha</c:v>
                  </c:pt>
                  <c:pt idx="9">
                    <c:v>Batalha</c:v>
                  </c:pt>
                  <c:pt idx="10">
                    <c:v>Brito</c:v>
                  </c:pt>
                  <c:pt idx="11">
                    <c:v>Saccol</c:v>
                  </c:pt>
                  <c:pt idx="12">
                    <c:v>Lira</c:v>
                  </c:pt>
                  <c:pt idx="13">
                    <c:v>Wang</c:v>
                  </c:pt>
                  <c:pt idx="14">
                    <c:v>El-Ashker</c:v>
                  </c:pt>
                  <c:pt idx="15">
                    <c:v>El-Ashker</c:v>
                  </c:pt>
                  <c:pt idx="16">
                    <c:v>El-Ashker</c:v>
                  </c:pt>
                  <c:pt idx="17">
                    <c:v>El-Ashker</c:v>
                  </c:pt>
                </c:lvl>
                <c:lvl>
                  <c:pt idx="0">
                    <c:v>Baseball</c:v>
                  </c:pt>
                  <c:pt idx="5">
                    <c:v>Gen Pop</c:v>
                  </c:pt>
                  <c:pt idx="7">
                    <c:v>Handball</c:v>
                  </c:pt>
                  <c:pt idx="8">
                    <c:v>Swimming</c:v>
                  </c:pt>
                  <c:pt idx="10">
                    <c:v>Tennis</c:v>
                  </c:pt>
                  <c:pt idx="12">
                    <c:v>Volleyball</c:v>
                  </c:pt>
                  <c:pt idx="14">
                    <c:v>Karate</c:v>
                  </c:pt>
                  <c:pt idx="15">
                    <c:v>Judo</c:v>
                  </c:pt>
                  <c:pt idx="16">
                    <c:v>Boxing</c:v>
                  </c:pt>
                  <c:pt idx="17">
                    <c:v>Taekwondo</c:v>
                  </c:pt>
                </c:lvl>
              </c:multiLvlStrCache>
            </c:multiLvlStrRef>
          </c:cat>
          <c:val>
            <c:numRef>
              <c:f>'Shoulder Graphs'!$F$10:$F$37</c:f>
              <c:numCache>
                <c:formatCode>0</c:formatCode>
                <c:ptCount val="18"/>
                <c:pt idx="0">
                  <c:v>76.254999999999995</c:v>
                </c:pt>
                <c:pt idx="14">
                  <c:v>34.06666666666667</c:v>
                </c:pt>
                <c:pt idx="15">
                  <c:v>36.933333333333337</c:v>
                </c:pt>
                <c:pt idx="16">
                  <c:v>39.216666666666669</c:v>
                </c:pt>
                <c:pt idx="17">
                  <c:v>35.93333333333333</c:v>
                </c:pt>
              </c:numCache>
            </c:numRef>
          </c:val>
          <c:extLst>
            <c:ext xmlns:c16="http://schemas.microsoft.com/office/drawing/2014/chart" uri="{C3380CC4-5D6E-409C-BE32-E72D297353CC}">
              <c16:uniqueId val="{00000003-FBC7-4DFE-AE3A-343FA9616EA5}"/>
            </c:ext>
          </c:extLst>
        </c:ser>
        <c:dLbls>
          <c:showLegendKey val="0"/>
          <c:showVal val="0"/>
          <c:showCatName val="0"/>
          <c:showSerName val="0"/>
          <c:showPercent val="0"/>
          <c:showBubbleSize val="0"/>
        </c:dLbls>
        <c:gapWidth val="315"/>
        <c:overlap val="-40"/>
        <c:axId val="1007814944"/>
        <c:axId val="1007815424"/>
      </c:barChart>
      <c:catAx>
        <c:axId val="100781494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lgn="ctr">
                  <a:defRPr sz="900" b="1" i="0" u="none" strike="noStrike" kern="1200" baseline="0">
                    <a:solidFill>
                      <a:schemeClr val="lt1">
                        <a:lumMod val="75000"/>
                      </a:schemeClr>
                    </a:solidFill>
                    <a:latin typeface="+mn-lt"/>
                    <a:ea typeface="+mn-ea"/>
                    <a:cs typeface="+mn-cs"/>
                  </a:defRPr>
                </a:pPr>
                <a:r>
                  <a:rPr lang="en-US" sz="1600"/>
                  <a:t>Sports</a:t>
                </a:r>
                <a:r>
                  <a:rPr lang="en-US" sz="1600" baseline="0"/>
                  <a:t> and Sources</a:t>
                </a:r>
                <a:endParaRPr lang="en-US" sz="1600"/>
              </a:p>
            </c:rich>
          </c:tx>
          <c:layout>
            <c:manualLayout>
              <c:xMode val="edge"/>
              <c:yMode val="edge"/>
              <c:x val="0.48560756295275498"/>
              <c:y val="0.92476689585447847"/>
            </c:manualLayout>
          </c:layout>
          <c:overlay val="0"/>
          <c:spPr>
            <a:noFill/>
            <a:ln>
              <a:noFill/>
            </a:ln>
            <a:effectLst/>
          </c:spPr>
          <c:txPr>
            <a:bodyPr rot="0" spcFirstLastPara="1" vertOverflow="ellipsis" vert="horz" wrap="square" anchor="ctr" anchorCtr="1"/>
            <a:lstStyle/>
            <a:p>
              <a:pPr algn="ct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07815424"/>
        <c:crosses val="autoZero"/>
        <c:auto val="1"/>
        <c:lblAlgn val="ctr"/>
        <c:lblOffset val="100"/>
        <c:noMultiLvlLbl val="0"/>
      </c:catAx>
      <c:valAx>
        <c:axId val="100781542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sz="1600"/>
                  <a:t>Units</a:t>
                </a:r>
                <a:r>
                  <a:rPr lang="en-US" sz="1600" baseline="0"/>
                  <a:t> of Measure</a:t>
                </a:r>
                <a:endParaRPr lang="en-US" sz="1600"/>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07814944"/>
        <c:crosses val="autoZero"/>
        <c:crossBetween val="between"/>
      </c:valAx>
      <c:spPr>
        <a:noFill/>
        <a:ln>
          <a:noFill/>
        </a:ln>
        <a:effectLst/>
      </c:spPr>
    </c:plotArea>
    <c:legend>
      <c:legendPos val="r"/>
      <c:layout>
        <c:manualLayout>
          <c:xMode val="edge"/>
          <c:yMode val="edge"/>
          <c:x val="0.88845397647019198"/>
          <c:y val="0.39321816020504474"/>
          <c:w val="0.10135684223855412"/>
          <c:h val="0.169275669100717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[Isokinetic Normative Data.xlsm]Ankle Graphs!PivotTable1</c:name>
    <c:fmtId val="8"/>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2800"/>
              <a:t>Absolute Peak Torque for Ankle</a:t>
            </a:r>
          </a:p>
          <a:p>
            <a:pPr>
              <a:defRPr/>
            </a:pPr>
            <a:endParaRPr lang="en-US" sz="2800"/>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lumOff val="50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FF00"/>
          </a:solidFill>
          <a:ln w="9525" cap="flat" cmpd="sng" algn="ctr">
            <a:solidFill>
              <a:srgbClr val="92D050"/>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455503311196809E-2"/>
          <c:y val="0.13188095023651097"/>
          <c:w val="0.80666289187136675"/>
          <c:h val="0.7730213369828588"/>
        </c:manualLayout>
      </c:layout>
      <c:barChart>
        <c:barDir val="col"/>
        <c:grouping val="clustered"/>
        <c:varyColors val="0"/>
        <c:ser>
          <c:idx val="0"/>
          <c:order val="0"/>
          <c:tx>
            <c:strRef>
              <c:f>'Ankle Graphs'!$B$7</c:f>
              <c:strCache>
                <c:ptCount val="1"/>
                <c:pt idx="0">
                  <c:v>Average of Plantar Flexion, Peak Torque</c:v>
                </c:pt>
              </c:strCache>
            </c:strRef>
          </c:tx>
          <c:spPr>
            <a:solidFill>
              <a:schemeClr val="tx2">
                <a:lumMod val="50000"/>
                <a:lumOff val="50000"/>
              </a:schemeClr>
            </a:solid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'Ankle Graphs'!$A$8:$A$25</c:f>
              <c:multiLvlStrCache>
                <c:ptCount val="13"/>
                <c:lvl>
                  <c:pt idx="0">
                    <c:v>Bradic</c:v>
                  </c:pt>
                  <c:pt idx="1">
                    <c:v>Payne</c:v>
                  </c:pt>
                  <c:pt idx="2">
                    <c:v>Song</c:v>
                  </c:pt>
                  <c:pt idx="3">
                    <c:v>Gerodimos</c:v>
                  </c:pt>
                  <c:pt idx="4">
                    <c:v>Wang</c:v>
                  </c:pt>
                  <c:pt idx="5">
                    <c:v>Gonosova</c:v>
                  </c:pt>
                  <c:pt idx="6">
                    <c:v>Kai</c:v>
                  </c:pt>
                  <c:pt idx="7">
                    <c:v>Tuominen</c:v>
                  </c:pt>
                  <c:pt idx="8">
                    <c:v>Sekir</c:v>
                  </c:pt>
                  <c:pt idx="9">
                    <c:v>Ordway</c:v>
                  </c:pt>
                  <c:pt idx="10">
                    <c:v>Fousekis</c:v>
                  </c:pt>
                  <c:pt idx="11">
                    <c:v>Silva</c:v>
                  </c:pt>
                  <c:pt idx="12">
                    <c:v>Kai</c:v>
                  </c:pt>
                </c:lvl>
                <c:lvl>
                  <c:pt idx="0">
                    <c:v>Basketball</c:v>
                  </c:pt>
                  <c:pt idx="5">
                    <c:v>Gen Pop</c:v>
                  </c:pt>
                  <c:pt idx="10">
                    <c:v>Soccer</c:v>
                  </c:pt>
                  <c:pt idx="12">
                    <c:v>Track</c:v>
                  </c:pt>
                </c:lvl>
              </c:multiLvlStrCache>
            </c:multiLvlStrRef>
          </c:cat>
          <c:val>
            <c:numRef>
              <c:f>'Ankle Graphs'!$B$8:$B$25</c:f>
              <c:numCache>
                <c:formatCode>0</c:formatCode>
                <c:ptCount val="13"/>
                <c:pt idx="0">
                  <c:v>127.13333333333333</c:v>
                </c:pt>
                <c:pt idx="1">
                  <c:v>47.137500000000003</c:v>
                </c:pt>
                <c:pt idx="3">
                  <c:v>89.074999999999989</c:v>
                </c:pt>
                <c:pt idx="5">
                  <c:v>110.82000000000001</c:v>
                </c:pt>
                <c:pt idx="6">
                  <c:v>55.833333333333336</c:v>
                </c:pt>
                <c:pt idx="7">
                  <c:v>98.1</c:v>
                </c:pt>
                <c:pt idx="9">
                  <c:v>36.25</c:v>
                </c:pt>
                <c:pt idx="10">
                  <c:v>164.1</c:v>
                </c:pt>
                <c:pt idx="12">
                  <c:v>64.36666666666666</c:v>
                </c:pt>
              </c:numCache>
            </c:numRef>
          </c:val>
          <c:extLst>
            <c:ext xmlns:c16="http://schemas.microsoft.com/office/drawing/2014/chart" uri="{C3380CC4-5D6E-409C-BE32-E72D297353CC}">
              <c16:uniqueId val="{00000000-7718-4CB0-8DA1-A401E09BA5E1}"/>
            </c:ext>
          </c:extLst>
        </c:ser>
        <c:ser>
          <c:idx val="1"/>
          <c:order val="1"/>
          <c:tx>
            <c:strRef>
              <c:f>'Ankle Graphs'!$C$7</c:f>
              <c:strCache>
                <c:ptCount val="1"/>
                <c:pt idx="0">
                  <c:v>Average of Dorsal Flexion, Peak Torque</c:v>
                </c:pt>
              </c:strCache>
            </c:strRef>
          </c:tx>
          <c:spPr>
            <a:solidFill>
              <a:schemeClr val="accent2"/>
            </a:solid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'Ankle Graphs'!$A$8:$A$25</c:f>
              <c:multiLvlStrCache>
                <c:ptCount val="13"/>
                <c:lvl>
                  <c:pt idx="0">
                    <c:v>Bradic</c:v>
                  </c:pt>
                  <c:pt idx="1">
                    <c:v>Payne</c:v>
                  </c:pt>
                  <c:pt idx="2">
                    <c:v>Song</c:v>
                  </c:pt>
                  <c:pt idx="3">
                    <c:v>Gerodimos</c:v>
                  </c:pt>
                  <c:pt idx="4">
                    <c:v>Wang</c:v>
                  </c:pt>
                  <c:pt idx="5">
                    <c:v>Gonosova</c:v>
                  </c:pt>
                  <c:pt idx="6">
                    <c:v>Kai</c:v>
                  </c:pt>
                  <c:pt idx="7">
                    <c:v>Tuominen</c:v>
                  </c:pt>
                  <c:pt idx="8">
                    <c:v>Sekir</c:v>
                  </c:pt>
                  <c:pt idx="9">
                    <c:v>Ordway</c:v>
                  </c:pt>
                  <c:pt idx="10">
                    <c:v>Fousekis</c:v>
                  </c:pt>
                  <c:pt idx="11">
                    <c:v>Silva</c:v>
                  </c:pt>
                  <c:pt idx="12">
                    <c:v>Kai</c:v>
                  </c:pt>
                </c:lvl>
                <c:lvl>
                  <c:pt idx="0">
                    <c:v>Basketball</c:v>
                  </c:pt>
                  <c:pt idx="5">
                    <c:v>Gen Pop</c:v>
                  </c:pt>
                  <c:pt idx="10">
                    <c:v>Soccer</c:v>
                  </c:pt>
                  <c:pt idx="12">
                    <c:v>Track</c:v>
                  </c:pt>
                </c:lvl>
              </c:multiLvlStrCache>
            </c:multiLvlStrRef>
          </c:cat>
          <c:val>
            <c:numRef>
              <c:f>'Ankle Graphs'!$C$8:$C$25</c:f>
              <c:numCache>
                <c:formatCode>0</c:formatCode>
                <c:ptCount val="13"/>
                <c:pt idx="0">
                  <c:v>26.860000000000003</c:v>
                </c:pt>
                <c:pt idx="1">
                  <c:v>25.749999999999996</c:v>
                </c:pt>
                <c:pt idx="3">
                  <c:v>32.162499999999994</c:v>
                </c:pt>
                <c:pt idx="5">
                  <c:v>30.82</c:v>
                </c:pt>
                <c:pt idx="6">
                  <c:v>27.066666666666666</c:v>
                </c:pt>
                <c:pt idx="7">
                  <c:v>28.1</c:v>
                </c:pt>
                <c:pt idx="9">
                  <c:v>18.5</c:v>
                </c:pt>
                <c:pt idx="10">
                  <c:v>36.375</c:v>
                </c:pt>
                <c:pt idx="12">
                  <c:v>30.099999999999998</c:v>
                </c:pt>
              </c:numCache>
            </c:numRef>
          </c:val>
          <c:extLst>
            <c:ext xmlns:c16="http://schemas.microsoft.com/office/drawing/2014/chart" uri="{C3380CC4-5D6E-409C-BE32-E72D297353CC}">
              <c16:uniqueId val="{00000001-7718-4CB0-8DA1-A401E09BA5E1}"/>
            </c:ext>
          </c:extLst>
        </c:ser>
        <c:ser>
          <c:idx val="2"/>
          <c:order val="2"/>
          <c:tx>
            <c:strRef>
              <c:f>'Ankle Graphs'!$D$7</c:f>
              <c:strCache>
                <c:ptCount val="1"/>
                <c:pt idx="0">
                  <c:v>Average of Inversion, Peak Torque</c:v>
                </c:pt>
              </c:strCache>
            </c:strRef>
          </c:tx>
          <c:spPr>
            <a:solidFill>
              <a:srgbClr val="00B050"/>
            </a:solid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'Ankle Graphs'!$A$8:$A$25</c:f>
              <c:multiLvlStrCache>
                <c:ptCount val="13"/>
                <c:lvl>
                  <c:pt idx="0">
                    <c:v>Bradic</c:v>
                  </c:pt>
                  <c:pt idx="1">
                    <c:v>Payne</c:v>
                  </c:pt>
                  <c:pt idx="2">
                    <c:v>Song</c:v>
                  </c:pt>
                  <c:pt idx="3">
                    <c:v>Gerodimos</c:v>
                  </c:pt>
                  <c:pt idx="4">
                    <c:v>Wang</c:v>
                  </c:pt>
                  <c:pt idx="5">
                    <c:v>Gonosova</c:v>
                  </c:pt>
                  <c:pt idx="6">
                    <c:v>Kai</c:v>
                  </c:pt>
                  <c:pt idx="7">
                    <c:v>Tuominen</c:v>
                  </c:pt>
                  <c:pt idx="8">
                    <c:v>Sekir</c:v>
                  </c:pt>
                  <c:pt idx="9">
                    <c:v>Ordway</c:v>
                  </c:pt>
                  <c:pt idx="10">
                    <c:v>Fousekis</c:v>
                  </c:pt>
                  <c:pt idx="11">
                    <c:v>Silva</c:v>
                  </c:pt>
                  <c:pt idx="12">
                    <c:v>Kai</c:v>
                  </c:pt>
                </c:lvl>
                <c:lvl>
                  <c:pt idx="0">
                    <c:v>Basketball</c:v>
                  </c:pt>
                  <c:pt idx="5">
                    <c:v>Gen Pop</c:v>
                  </c:pt>
                  <c:pt idx="10">
                    <c:v>Soccer</c:v>
                  </c:pt>
                  <c:pt idx="12">
                    <c:v>Track</c:v>
                  </c:pt>
                </c:lvl>
              </c:multiLvlStrCache>
            </c:multiLvlStrRef>
          </c:cat>
          <c:val>
            <c:numRef>
              <c:f>'Ankle Graphs'!$D$8:$D$25</c:f>
              <c:numCache>
                <c:formatCode>0</c:formatCode>
                <c:ptCount val="13"/>
                <c:pt idx="1">
                  <c:v>21.474999999999998</c:v>
                </c:pt>
                <c:pt idx="2">
                  <c:v>34.825000000000003</c:v>
                </c:pt>
                <c:pt idx="4">
                  <c:v>13.250000000000002</c:v>
                </c:pt>
                <c:pt idx="5">
                  <c:v>38</c:v>
                </c:pt>
                <c:pt idx="7">
                  <c:v>31.9</c:v>
                </c:pt>
                <c:pt idx="8">
                  <c:v>22.443750000000001</c:v>
                </c:pt>
                <c:pt idx="11">
                  <c:v>41.530999999999999</c:v>
                </c:pt>
              </c:numCache>
            </c:numRef>
          </c:val>
          <c:extLst>
            <c:ext xmlns:c16="http://schemas.microsoft.com/office/drawing/2014/chart" uri="{C3380CC4-5D6E-409C-BE32-E72D297353CC}">
              <c16:uniqueId val="{00000002-7718-4CB0-8DA1-A401E09BA5E1}"/>
            </c:ext>
          </c:extLst>
        </c:ser>
        <c:ser>
          <c:idx val="3"/>
          <c:order val="3"/>
          <c:tx>
            <c:strRef>
              <c:f>'Ankle Graphs'!$E$7</c:f>
              <c:strCache>
                <c:ptCount val="1"/>
                <c:pt idx="0">
                  <c:v>Average of Eversion, Peak Torque</c:v>
                </c:pt>
              </c:strCache>
            </c:strRef>
          </c:tx>
          <c:spPr>
            <a:solidFill>
              <a:srgbClr val="FFFF00"/>
            </a:solidFill>
            <a:ln w="9525" cap="flat" cmpd="sng" algn="ctr">
              <a:solidFill>
                <a:srgbClr val="92D050"/>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'Ankle Graphs'!$A$8:$A$25</c:f>
              <c:multiLvlStrCache>
                <c:ptCount val="13"/>
                <c:lvl>
                  <c:pt idx="0">
                    <c:v>Bradic</c:v>
                  </c:pt>
                  <c:pt idx="1">
                    <c:v>Payne</c:v>
                  </c:pt>
                  <c:pt idx="2">
                    <c:v>Song</c:v>
                  </c:pt>
                  <c:pt idx="3">
                    <c:v>Gerodimos</c:v>
                  </c:pt>
                  <c:pt idx="4">
                    <c:v>Wang</c:v>
                  </c:pt>
                  <c:pt idx="5">
                    <c:v>Gonosova</c:v>
                  </c:pt>
                  <c:pt idx="6">
                    <c:v>Kai</c:v>
                  </c:pt>
                  <c:pt idx="7">
                    <c:v>Tuominen</c:v>
                  </c:pt>
                  <c:pt idx="8">
                    <c:v>Sekir</c:v>
                  </c:pt>
                  <c:pt idx="9">
                    <c:v>Ordway</c:v>
                  </c:pt>
                  <c:pt idx="10">
                    <c:v>Fousekis</c:v>
                  </c:pt>
                  <c:pt idx="11">
                    <c:v>Silva</c:v>
                  </c:pt>
                  <c:pt idx="12">
                    <c:v>Kai</c:v>
                  </c:pt>
                </c:lvl>
                <c:lvl>
                  <c:pt idx="0">
                    <c:v>Basketball</c:v>
                  </c:pt>
                  <c:pt idx="5">
                    <c:v>Gen Pop</c:v>
                  </c:pt>
                  <c:pt idx="10">
                    <c:v>Soccer</c:v>
                  </c:pt>
                  <c:pt idx="12">
                    <c:v>Track</c:v>
                  </c:pt>
                </c:lvl>
              </c:multiLvlStrCache>
            </c:multiLvlStrRef>
          </c:cat>
          <c:val>
            <c:numRef>
              <c:f>'Ankle Graphs'!$E$8:$E$25</c:f>
              <c:numCache>
                <c:formatCode>0</c:formatCode>
                <c:ptCount val="13"/>
                <c:pt idx="1">
                  <c:v>22.487500000000001</c:v>
                </c:pt>
                <c:pt idx="2">
                  <c:v>27.775000000000002</c:v>
                </c:pt>
                <c:pt idx="4">
                  <c:v>13</c:v>
                </c:pt>
                <c:pt idx="5">
                  <c:v>31.774999999999999</c:v>
                </c:pt>
                <c:pt idx="7">
                  <c:v>22.9</c:v>
                </c:pt>
                <c:pt idx="8">
                  <c:v>21.30875</c:v>
                </c:pt>
                <c:pt idx="11">
                  <c:v>39.771111111111118</c:v>
                </c:pt>
              </c:numCache>
            </c:numRef>
          </c:val>
          <c:extLst>
            <c:ext xmlns:c16="http://schemas.microsoft.com/office/drawing/2014/chart" uri="{C3380CC4-5D6E-409C-BE32-E72D297353CC}">
              <c16:uniqueId val="{00000003-7718-4CB0-8DA1-A401E09BA5E1}"/>
            </c:ext>
          </c:extLst>
        </c:ser>
        <c:dLbls>
          <c:showLegendKey val="0"/>
          <c:showVal val="0"/>
          <c:showCatName val="0"/>
          <c:showSerName val="0"/>
          <c:showPercent val="0"/>
          <c:showBubbleSize val="0"/>
        </c:dLbls>
        <c:gapWidth val="315"/>
        <c:overlap val="-40"/>
        <c:axId val="1352005328"/>
        <c:axId val="1351994288"/>
      </c:barChart>
      <c:catAx>
        <c:axId val="1352005328"/>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51994288"/>
        <c:crosses val="autoZero"/>
        <c:auto val="1"/>
        <c:lblAlgn val="ctr"/>
        <c:lblOffset val="100"/>
        <c:noMultiLvlLbl val="0"/>
      </c:catAx>
      <c:valAx>
        <c:axId val="135199428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52005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[Isokinetic Normative Data.xlsm]PT Knee Graphs!Knee Pivot Table </c:name>
    <c:fmtId val="5"/>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2800" u="sng"/>
              <a:t>Knee Values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lumOff val="50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2">
              <a:lumMod val="25000"/>
              <a:lumOff val="75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lumMod val="75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w="9525" cap="flat" cmpd="sng" algn="ctr">
            <a:solidFill>
              <a:schemeClr val="accent1"/>
            </a:solidFill>
            <a:miter lim="800000"/>
          </a:ln>
          <a:effectLst>
            <a:glow rad="63500">
              <a:schemeClr val="accent1">
                <a:satMod val="175000"/>
                <a:alpha val="25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FF00"/>
          </a:solidFill>
          <a:ln w="9525" cap="flat" cmpd="sng" algn="ctr">
            <a:solidFill>
              <a:srgbClr val="FFFF00"/>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 Knee Graphs'!$B$8</c:f>
              <c:strCache>
                <c:ptCount val="1"/>
                <c:pt idx="0">
                  <c:v>Average of Extension Peak Force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multiLvlStrRef>
              <c:f>'PT Knee Graphs'!$A$9:$A$51</c:f>
              <c:multiLvlStrCache>
                <c:ptCount val="31"/>
                <c:lvl>
                  <c:pt idx="0">
                    <c:v>Bamaç</c:v>
                  </c:pt>
                  <c:pt idx="1">
                    <c:v>Bradic</c:v>
                  </c:pt>
                  <c:pt idx="2">
                    <c:v>Pekel</c:v>
                  </c:pt>
                  <c:pt idx="3">
                    <c:v>Schlitz</c:v>
                  </c:pt>
                  <c:pt idx="4">
                    <c:v>Theoharopoulos</c:v>
                  </c:pt>
                  <c:pt idx="5">
                    <c:v>Wrzesień</c:v>
                  </c:pt>
                  <c:pt idx="6">
                    <c:v>El-Ashker</c:v>
                  </c:pt>
                  <c:pt idx="7">
                    <c:v>Risberg</c:v>
                  </c:pt>
                  <c:pt idx="8">
                    <c:v>Tatlıcıoğlu</c:v>
                  </c:pt>
                  <c:pt idx="9">
                    <c:v>Zvijac</c:v>
                  </c:pt>
                  <c:pt idx="10">
                    <c:v>Bamaç</c:v>
                  </c:pt>
                  <c:pt idx="11">
                    <c:v>Lategan</c:v>
                  </c:pt>
                  <c:pt idx="12">
                    <c:v>Santos</c:v>
                  </c:pt>
                  <c:pt idx="13">
                    <c:v>Takey</c:v>
                  </c:pt>
                  <c:pt idx="14">
                    <c:v>Tuominen</c:v>
                  </c:pt>
                  <c:pt idx="15">
                    <c:v>Rave</c:v>
                  </c:pt>
                  <c:pt idx="16">
                    <c:v>Risberg</c:v>
                  </c:pt>
                  <c:pt idx="17">
                    <c:v>El-Ashker</c:v>
                  </c:pt>
                  <c:pt idx="18">
                    <c:v>El-Ashker</c:v>
                  </c:pt>
                  <c:pt idx="19">
                    <c:v>Cvjetovic</c:v>
                  </c:pt>
                  <c:pt idx="20">
                    <c:v>Read</c:v>
                  </c:pt>
                  <c:pt idx="21">
                    <c:v>Bonetti</c:v>
                  </c:pt>
                  <c:pt idx="22">
                    <c:v>Fenandez</c:v>
                  </c:pt>
                  <c:pt idx="23">
                    <c:v>Fousekis</c:v>
                  </c:pt>
                  <c:pt idx="24">
                    <c:v>Franca</c:v>
                  </c:pt>
                  <c:pt idx="25">
                    <c:v>Henderson</c:v>
                  </c:pt>
                  <c:pt idx="26">
                    <c:v>Kabacinski</c:v>
                  </c:pt>
                  <c:pt idx="27">
                    <c:v>Wilk</c:v>
                  </c:pt>
                  <c:pt idx="28">
                    <c:v>Bamaç</c:v>
                  </c:pt>
                  <c:pt idx="29">
                    <c:v>Wilkosz</c:v>
                  </c:pt>
                  <c:pt idx="30">
                    <c:v>El-Ashker</c:v>
                  </c:pt>
                </c:lvl>
                <c:lvl>
                  <c:pt idx="0">
                    <c:v>Basketball</c:v>
                  </c:pt>
                  <c:pt idx="6">
                    <c:v>Boxing</c:v>
                  </c:pt>
                  <c:pt idx="7">
                    <c:v>Football</c:v>
                  </c:pt>
                  <c:pt idx="10">
                    <c:v>Gen Pop</c:v>
                  </c:pt>
                  <c:pt idx="15">
                    <c:v>Handball</c:v>
                  </c:pt>
                  <c:pt idx="17">
                    <c:v>Judo</c:v>
                  </c:pt>
                  <c:pt idx="18">
                    <c:v>Karate</c:v>
                  </c:pt>
                  <c:pt idx="19">
                    <c:v>Mixed Sport</c:v>
                  </c:pt>
                  <c:pt idx="21">
                    <c:v>Soccer</c:v>
                  </c:pt>
                  <c:pt idx="28">
                    <c:v>Volleyball</c:v>
                  </c:pt>
                  <c:pt idx="30">
                    <c:v>Taekwondo</c:v>
                  </c:pt>
                </c:lvl>
              </c:multiLvlStrCache>
            </c:multiLvlStrRef>
          </c:cat>
          <c:val>
            <c:numRef>
              <c:f>'PT Knee Graphs'!$B$9:$B$51</c:f>
              <c:numCache>
                <c:formatCode>0</c:formatCode>
                <c:ptCount val="31"/>
                <c:pt idx="0">
                  <c:v>246.5</c:v>
                </c:pt>
                <c:pt idx="1">
                  <c:v>298.02499999999998</c:v>
                </c:pt>
                <c:pt idx="2">
                  <c:v>234.9</c:v>
                </c:pt>
                <c:pt idx="3">
                  <c:v>237.1166666666667</c:v>
                </c:pt>
                <c:pt idx="4">
                  <c:v>280.62</c:v>
                </c:pt>
                <c:pt idx="5">
                  <c:v>218.04</c:v>
                </c:pt>
                <c:pt idx="6">
                  <c:v>163.44999999999999</c:v>
                </c:pt>
                <c:pt idx="7">
                  <c:v>146.85</c:v>
                </c:pt>
                <c:pt idx="8">
                  <c:v>246.79999999999998</c:v>
                </c:pt>
                <c:pt idx="9">
                  <c:v>309.35000000000002</c:v>
                </c:pt>
                <c:pt idx="10">
                  <c:v>174.3</c:v>
                </c:pt>
                <c:pt idx="11">
                  <c:v>235.9</c:v>
                </c:pt>
                <c:pt idx="12">
                  <c:v>100.66</c:v>
                </c:pt>
                <c:pt idx="13">
                  <c:v>59.5</c:v>
                </c:pt>
                <c:pt idx="14">
                  <c:v>186.3</c:v>
                </c:pt>
                <c:pt idx="15">
                  <c:v>257.39999999999998</c:v>
                </c:pt>
                <c:pt idx="16">
                  <c:v>165.95</c:v>
                </c:pt>
                <c:pt idx="17">
                  <c:v>152.25</c:v>
                </c:pt>
                <c:pt idx="18">
                  <c:v>148.44999999999999</c:v>
                </c:pt>
                <c:pt idx="19">
                  <c:v>144.375</c:v>
                </c:pt>
                <c:pt idx="20">
                  <c:v>206.45</c:v>
                </c:pt>
                <c:pt idx="21">
                  <c:v>216.61000000000004</c:v>
                </c:pt>
                <c:pt idx="22">
                  <c:v>154.02500000000001</c:v>
                </c:pt>
                <c:pt idx="23">
                  <c:v>274.90000000000003</c:v>
                </c:pt>
                <c:pt idx="24">
                  <c:v>161.80000000000001</c:v>
                </c:pt>
                <c:pt idx="25">
                  <c:v>262.5</c:v>
                </c:pt>
                <c:pt idx="26">
                  <c:v>247.55</c:v>
                </c:pt>
                <c:pt idx="27">
                  <c:v>166.5</c:v>
                </c:pt>
                <c:pt idx="28">
                  <c:v>247.3</c:v>
                </c:pt>
                <c:pt idx="29">
                  <c:v>256.89999999999998</c:v>
                </c:pt>
                <c:pt idx="30">
                  <c:v>155</c:v>
                </c:pt>
              </c:numCache>
            </c:numRef>
          </c:val>
          <c:extLst>
            <c:ext xmlns:c16="http://schemas.microsoft.com/office/drawing/2014/chart" uri="{C3380CC4-5D6E-409C-BE32-E72D297353CC}">
              <c16:uniqueId val="{00000003-F033-4BE4-AC3E-BA8E484ED389}"/>
            </c:ext>
          </c:extLst>
        </c:ser>
        <c:ser>
          <c:idx val="1"/>
          <c:order val="1"/>
          <c:tx>
            <c:strRef>
              <c:f>'PT Knee Graphs'!$C$8</c:f>
              <c:strCache>
                <c:ptCount val="1"/>
                <c:pt idx="0">
                  <c:v>Average of Flexion Peak Force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multiLvlStrRef>
              <c:f>'PT Knee Graphs'!$A$9:$A$51</c:f>
              <c:multiLvlStrCache>
                <c:ptCount val="31"/>
                <c:lvl>
                  <c:pt idx="0">
                    <c:v>Bamaç</c:v>
                  </c:pt>
                  <c:pt idx="1">
                    <c:v>Bradic</c:v>
                  </c:pt>
                  <c:pt idx="2">
                    <c:v>Pekel</c:v>
                  </c:pt>
                  <c:pt idx="3">
                    <c:v>Schlitz</c:v>
                  </c:pt>
                  <c:pt idx="4">
                    <c:v>Theoharopoulos</c:v>
                  </c:pt>
                  <c:pt idx="5">
                    <c:v>Wrzesień</c:v>
                  </c:pt>
                  <c:pt idx="6">
                    <c:v>El-Ashker</c:v>
                  </c:pt>
                  <c:pt idx="7">
                    <c:v>Risberg</c:v>
                  </c:pt>
                  <c:pt idx="8">
                    <c:v>Tatlıcıoğlu</c:v>
                  </c:pt>
                  <c:pt idx="9">
                    <c:v>Zvijac</c:v>
                  </c:pt>
                  <c:pt idx="10">
                    <c:v>Bamaç</c:v>
                  </c:pt>
                  <c:pt idx="11">
                    <c:v>Lategan</c:v>
                  </c:pt>
                  <c:pt idx="12">
                    <c:v>Santos</c:v>
                  </c:pt>
                  <c:pt idx="13">
                    <c:v>Takey</c:v>
                  </c:pt>
                  <c:pt idx="14">
                    <c:v>Tuominen</c:v>
                  </c:pt>
                  <c:pt idx="15">
                    <c:v>Rave</c:v>
                  </c:pt>
                  <c:pt idx="16">
                    <c:v>Risberg</c:v>
                  </c:pt>
                  <c:pt idx="17">
                    <c:v>El-Ashker</c:v>
                  </c:pt>
                  <c:pt idx="18">
                    <c:v>El-Ashker</c:v>
                  </c:pt>
                  <c:pt idx="19">
                    <c:v>Cvjetovic</c:v>
                  </c:pt>
                  <c:pt idx="20">
                    <c:v>Read</c:v>
                  </c:pt>
                  <c:pt idx="21">
                    <c:v>Bonetti</c:v>
                  </c:pt>
                  <c:pt idx="22">
                    <c:v>Fenandez</c:v>
                  </c:pt>
                  <c:pt idx="23">
                    <c:v>Fousekis</c:v>
                  </c:pt>
                  <c:pt idx="24">
                    <c:v>Franca</c:v>
                  </c:pt>
                  <c:pt idx="25">
                    <c:v>Henderson</c:v>
                  </c:pt>
                  <c:pt idx="26">
                    <c:v>Kabacinski</c:v>
                  </c:pt>
                  <c:pt idx="27">
                    <c:v>Wilk</c:v>
                  </c:pt>
                  <c:pt idx="28">
                    <c:v>Bamaç</c:v>
                  </c:pt>
                  <c:pt idx="29">
                    <c:v>Wilkosz</c:v>
                  </c:pt>
                  <c:pt idx="30">
                    <c:v>El-Ashker</c:v>
                  </c:pt>
                </c:lvl>
                <c:lvl>
                  <c:pt idx="0">
                    <c:v>Basketball</c:v>
                  </c:pt>
                  <c:pt idx="6">
                    <c:v>Boxing</c:v>
                  </c:pt>
                  <c:pt idx="7">
                    <c:v>Football</c:v>
                  </c:pt>
                  <c:pt idx="10">
                    <c:v>Gen Pop</c:v>
                  </c:pt>
                  <c:pt idx="15">
                    <c:v>Handball</c:v>
                  </c:pt>
                  <c:pt idx="17">
                    <c:v>Judo</c:v>
                  </c:pt>
                  <c:pt idx="18">
                    <c:v>Karate</c:v>
                  </c:pt>
                  <c:pt idx="19">
                    <c:v>Mixed Sport</c:v>
                  </c:pt>
                  <c:pt idx="21">
                    <c:v>Soccer</c:v>
                  </c:pt>
                  <c:pt idx="28">
                    <c:v>Volleyball</c:v>
                  </c:pt>
                  <c:pt idx="30">
                    <c:v>Taekwondo</c:v>
                  </c:pt>
                </c:lvl>
              </c:multiLvlStrCache>
            </c:multiLvlStrRef>
          </c:cat>
          <c:val>
            <c:numRef>
              <c:f>'PT Knee Graphs'!$C$9:$C$51</c:f>
              <c:numCache>
                <c:formatCode>0</c:formatCode>
                <c:ptCount val="31"/>
                <c:pt idx="0">
                  <c:v>124.6</c:v>
                </c:pt>
                <c:pt idx="1">
                  <c:v>172.25</c:v>
                </c:pt>
                <c:pt idx="2">
                  <c:v>135.44999999999999</c:v>
                </c:pt>
                <c:pt idx="3">
                  <c:v>147.23333333333332</c:v>
                </c:pt>
                <c:pt idx="4">
                  <c:v>181.28800000000001</c:v>
                </c:pt>
                <c:pt idx="5">
                  <c:v>123.0125</c:v>
                </c:pt>
                <c:pt idx="6">
                  <c:v>221.7</c:v>
                </c:pt>
                <c:pt idx="7">
                  <c:v>86.2</c:v>
                </c:pt>
                <c:pt idx="8">
                  <c:v>150.86666666666667</c:v>
                </c:pt>
                <c:pt idx="9">
                  <c:v>208.16</c:v>
                </c:pt>
                <c:pt idx="10">
                  <c:v>79.900000000000006</c:v>
                </c:pt>
                <c:pt idx="11">
                  <c:v>158.5</c:v>
                </c:pt>
                <c:pt idx="12">
                  <c:v>47.76</c:v>
                </c:pt>
                <c:pt idx="14">
                  <c:v>96.25</c:v>
                </c:pt>
                <c:pt idx="15">
                  <c:v>163.19999999999999</c:v>
                </c:pt>
                <c:pt idx="16">
                  <c:v>94.2</c:v>
                </c:pt>
                <c:pt idx="17">
                  <c:v>221.10000000000002</c:v>
                </c:pt>
                <c:pt idx="18">
                  <c:v>202</c:v>
                </c:pt>
                <c:pt idx="19">
                  <c:v>81.884999999999991</c:v>
                </c:pt>
                <c:pt idx="20">
                  <c:v>126.75</c:v>
                </c:pt>
                <c:pt idx="21">
                  <c:v>121.91800000000001</c:v>
                </c:pt>
                <c:pt idx="22">
                  <c:v>83.284999999999997</c:v>
                </c:pt>
                <c:pt idx="23">
                  <c:v>165</c:v>
                </c:pt>
                <c:pt idx="24">
                  <c:v>94.3</c:v>
                </c:pt>
                <c:pt idx="25">
                  <c:v>156.5</c:v>
                </c:pt>
                <c:pt idx="26">
                  <c:v>148.15</c:v>
                </c:pt>
                <c:pt idx="27">
                  <c:v>95</c:v>
                </c:pt>
                <c:pt idx="28">
                  <c:v>127.4</c:v>
                </c:pt>
                <c:pt idx="29">
                  <c:v>129.80000000000001</c:v>
                </c:pt>
                <c:pt idx="30">
                  <c:v>217.55</c:v>
                </c:pt>
              </c:numCache>
            </c:numRef>
          </c:val>
          <c:extLst>
            <c:ext xmlns:c16="http://schemas.microsoft.com/office/drawing/2014/chart" uri="{C3380CC4-5D6E-409C-BE32-E72D297353CC}">
              <c16:uniqueId val="{00000002-A683-491A-AD3B-FF4DECF99E53}"/>
            </c:ext>
          </c:extLst>
        </c:ser>
        <c:dLbls>
          <c:showLegendKey val="0"/>
          <c:showVal val="0"/>
          <c:showCatName val="0"/>
          <c:showSerName val="0"/>
          <c:showPercent val="0"/>
          <c:showBubbleSize val="0"/>
        </c:dLbls>
        <c:gapWidth val="315"/>
        <c:overlap val="-40"/>
        <c:axId val="1981724016"/>
        <c:axId val="1981718256"/>
      </c:barChart>
      <c:catAx>
        <c:axId val="198172401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sz="1400">
                    <a:latin typeface="Abadi" panose="020B0604020104020204" pitchFamily="34" charset="0"/>
                  </a:rPr>
                  <a:t>Sources and Sports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81718256"/>
        <c:crosses val="autoZero"/>
        <c:auto val="1"/>
        <c:lblAlgn val="ctr"/>
        <c:lblOffset val="100"/>
        <c:noMultiLvlLbl val="0"/>
      </c:catAx>
      <c:valAx>
        <c:axId val="198171825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sz="1400">
                    <a:latin typeface="Abadi" panose="020B0604020104020204" pitchFamily="34" charset="0"/>
                  </a:rPr>
                  <a:t>Units of Measure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81724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Abadi" panose="020B0604020104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[Isokinetic Normative Data.xlsm]PT Knee Graphs!Knee Pivot Table </c:name>
    <c:fmtId val="9"/>
  </c:pivotSource>
  <c:chart>
    <c:title>
      <c:tx>
        <c:rich>
          <a:bodyPr rot="0" spcFirstLastPara="1" vertOverflow="ellipsis" vert="horz" wrap="square" anchor="ctr" anchorCtr="1"/>
          <a:lstStyle/>
          <a:p>
            <a:pPr algn="ctr">
              <a:defRPr sz="1400" b="1" i="0" u="none" strike="noStrike" kern="1200" cap="none" baseline="0">
                <a:solidFill>
                  <a:schemeClr val="lt1">
                    <a:lumMod val="85000"/>
                  </a:schemeClr>
                </a:solidFill>
                <a:latin typeface="+mn-lt"/>
                <a:ea typeface="+mn-ea"/>
                <a:cs typeface="+mn-cs"/>
              </a:defRPr>
            </a:pPr>
            <a:r>
              <a:rPr lang="en-US" sz="2800" u="sng"/>
              <a:t>Absolute</a:t>
            </a:r>
            <a:r>
              <a:rPr lang="en-US" sz="2800" u="sng" baseline="0"/>
              <a:t> </a:t>
            </a:r>
            <a:r>
              <a:rPr lang="en-US" sz="2800" u="sng"/>
              <a:t>Peak Torque</a:t>
            </a:r>
            <a:r>
              <a:rPr lang="en-US" sz="2800" u="sng" baseline="0"/>
              <a:t> for Knee</a:t>
            </a:r>
            <a:endParaRPr lang="en-US" sz="2800" u="sng"/>
          </a:p>
        </c:rich>
      </c:tx>
      <c:overlay val="0"/>
      <c:spPr>
        <a:noFill/>
        <a:ln>
          <a:noFill/>
        </a:ln>
        <a:effectLst/>
      </c:spPr>
      <c:txPr>
        <a:bodyPr rot="0" spcFirstLastPara="1" vertOverflow="ellipsis" vert="horz" wrap="square" anchor="ctr" anchorCtr="1"/>
        <a:lstStyle/>
        <a:p>
          <a:pPr algn="ct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lumOff val="50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2">
              <a:lumMod val="25000"/>
              <a:lumOff val="75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lumMod val="75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w="9525" cap="flat" cmpd="sng" algn="ctr">
            <a:solidFill>
              <a:schemeClr val="accent1"/>
            </a:solidFill>
            <a:miter lim="800000"/>
          </a:ln>
          <a:effectLst>
            <a:glow rad="63500">
              <a:schemeClr val="accent1">
                <a:satMod val="175000"/>
                <a:alpha val="25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FF00"/>
          </a:solidFill>
          <a:ln w="9525" cap="flat" cmpd="sng" algn="ctr">
            <a:solidFill>
              <a:srgbClr val="FFFF00"/>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w="9525" cap="flat" cmpd="sng" algn="ctr">
            <a:solidFill>
              <a:schemeClr val="accent1"/>
            </a:solidFill>
            <a:miter lim="800000"/>
          </a:ln>
          <a:effectLst>
            <a:glow rad="63500">
              <a:schemeClr val="accent1">
                <a:satMod val="175000"/>
                <a:alpha val="25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FF00"/>
          </a:solidFill>
          <a:ln w="9525" cap="flat" cmpd="sng" algn="ctr">
            <a:solidFill>
              <a:srgbClr val="FFFF00"/>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w="9525" cap="flat" cmpd="sng" algn="ctr">
            <a:solidFill>
              <a:schemeClr val="accent2"/>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tx2">
              <a:lumMod val="75000"/>
              <a:lumOff val="25000"/>
            </a:schemeClr>
          </a:solidFill>
          <a:ln w="9525" cap="flat" cmpd="sng" algn="ctr">
            <a:solidFill>
              <a:schemeClr val="accent4">
                <a:lumMod val="75000"/>
              </a:schemeClr>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w="9525" cap="flat" cmpd="sng" algn="ctr">
            <a:solidFill>
              <a:schemeClr val="accent1"/>
            </a:solidFill>
            <a:miter lim="800000"/>
          </a:ln>
          <a:effectLst>
            <a:glow rad="63500">
              <a:schemeClr val="accent1">
                <a:satMod val="175000"/>
                <a:alpha val="25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 Knee Graphs'!$B$8</c:f>
              <c:strCache>
                <c:ptCount val="1"/>
                <c:pt idx="0">
                  <c:v>Average of Extension Peak Force</c:v>
                </c:pt>
              </c:strCache>
            </c:strRef>
          </c:tx>
          <c:spPr>
            <a:solidFill>
              <a:schemeClr val="accent2"/>
            </a:solidFill>
            <a:ln w="9525" cap="flat" cmpd="sng" algn="ctr">
              <a:solidFill>
                <a:schemeClr val="accent2"/>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'PT Knee Graphs'!$A$9:$A$51</c:f>
              <c:multiLvlStrCache>
                <c:ptCount val="31"/>
                <c:lvl>
                  <c:pt idx="0">
                    <c:v>Bamaç</c:v>
                  </c:pt>
                  <c:pt idx="1">
                    <c:v>Bradic</c:v>
                  </c:pt>
                  <c:pt idx="2">
                    <c:v>Pekel</c:v>
                  </c:pt>
                  <c:pt idx="3">
                    <c:v>Schlitz</c:v>
                  </c:pt>
                  <c:pt idx="4">
                    <c:v>Theoharopoulos</c:v>
                  </c:pt>
                  <c:pt idx="5">
                    <c:v>Wrzesień</c:v>
                  </c:pt>
                  <c:pt idx="6">
                    <c:v>El-Ashker</c:v>
                  </c:pt>
                  <c:pt idx="7">
                    <c:v>Risberg</c:v>
                  </c:pt>
                  <c:pt idx="8">
                    <c:v>Tatlıcıoğlu</c:v>
                  </c:pt>
                  <c:pt idx="9">
                    <c:v>Zvijac</c:v>
                  </c:pt>
                  <c:pt idx="10">
                    <c:v>Bamaç</c:v>
                  </c:pt>
                  <c:pt idx="11">
                    <c:v>Lategan</c:v>
                  </c:pt>
                  <c:pt idx="12">
                    <c:v>Santos</c:v>
                  </c:pt>
                  <c:pt idx="13">
                    <c:v>Takey</c:v>
                  </c:pt>
                  <c:pt idx="14">
                    <c:v>Tuominen</c:v>
                  </c:pt>
                  <c:pt idx="15">
                    <c:v>Rave</c:v>
                  </c:pt>
                  <c:pt idx="16">
                    <c:v>Risberg</c:v>
                  </c:pt>
                  <c:pt idx="17">
                    <c:v>El-Ashker</c:v>
                  </c:pt>
                  <c:pt idx="18">
                    <c:v>El-Ashker</c:v>
                  </c:pt>
                  <c:pt idx="19">
                    <c:v>Cvjetovic</c:v>
                  </c:pt>
                  <c:pt idx="20">
                    <c:v>Read</c:v>
                  </c:pt>
                  <c:pt idx="21">
                    <c:v>Bonetti</c:v>
                  </c:pt>
                  <c:pt idx="22">
                    <c:v>Fenandez</c:v>
                  </c:pt>
                  <c:pt idx="23">
                    <c:v>Fousekis</c:v>
                  </c:pt>
                  <c:pt idx="24">
                    <c:v>Franca</c:v>
                  </c:pt>
                  <c:pt idx="25">
                    <c:v>Henderson</c:v>
                  </c:pt>
                  <c:pt idx="26">
                    <c:v>Kabacinski</c:v>
                  </c:pt>
                  <c:pt idx="27">
                    <c:v>Wilk</c:v>
                  </c:pt>
                  <c:pt idx="28">
                    <c:v>Bamaç</c:v>
                  </c:pt>
                  <c:pt idx="29">
                    <c:v>Wilkosz</c:v>
                  </c:pt>
                  <c:pt idx="30">
                    <c:v>El-Ashker</c:v>
                  </c:pt>
                </c:lvl>
                <c:lvl>
                  <c:pt idx="0">
                    <c:v>Basketball</c:v>
                  </c:pt>
                  <c:pt idx="6">
                    <c:v>Boxing</c:v>
                  </c:pt>
                  <c:pt idx="7">
                    <c:v>Football</c:v>
                  </c:pt>
                  <c:pt idx="10">
                    <c:v>Gen Pop</c:v>
                  </c:pt>
                  <c:pt idx="15">
                    <c:v>Handball</c:v>
                  </c:pt>
                  <c:pt idx="17">
                    <c:v>Judo</c:v>
                  </c:pt>
                  <c:pt idx="18">
                    <c:v>Karate</c:v>
                  </c:pt>
                  <c:pt idx="19">
                    <c:v>Mixed Sport</c:v>
                  </c:pt>
                  <c:pt idx="21">
                    <c:v>Soccer</c:v>
                  </c:pt>
                  <c:pt idx="28">
                    <c:v>Volleyball</c:v>
                  </c:pt>
                  <c:pt idx="30">
                    <c:v>Taekwondo</c:v>
                  </c:pt>
                </c:lvl>
              </c:multiLvlStrCache>
            </c:multiLvlStrRef>
          </c:cat>
          <c:val>
            <c:numRef>
              <c:f>'PT Knee Graphs'!$B$9:$B$51</c:f>
              <c:numCache>
                <c:formatCode>0</c:formatCode>
                <c:ptCount val="31"/>
                <c:pt idx="0">
                  <c:v>246.5</c:v>
                </c:pt>
                <c:pt idx="1">
                  <c:v>298.02499999999998</c:v>
                </c:pt>
                <c:pt idx="2">
                  <c:v>234.9</c:v>
                </c:pt>
                <c:pt idx="3">
                  <c:v>237.1166666666667</c:v>
                </c:pt>
                <c:pt idx="4">
                  <c:v>280.62</c:v>
                </c:pt>
                <c:pt idx="5">
                  <c:v>218.04</c:v>
                </c:pt>
                <c:pt idx="6">
                  <c:v>163.44999999999999</c:v>
                </c:pt>
                <c:pt idx="7">
                  <c:v>146.85</c:v>
                </c:pt>
                <c:pt idx="8">
                  <c:v>246.79999999999998</c:v>
                </c:pt>
                <c:pt idx="9">
                  <c:v>309.35000000000002</c:v>
                </c:pt>
                <c:pt idx="10">
                  <c:v>174.3</c:v>
                </c:pt>
                <c:pt idx="11">
                  <c:v>235.9</c:v>
                </c:pt>
                <c:pt idx="12">
                  <c:v>100.66</c:v>
                </c:pt>
                <c:pt idx="13">
                  <c:v>59.5</c:v>
                </c:pt>
                <c:pt idx="14">
                  <c:v>186.3</c:v>
                </c:pt>
                <c:pt idx="15">
                  <c:v>257.39999999999998</c:v>
                </c:pt>
                <c:pt idx="16">
                  <c:v>165.95</c:v>
                </c:pt>
                <c:pt idx="17">
                  <c:v>152.25</c:v>
                </c:pt>
                <c:pt idx="18">
                  <c:v>148.44999999999999</c:v>
                </c:pt>
                <c:pt idx="19">
                  <c:v>144.375</c:v>
                </c:pt>
                <c:pt idx="20">
                  <c:v>206.45</c:v>
                </c:pt>
                <c:pt idx="21">
                  <c:v>216.61000000000004</c:v>
                </c:pt>
                <c:pt idx="22">
                  <c:v>154.02500000000001</c:v>
                </c:pt>
                <c:pt idx="23">
                  <c:v>274.90000000000003</c:v>
                </c:pt>
                <c:pt idx="24">
                  <c:v>161.80000000000001</c:v>
                </c:pt>
                <c:pt idx="25">
                  <c:v>262.5</c:v>
                </c:pt>
                <c:pt idx="26">
                  <c:v>247.55</c:v>
                </c:pt>
                <c:pt idx="27">
                  <c:v>166.5</c:v>
                </c:pt>
                <c:pt idx="28">
                  <c:v>247.3</c:v>
                </c:pt>
                <c:pt idx="29">
                  <c:v>256.89999999999998</c:v>
                </c:pt>
                <c:pt idx="30">
                  <c:v>155</c:v>
                </c:pt>
              </c:numCache>
            </c:numRef>
          </c:val>
          <c:extLst>
            <c:ext xmlns:c16="http://schemas.microsoft.com/office/drawing/2014/chart" uri="{C3380CC4-5D6E-409C-BE32-E72D297353CC}">
              <c16:uniqueId val="{00000003-F033-4BE4-AC3E-BA8E484ED389}"/>
            </c:ext>
          </c:extLst>
        </c:ser>
        <c:ser>
          <c:idx val="1"/>
          <c:order val="1"/>
          <c:tx>
            <c:strRef>
              <c:f>'PT Knee Graphs'!$C$8</c:f>
              <c:strCache>
                <c:ptCount val="1"/>
                <c:pt idx="0">
                  <c:v>Average of Flexion Peak Force</c:v>
                </c:pt>
              </c:strCache>
            </c:strRef>
          </c:tx>
          <c:spPr>
            <a:solidFill>
              <a:schemeClr val="tx2">
                <a:lumMod val="75000"/>
                <a:lumOff val="25000"/>
              </a:schemeClr>
            </a:solidFill>
            <a:ln w="9525" cap="flat" cmpd="sng" algn="ctr">
              <a:solidFill>
                <a:schemeClr val="accent4">
                  <a:lumMod val="75000"/>
                </a:schemeClr>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'PT Knee Graphs'!$A$9:$A$51</c:f>
              <c:multiLvlStrCache>
                <c:ptCount val="31"/>
                <c:lvl>
                  <c:pt idx="0">
                    <c:v>Bamaç</c:v>
                  </c:pt>
                  <c:pt idx="1">
                    <c:v>Bradic</c:v>
                  </c:pt>
                  <c:pt idx="2">
                    <c:v>Pekel</c:v>
                  </c:pt>
                  <c:pt idx="3">
                    <c:v>Schlitz</c:v>
                  </c:pt>
                  <c:pt idx="4">
                    <c:v>Theoharopoulos</c:v>
                  </c:pt>
                  <c:pt idx="5">
                    <c:v>Wrzesień</c:v>
                  </c:pt>
                  <c:pt idx="6">
                    <c:v>El-Ashker</c:v>
                  </c:pt>
                  <c:pt idx="7">
                    <c:v>Risberg</c:v>
                  </c:pt>
                  <c:pt idx="8">
                    <c:v>Tatlıcıoğlu</c:v>
                  </c:pt>
                  <c:pt idx="9">
                    <c:v>Zvijac</c:v>
                  </c:pt>
                  <c:pt idx="10">
                    <c:v>Bamaç</c:v>
                  </c:pt>
                  <c:pt idx="11">
                    <c:v>Lategan</c:v>
                  </c:pt>
                  <c:pt idx="12">
                    <c:v>Santos</c:v>
                  </c:pt>
                  <c:pt idx="13">
                    <c:v>Takey</c:v>
                  </c:pt>
                  <c:pt idx="14">
                    <c:v>Tuominen</c:v>
                  </c:pt>
                  <c:pt idx="15">
                    <c:v>Rave</c:v>
                  </c:pt>
                  <c:pt idx="16">
                    <c:v>Risberg</c:v>
                  </c:pt>
                  <c:pt idx="17">
                    <c:v>El-Ashker</c:v>
                  </c:pt>
                  <c:pt idx="18">
                    <c:v>El-Ashker</c:v>
                  </c:pt>
                  <c:pt idx="19">
                    <c:v>Cvjetovic</c:v>
                  </c:pt>
                  <c:pt idx="20">
                    <c:v>Read</c:v>
                  </c:pt>
                  <c:pt idx="21">
                    <c:v>Bonetti</c:v>
                  </c:pt>
                  <c:pt idx="22">
                    <c:v>Fenandez</c:v>
                  </c:pt>
                  <c:pt idx="23">
                    <c:v>Fousekis</c:v>
                  </c:pt>
                  <c:pt idx="24">
                    <c:v>Franca</c:v>
                  </c:pt>
                  <c:pt idx="25">
                    <c:v>Henderson</c:v>
                  </c:pt>
                  <c:pt idx="26">
                    <c:v>Kabacinski</c:v>
                  </c:pt>
                  <c:pt idx="27">
                    <c:v>Wilk</c:v>
                  </c:pt>
                  <c:pt idx="28">
                    <c:v>Bamaç</c:v>
                  </c:pt>
                  <c:pt idx="29">
                    <c:v>Wilkosz</c:v>
                  </c:pt>
                  <c:pt idx="30">
                    <c:v>El-Ashker</c:v>
                  </c:pt>
                </c:lvl>
                <c:lvl>
                  <c:pt idx="0">
                    <c:v>Basketball</c:v>
                  </c:pt>
                  <c:pt idx="6">
                    <c:v>Boxing</c:v>
                  </c:pt>
                  <c:pt idx="7">
                    <c:v>Football</c:v>
                  </c:pt>
                  <c:pt idx="10">
                    <c:v>Gen Pop</c:v>
                  </c:pt>
                  <c:pt idx="15">
                    <c:v>Handball</c:v>
                  </c:pt>
                  <c:pt idx="17">
                    <c:v>Judo</c:v>
                  </c:pt>
                  <c:pt idx="18">
                    <c:v>Karate</c:v>
                  </c:pt>
                  <c:pt idx="19">
                    <c:v>Mixed Sport</c:v>
                  </c:pt>
                  <c:pt idx="21">
                    <c:v>Soccer</c:v>
                  </c:pt>
                  <c:pt idx="28">
                    <c:v>Volleyball</c:v>
                  </c:pt>
                  <c:pt idx="30">
                    <c:v>Taekwondo</c:v>
                  </c:pt>
                </c:lvl>
              </c:multiLvlStrCache>
            </c:multiLvlStrRef>
          </c:cat>
          <c:val>
            <c:numRef>
              <c:f>'PT Knee Graphs'!$C$9:$C$51</c:f>
              <c:numCache>
                <c:formatCode>0</c:formatCode>
                <c:ptCount val="31"/>
                <c:pt idx="0">
                  <c:v>124.6</c:v>
                </c:pt>
                <c:pt idx="1">
                  <c:v>172.25</c:v>
                </c:pt>
                <c:pt idx="2">
                  <c:v>135.44999999999999</c:v>
                </c:pt>
                <c:pt idx="3">
                  <c:v>147.23333333333332</c:v>
                </c:pt>
                <c:pt idx="4">
                  <c:v>181.28800000000001</c:v>
                </c:pt>
                <c:pt idx="5">
                  <c:v>123.0125</c:v>
                </c:pt>
                <c:pt idx="6">
                  <c:v>221.7</c:v>
                </c:pt>
                <c:pt idx="7">
                  <c:v>86.2</c:v>
                </c:pt>
                <c:pt idx="8">
                  <c:v>150.86666666666667</c:v>
                </c:pt>
                <c:pt idx="9">
                  <c:v>208.16</c:v>
                </c:pt>
                <c:pt idx="10">
                  <c:v>79.900000000000006</c:v>
                </c:pt>
                <c:pt idx="11">
                  <c:v>158.5</c:v>
                </c:pt>
                <c:pt idx="12">
                  <c:v>47.76</c:v>
                </c:pt>
                <c:pt idx="14">
                  <c:v>96.25</c:v>
                </c:pt>
                <c:pt idx="15">
                  <c:v>163.19999999999999</c:v>
                </c:pt>
                <c:pt idx="16">
                  <c:v>94.2</c:v>
                </c:pt>
                <c:pt idx="17">
                  <c:v>221.10000000000002</c:v>
                </c:pt>
                <c:pt idx="18">
                  <c:v>202</c:v>
                </c:pt>
                <c:pt idx="19">
                  <c:v>81.884999999999991</c:v>
                </c:pt>
                <c:pt idx="20">
                  <c:v>126.75</c:v>
                </c:pt>
                <c:pt idx="21">
                  <c:v>121.91800000000001</c:v>
                </c:pt>
                <c:pt idx="22">
                  <c:v>83.284999999999997</c:v>
                </c:pt>
                <c:pt idx="23">
                  <c:v>165</c:v>
                </c:pt>
                <c:pt idx="24">
                  <c:v>94.3</c:v>
                </c:pt>
                <c:pt idx="25">
                  <c:v>156.5</c:v>
                </c:pt>
                <c:pt idx="26">
                  <c:v>148.15</c:v>
                </c:pt>
                <c:pt idx="27">
                  <c:v>95</c:v>
                </c:pt>
                <c:pt idx="28">
                  <c:v>127.4</c:v>
                </c:pt>
                <c:pt idx="29">
                  <c:v>129.80000000000001</c:v>
                </c:pt>
                <c:pt idx="30">
                  <c:v>217.55</c:v>
                </c:pt>
              </c:numCache>
            </c:numRef>
          </c:val>
          <c:extLst>
            <c:ext xmlns:c16="http://schemas.microsoft.com/office/drawing/2014/chart" uri="{C3380CC4-5D6E-409C-BE32-E72D297353CC}">
              <c16:uniqueId val="{00000002-40C3-410C-9EB7-DC1C9DCC2DAB}"/>
            </c:ext>
          </c:extLst>
        </c:ser>
        <c:dLbls>
          <c:showLegendKey val="0"/>
          <c:showVal val="0"/>
          <c:showCatName val="0"/>
          <c:showSerName val="0"/>
          <c:showPercent val="0"/>
          <c:showBubbleSize val="0"/>
        </c:dLbls>
        <c:gapWidth val="315"/>
        <c:overlap val="-40"/>
        <c:axId val="1981724016"/>
        <c:axId val="1981718256"/>
      </c:barChart>
      <c:catAx>
        <c:axId val="198172401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sz="1400">
                    <a:latin typeface="Abadi" panose="020B0604020104020204" pitchFamily="34" charset="0"/>
                  </a:rPr>
                  <a:t>Sources and Sports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81718256"/>
        <c:crosses val="autoZero"/>
        <c:auto val="1"/>
        <c:lblAlgn val="ctr"/>
        <c:lblOffset val="100"/>
        <c:noMultiLvlLbl val="0"/>
      </c:catAx>
      <c:valAx>
        <c:axId val="198171825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sz="1400">
                    <a:latin typeface="Abadi" panose="020B0604020104020204" pitchFamily="34" charset="0"/>
                  </a:rPr>
                  <a:t>Units of Measure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81724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Abadi" panose="020B0604020104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[Isokinetic Normative Data.xlsm]BWPT Knee Graphs!PivotTable2</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2800" u="sng"/>
              <a:t>Relative Peak Torque </a:t>
            </a:r>
            <a:r>
              <a:rPr lang="en-US" sz="2800" u="sng" baseline="0"/>
              <a:t>for Knee</a:t>
            </a:r>
            <a:endParaRPr lang="en-US" sz="2800" u="sng"/>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40000"/>
              <a:lumOff val="60000"/>
            </a:schemeClr>
          </a:solidFill>
          <a:ln w="9525" cap="flat" cmpd="sng" algn="ctr">
            <a:solidFill>
              <a:schemeClr val="accent3">
                <a:lumMod val="40000"/>
                <a:lumOff val="60000"/>
              </a:schemeClr>
            </a:solidFill>
            <a:miter lim="800000"/>
          </a:ln>
          <a:effectLst>
            <a:glow rad="63500">
              <a:schemeClr val="accent1">
                <a:satMod val="175000"/>
                <a:alpha val="25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40000"/>
              <a:lumOff val="60000"/>
            </a:schemeClr>
          </a:solidFill>
          <a:ln w="9525" cap="flat" cmpd="sng" algn="ctr">
            <a:solidFill>
              <a:schemeClr val="tx2">
                <a:lumMod val="75000"/>
                <a:lumOff val="25000"/>
              </a:schemeClr>
            </a:solidFill>
            <a:miter lim="800000"/>
          </a:ln>
          <a:effectLst>
            <a:glow rad="63500">
              <a:schemeClr val="accent1">
                <a:satMod val="175000"/>
                <a:alpha val="25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'BWPT Knee Graphs'!$G$9</c:f>
              <c:strCache>
                <c:ptCount val="1"/>
                <c:pt idx="0">
                  <c:v>Average of Ext Pk Torque/BW</c:v>
                </c:pt>
              </c:strCache>
            </c:strRef>
          </c:tx>
          <c:spPr>
            <a:solidFill>
              <a:schemeClr val="accent3">
                <a:lumMod val="40000"/>
                <a:lumOff val="60000"/>
              </a:schemeClr>
            </a:solidFill>
            <a:ln w="9525" cap="flat" cmpd="sng" algn="ctr">
              <a:solidFill>
                <a:schemeClr val="accent3">
                  <a:lumMod val="40000"/>
                  <a:lumOff val="60000"/>
                </a:schemeClr>
              </a:solidFill>
              <a:miter lim="800000"/>
            </a:ln>
            <a:effectLst>
              <a:glow rad="63500">
                <a:schemeClr val="accent1">
                  <a:satMod val="175000"/>
                  <a:alpha val="25000"/>
                </a:schemeClr>
              </a:glo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'BWPT Knee Graphs'!$F$10:$F$31</c:f>
              <c:multiLvlStrCache>
                <c:ptCount val="15"/>
                <c:lvl>
                  <c:pt idx="0">
                    <c:v>Bradic</c:v>
                  </c:pt>
                  <c:pt idx="1">
                    <c:v>Pekel</c:v>
                  </c:pt>
                  <c:pt idx="2">
                    <c:v>Schlitz</c:v>
                  </c:pt>
                  <c:pt idx="3">
                    <c:v>Risberg</c:v>
                  </c:pt>
                  <c:pt idx="4">
                    <c:v>Zvijac</c:v>
                  </c:pt>
                  <c:pt idx="5">
                    <c:v>Housh</c:v>
                  </c:pt>
                  <c:pt idx="6">
                    <c:v>Lategan</c:v>
                  </c:pt>
                  <c:pt idx="7">
                    <c:v>Rave</c:v>
                  </c:pt>
                  <c:pt idx="8">
                    <c:v>Risberg</c:v>
                  </c:pt>
                  <c:pt idx="9">
                    <c:v>Baumgart</c:v>
                  </c:pt>
                  <c:pt idx="10">
                    <c:v>Read</c:v>
                  </c:pt>
                  <c:pt idx="11">
                    <c:v>Fenandez</c:v>
                  </c:pt>
                  <c:pt idx="12">
                    <c:v>Franca</c:v>
                  </c:pt>
                  <c:pt idx="13">
                    <c:v>Gorski</c:v>
                  </c:pt>
                  <c:pt idx="14">
                    <c:v>Henderson</c:v>
                  </c:pt>
                </c:lvl>
                <c:lvl>
                  <c:pt idx="0">
                    <c:v>Basketball</c:v>
                  </c:pt>
                  <c:pt idx="3">
                    <c:v>Football</c:v>
                  </c:pt>
                  <c:pt idx="6">
                    <c:v>Gen Pop</c:v>
                  </c:pt>
                  <c:pt idx="7">
                    <c:v>Handball</c:v>
                  </c:pt>
                  <c:pt idx="9">
                    <c:v>Mixed Sport</c:v>
                  </c:pt>
                  <c:pt idx="11">
                    <c:v>Soccer</c:v>
                  </c:pt>
                </c:lvl>
              </c:multiLvlStrCache>
            </c:multiLvlStrRef>
          </c:cat>
          <c:val>
            <c:numRef>
              <c:f>'BWPT Knee Graphs'!$G$10:$G$31</c:f>
              <c:numCache>
                <c:formatCode>0</c:formatCode>
                <c:ptCount val="15"/>
                <c:pt idx="0">
                  <c:v>2.5900000000000003</c:v>
                </c:pt>
                <c:pt idx="1">
                  <c:v>1.9333333333333336</c:v>
                </c:pt>
                <c:pt idx="2">
                  <c:v>2.3241666666666672</c:v>
                </c:pt>
                <c:pt idx="3">
                  <c:v>2.3149999999999999</c:v>
                </c:pt>
                <c:pt idx="4">
                  <c:v>2.9015</c:v>
                </c:pt>
                <c:pt idx="5">
                  <c:v>1.8756250000000003</c:v>
                </c:pt>
                <c:pt idx="6">
                  <c:v>3.31</c:v>
                </c:pt>
                <c:pt idx="7">
                  <c:v>2.335</c:v>
                </c:pt>
                <c:pt idx="8">
                  <c:v>2.415</c:v>
                </c:pt>
                <c:pt idx="9">
                  <c:v>2.2225000000000001</c:v>
                </c:pt>
                <c:pt idx="10">
                  <c:v>2.71</c:v>
                </c:pt>
                <c:pt idx="11">
                  <c:v>2.0016666666666669</c:v>
                </c:pt>
                <c:pt idx="12">
                  <c:v>2.5350000000000001</c:v>
                </c:pt>
                <c:pt idx="13">
                  <c:v>2.0366666666666666</c:v>
                </c:pt>
                <c:pt idx="14">
                  <c:v>2.7549999999999994</c:v>
                </c:pt>
              </c:numCache>
            </c:numRef>
          </c:val>
          <c:extLst>
            <c:ext xmlns:c16="http://schemas.microsoft.com/office/drawing/2014/chart" uri="{C3380CC4-5D6E-409C-BE32-E72D297353CC}">
              <c16:uniqueId val="{00000000-5C03-4C7F-BF38-7AA98F68F4D9}"/>
            </c:ext>
          </c:extLst>
        </c:ser>
        <c:ser>
          <c:idx val="1"/>
          <c:order val="1"/>
          <c:tx>
            <c:strRef>
              <c:f>'BWPT Knee Graphs'!$H$9</c:f>
              <c:strCache>
                <c:ptCount val="1"/>
                <c:pt idx="0">
                  <c:v>Average of Flex Pk Torque/BW</c:v>
                </c:pt>
              </c:strCache>
            </c:strRef>
          </c:tx>
          <c:spPr>
            <a:solidFill>
              <a:schemeClr val="accent5">
                <a:lumMod val="40000"/>
                <a:lumOff val="60000"/>
              </a:schemeClr>
            </a:solidFill>
            <a:ln w="9525" cap="flat" cmpd="sng" algn="ctr">
              <a:solidFill>
                <a:schemeClr val="tx2">
                  <a:lumMod val="75000"/>
                  <a:lumOff val="25000"/>
                </a:schemeClr>
              </a:solidFill>
              <a:miter lim="800000"/>
            </a:ln>
            <a:effectLst>
              <a:glow rad="63500">
                <a:schemeClr val="accent2">
                  <a:satMod val="175000"/>
                  <a:alpha val="25000"/>
                </a:schemeClr>
              </a:glo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'BWPT Knee Graphs'!$F$10:$F$31</c:f>
              <c:multiLvlStrCache>
                <c:ptCount val="15"/>
                <c:lvl>
                  <c:pt idx="0">
                    <c:v>Bradic</c:v>
                  </c:pt>
                  <c:pt idx="1">
                    <c:v>Pekel</c:v>
                  </c:pt>
                  <c:pt idx="2">
                    <c:v>Schlitz</c:v>
                  </c:pt>
                  <c:pt idx="3">
                    <c:v>Risberg</c:v>
                  </c:pt>
                  <c:pt idx="4">
                    <c:v>Zvijac</c:v>
                  </c:pt>
                  <c:pt idx="5">
                    <c:v>Housh</c:v>
                  </c:pt>
                  <c:pt idx="6">
                    <c:v>Lategan</c:v>
                  </c:pt>
                  <c:pt idx="7">
                    <c:v>Rave</c:v>
                  </c:pt>
                  <c:pt idx="8">
                    <c:v>Risberg</c:v>
                  </c:pt>
                  <c:pt idx="9">
                    <c:v>Baumgart</c:v>
                  </c:pt>
                  <c:pt idx="10">
                    <c:v>Read</c:v>
                  </c:pt>
                  <c:pt idx="11">
                    <c:v>Fenandez</c:v>
                  </c:pt>
                  <c:pt idx="12">
                    <c:v>Franca</c:v>
                  </c:pt>
                  <c:pt idx="13">
                    <c:v>Gorski</c:v>
                  </c:pt>
                  <c:pt idx="14">
                    <c:v>Henderson</c:v>
                  </c:pt>
                </c:lvl>
                <c:lvl>
                  <c:pt idx="0">
                    <c:v>Basketball</c:v>
                  </c:pt>
                  <c:pt idx="3">
                    <c:v>Football</c:v>
                  </c:pt>
                  <c:pt idx="6">
                    <c:v>Gen Pop</c:v>
                  </c:pt>
                  <c:pt idx="7">
                    <c:v>Handball</c:v>
                  </c:pt>
                  <c:pt idx="9">
                    <c:v>Mixed Sport</c:v>
                  </c:pt>
                  <c:pt idx="11">
                    <c:v>Soccer</c:v>
                  </c:pt>
                </c:lvl>
              </c:multiLvlStrCache>
            </c:multiLvlStrRef>
          </c:cat>
          <c:val>
            <c:numRef>
              <c:f>'BWPT Knee Graphs'!$H$10:$H$31</c:f>
              <c:numCache>
                <c:formatCode>0</c:formatCode>
                <c:ptCount val="15"/>
                <c:pt idx="0">
                  <c:v>1.5687500000000001</c:v>
                </c:pt>
                <c:pt idx="1">
                  <c:v>1.3499999999999999</c:v>
                </c:pt>
                <c:pt idx="2">
                  <c:v>1.4363636363636365</c:v>
                </c:pt>
                <c:pt idx="3">
                  <c:v>1.3599999999999999</c:v>
                </c:pt>
                <c:pt idx="4">
                  <c:v>1.9564999999999997</c:v>
                </c:pt>
                <c:pt idx="5">
                  <c:v>1.5299999999999998</c:v>
                </c:pt>
                <c:pt idx="6">
                  <c:v>2.23</c:v>
                </c:pt>
                <c:pt idx="7">
                  <c:v>1.5125000000000002</c:v>
                </c:pt>
                <c:pt idx="8">
                  <c:v>1.37</c:v>
                </c:pt>
                <c:pt idx="9">
                  <c:v>1.3975</c:v>
                </c:pt>
                <c:pt idx="10">
                  <c:v>1.6850000000000001</c:v>
                </c:pt>
                <c:pt idx="11">
                  <c:v>1.1283333333333332</c:v>
                </c:pt>
                <c:pt idx="12">
                  <c:v>1.4649999999999999</c:v>
                </c:pt>
                <c:pt idx="13">
                  <c:v>1.1833333333333333</c:v>
                </c:pt>
                <c:pt idx="14">
                  <c:v>1.7033333333333334</c:v>
                </c:pt>
              </c:numCache>
            </c:numRef>
          </c:val>
          <c:extLst>
            <c:ext xmlns:c16="http://schemas.microsoft.com/office/drawing/2014/chart" uri="{C3380CC4-5D6E-409C-BE32-E72D297353CC}">
              <c16:uniqueId val="{00000001-5C03-4C7F-BF38-7AA98F68F4D9}"/>
            </c:ext>
          </c:extLst>
        </c:ser>
        <c:dLbls>
          <c:showLegendKey val="0"/>
          <c:showVal val="0"/>
          <c:showCatName val="0"/>
          <c:showSerName val="0"/>
          <c:showPercent val="0"/>
          <c:showBubbleSize val="0"/>
        </c:dLbls>
        <c:gapWidth val="315"/>
        <c:overlap val="-40"/>
        <c:axId val="786230112"/>
        <c:axId val="329799392"/>
      </c:barChart>
      <c:catAx>
        <c:axId val="78623011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9799392"/>
        <c:crosses val="autoZero"/>
        <c:auto val="1"/>
        <c:lblAlgn val="ctr"/>
        <c:lblOffset val="100"/>
        <c:noMultiLvlLbl val="0"/>
      </c:catAx>
      <c:valAx>
        <c:axId val="32979939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sz="1600"/>
                  <a:t>Units</a:t>
                </a:r>
                <a:r>
                  <a:rPr lang="en-US" sz="1600" baseline="0"/>
                  <a:t> of Measure</a:t>
                </a:r>
                <a:endParaRPr lang="en-US" sz="1600"/>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86230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[Isokinetic Normative Data.xlsm]BWPT Shoulder Graphs!PivotTable2</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2800" b="1" i="0" u="sng" strike="noStrike" kern="1200" cap="none" baseline="0">
                <a:solidFill>
                  <a:sysClr val="window" lastClr="FFFFFF">
                    <a:lumMod val="85000"/>
                  </a:sysClr>
                </a:solidFill>
              </a:rPr>
              <a:t>Relative Peak Torque </a:t>
            </a:r>
            <a:r>
              <a:rPr lang="en-US" sz="2800" u="sng" baseline="0"/>
              <a:t>for Shoulder</a:t>
            </a:r>
            <a:endParaRPr lang="en-US" sz="2800" u="sng"/>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lumOff val="50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lumMod val="40000"/>
              <a:lumOff val="60000"/>
            </a:schemeClr>
          </a:solidFill>
          <a:ln w="9525" cap="flat" cmpd="sng" algn="ctr">
            <a:solidFill>
              <a:schemeClr val="accent6">
                <a:lumMod val="40000"/>
                <a:lumOff val="60000"/>
              </a:schemeClr>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'BWPT Shoulder Graphs'!$B$8</c:f>
              <c:strCache>
                <c:ptCount val="1"/>
                <c:pt idx="0">
                  <c:v>Total</c:v>
                </c:pt>
              </c:strCache>
            </c:strRef>
          </c:tx>
          <c:spPr>
            <a:solidFill>
              <a:schemeClr val="tx2">
                <a:lumMod val="50000"/>
                <a:lumOff val="50000"/>
              </a:schemeClr>
            </a:solidFill>
            <a:ln w="9525" cap="flat" cmpd="sng" algn="ctr">
              <a:solidFill>
                <a:schemeClr val="accent1"/>
              </a:solidFill>
              <a:miter lim="800000"/>
            </a:ln>
            <a:effectLst>
              <a:glow rad="63500">
                <a:schemeClr val="accent1">
                  <a:satMod val="175000"/>
                  <a:alpha val="25000"/>
                </a:schemeClr>
              </a:glow>
            </a:effectLst>
          </c:spPr>
          <c:invertIfNegative val="0"/>
          <c:cat>
            <c:strRef>
              <c:f>'BWPT Shoulder Graphs'!$A$9</c:f>
              <c:strCache>
                <c:ptCount val="1"/>
                <c:pt idx="0">
                  <c:v>Grand Total</c:v>
                </c:pt>
              </c:strCache>
            </c:strRef>
          </c:cat>
          <c:val>
            <c:numRef>
              <c:f>'BWPT Shoulder Graphs'!$B$9</c:f>
              <c:numCache>
                <c:formatCode>0</c:formatCode>
                <c:ptCount val="1"/>
              </c:numCache>
            </c:numRef>
          </c:val>
          <c:extLst>
            <c:ext xmlns:c16="http://schemas.microsoft.com/office/drawing/2014/chart" uri="{C3380CC4-5D6E-409C-BE32-E72D297353CC}">
              <c16:uniqueId val="{00000000-BBF3-47CC-AD5B-21F6FF57C0BD}"/>
            </c:ext>
          </c:extLst>
        </c:ser>
        <c:dLbls>
          <c:showLegendKey val="0"/>
          <c:showVal val="0"/>
          <c:showCatName val="0"/>
          <c:showSerName val="0"/>
          <c:showPercent val="0"/>
          <c:showBubbleSize val="0"/>
        </c:dLbls>
        <c:gapWidth val="315"/>
        <c:overlap val="-40"/>
        <c:axId val="2038740463"/>
        <c:axId val="2038729903"/>
      </c:barChart>
      <c:catAx>
        <c:axId val="203874046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sz="1600"/>
                  <a:t>Sources and Sports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38729903"/>
        <c:crosses val="autoZero"/>
        <c:auto val="1"/>
        <c:lblAlgn val="ctr"/>
        <c:lblOffset val="100"/>
        <c:noMultiLvlLbl val="0"/>
      </c:catAx>
      <c:valAx>
        <c:axId val="203872990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sz="1600"/>
                  <a:t>Units of Measure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3874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[Isokinetic Normative Data.xlsm]Sheet1!PivotTable1</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2800" b="1" i="0" u="sng" strike="noStrike" kern="1200" cap="none" baseline="0">
                <a:solidFill>
                  <a:sysClr val="window" lastClr="FFFFFF">
                    <a:lumMod val="85000"/>
                  </a:sysClr>
                </a:solidFill>
              </a:rPr>
              <a:t>Relative Peak Torque for Ankle </a:t>
            </a:r>
            <a:endParaRPr lang="en-US" sz="2800" u="sng"/>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75000"/>
              <a:lumOff val="25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Sheet1!$B$9</c:f>
              <c:strCache>
                <c:ptCount val="1"/>
                <c:pt idx="0">
                  <c:v>Average of Dorsi Flexion Pk Torque/BW</c:v>
                </c:pt>
              </c:strCache>
            </c:strRef>
          </c:tx>
          <c:spPr>
            <a:solidFill>
              <a:schemeClr val="tx2">
                <a:lumMod val="75000"/>
                <a:lumOff val="25000"/>
              </a:schemeClr>
            </a:solid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Sheet1!$A$10:$A$13</c:f>
              <c:multiLvlStrCache>
                <c:ptCount val="2"/>
                <c:lvl>
                  <c:pt idx="0">
                    <c:v>Bradic</c:v>
                  </c:pt>
                  <c:pt idx="1">
                    <c:v>Song</c:v>
                  </c:pt>
                </c:lvl>
                <c:lvl>
                  <c:pt idx="0">
                    <c:v>Basketball</c:v>
                  </c:pt>
                </c:lvl>
              </c:multiLvlStrCache>
            </c:multiLvlStrRef>
          </c:cat>
          <c:val>
            <c:numRef>
              <c:f>Sheet1!$B$10:$B$13</c:f>
              <c:numCache>
                <c:formatCode>0.00</c:formatCode>
                <c:ptCount val="2"/>
                <c:pt idx="0">
                  <c:v>0.24666666666666667</c:v>
                </c:pt>
              </c:numCache>
            </c:numRef>
          </c:val>
          <c:extLst>
            <c:ext xmlns:c16="http://schemas.microsoft.com/office/drawing/2014/chart" uri="{C3380CC4-5D6E-409C-BE32-E72D297353CC}">
              <c16:uniqueId val="{00000000-D671-496A-BA31-14CFBB3AB541}"/>
            </c:ext>
          </c:extLst>
        </c:ser>
        <c:ser>
          <c:idx val="1"/>
          <c:order val="1"/>
          <c:tx>
            <c:strRef>
              <c:f>Sheet1!$C$9</c:f>
              <c:strCache>
                <c:ptCount val="1"/>
                <c:pt idx="0">
                  <c:v>Average of Inversion PkTorque/BW</c:v>
                </c:pt>
              </c:strCache>
            </c:strRef>
          </c:tx>
          <c:spPr>
            <a:solidFill>
              <a:schemeClr val="accent2">
                <a:lumMod val="75000"/>
              </a:schemeClr>
            </a:solid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Sheet1!$A$10:$A$13</c:f>
              <c:multiLvlStrCache>
                <c:ptCount val="2"/>
                <c:lvl>
                  <c:pt idx="0">
                    <c:v>Bradic</c:v>
                  </c:pt>
                  <c:pt idx="1">
                    <c:v>Song</c:v>
                  </c:pt>
                </c:lvl>
                <c:lvl>
                  <c:pt idx="0">
                    <c:v>Basketball</c:v>
                  </c:pt>
                </c:lvl>
              </c:multiLvlStrCache>
            </c:multiLvlStrRef>
          </c:cat>
          <c:val>
            <c:numRef>
              <c:f>Sheet1!$C$10:$C$13</c:f>
              <c:numCache>
                <c:formatCode>0.00</c:formatCode>
                <c:ptCount val="2"/>
                <c:pt idx="1">
                  <c:v>0.38818181818181813</c:v>
                </c:pt>
              </c:numCache>
            </c:numRef>
          </c:val>
          <c:extLst>
            <c:ext xmlns:c16="http://schemas.microsoft.com/office/drawing/2014/chart" uri="{C3380CC4-5D6E-409C-BE32-E72D297353CC}">
              <c16:uniqueId val="{00000001-D671-496A-BA31-14CFBB3AB541}"/>
            </c:ext>
          </c:extLst>
        </c:ser>
        <c:ser>
          <c:idx val="2"/>
          <c:order val="2"/>
          <c:tx>
            <c:strRef>
              <c:f>Sheet1!$D$9</c:f>
              <c:strCache>
                <c:ptCount val="1"/>
                <c:pt idx="0">
                  <c:v>Average of Eversion PkTorque/BW</c:v>
                </c:pt>
              </c:strCache>
            </c:strRef>
          </c:tx>
          <c:spPr>
            <a:solidFill>
              <a:srgbClr val="00B050"/>
            </a:solid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Sheet1!$A$10:$A$13</c:f>
              <c:multiLvlStrCache>
                <c:ptCount val="2"/>
                <c:lvl>
                  <c:pt idx="0">
                    <c:v>Bradic</c:v>
                  </c:pt>
                  <c:pt idx="1">
                    <c:v>Song</c:v>
                  </c:pt>
                </c:lvl>
                <c:lvl>
                  <c:pt idx="0">
                    <c:v>Basketball</c:v>
                  </c:pt>
                </c:lvl>
              </c:multiLvlStrCache>
            </c:multiLvlStrRef>
          </c:cat>
          <c:val>
            <c:numRef>
              <c:f>Sheet1!$D$10:$D$13</c:f>
              <c:numCache>
                <c:formatCode>General</c:formatCode>
                <c:ptCount val="2"/>
                <c:pt idx="1">
                  <c:v>0.32090909090909087</c:v>
                </c:pt>
              </c:numCache>
            </c:numRef>
          </c:val>
          <c:extLst>
            <c:ext xmlns:c16="http://schemas.microsoft.com/office/drawing/2014/chart" uri="{C3380CC4-5D6E-409C-BE32-E72D297353CC}">
              <c16:uniqueId val="{00000002-D671-496A-BA31-14CFBB3AB541}"/>
            </c:ext>
          </c:extLst>
        </c:ser>
        <c:ser>
          <c:idx val="3"/>
          <c:order val="3"/>
          <c:tx>
            <c:strRef>
              <c:f>Sheet1!$E$9</c:f>
              <c:strCache>
                <c:ptCount val="1"/>
                <c:pt idx="0">
                  <c:v>Average of Flex Pk Torque/BW</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multiLvlStrRef>
              <c:f>Sheet1!$A$10:$A$13</c:f>
              <c:multiLvlStrCache>
                <c:ptCount val="2"/>
                <c:lvl>
                  <c:pt idx="0">
                    <c:v>Bradic</c:v>
                  </c:pt>
                  <c:pt idx="1">
                    <c:v>Song</c:v>
                  </c:pt>
                </c:lvl>
                <c:lvl>
                  <c:pt idx="0">
                    <c:v>Basketball</c:v>
                  </c:pt>
                </c:lvl>
              </c:multiLvlStrCache>
            </c:multiLvlStrRef>
          </c:cat>
          <c:val>
            <c:numRef>
              <c:f>Sheet1!$E$10:$E$13</c:f>
              <c:numCache>
                <c:formatCode>General</c:formatCode>
                <c:ptCount val="2"/>
              </c:numCache>
            </c:numRef>
          </c:val>
          <c:extLst>
            <c:ext xmlns:c16="http://schemas.microsoft.com/office/drawing/2014/chart" uri="{C3380CC4-5D6E-409C-BE32-E72D297353CC}">
              <c16:uniqueId val="{00000003-D671-496A-BA31-14CFBB3AB541}"/>
            </c:ext>
          </c:extLst>
        </c:ser>
        <c:dLbls>
          <c:showLegendKey val="0"/>
          <c:showVal val="0"/>
          <c:showCatName val="0"/>
          <c:showSerName val="0"/>
          <c:showPercent val="0"/>
          <c:showBubbleSize val="0"/>
        </c:dLbls>
        <c:gapWidth val="315"/>
        <c:overlap val="-40"/>
        <c:axId val="1962982896"/>
        <c:axId val="1962981456"/>
      </c:barChart>
      <c:catAx>
        <c:axId val="196298289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981456"/>
        <c:crosses val="autoZero"/>
        <c:auto val="1"/>
        <c:lblAlgn val="ctr"/>
        <c:lblOffset val="100"/>
        <c:noMultiLvlLbl val="0"/>
      </c:catAx>
      <c:valAx>
        <c:axId val="196298145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982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croll" dx="22" fmlaLink="$AH$23" max="100" page="10" val="0"/>
</file>

<file path=xl/ctrlProps/ctrlProp2.xml><?xml version="1.0" encoding="utf-8"?>
<formControlPr xmlns="http://schemas.microsoft.com/office/spreadsheetml/2009/9/main" objectType="Scroll" dx="22" fmlaLink="$AH$39" max="20" page="10" val="0"/>
</file>

<file path=xl/ctrlProps/ctrlProp3.xml><?xml version="1.0" encoding="utf-8"?>
<formControlPr xmlns="http://schemas.microsoft.com/office/spreadsheetml/2009/9/main" objectType="Scroll" dx="22" fmlaLink="$AH$6" max="150" page="10" val="0"/>
</file>

<file path=xl/drawings/_rels/drawing1.xml.rels><?xml version="1.0" encoding="UTF-8" standalone="yes"?>
<Relationships xmlns="http://schemas.openxmlformats.org/package/2006/relationships"><Relationship Id="rId8" Type="http://schemas.openxmlformats.org/officeDocument/2006/relationships/hyperlink" Target="#Ankle!O18"/><Relationship Id="rId13" Type="http://schemas.openxmlformats.org/officeDocument/2006/relationships/image" Target="../media/image7.png"/><Relationship Id="rId18" Type="http://schemas.openxmlformats.org/officeDocument/2006/relationships/image" Target="../media/image10.svg"/><Relationship Id="rId3" Type="http://schemas.openxmlformats.org/officeDocument/2006/relationships/hyperlink" Target="#Ankle!O17"/><Relationship Id="rId21" Type="http://schemas.openxmlformats.org/officeDocument/2006/relationships/image" Target="../media/image12.png"/><Relationship Id="rId7" Type="http://schemas.openxmlformats.org/officeDocument/2006/relationships/image" Target="../media/image2.svg"/><Relationship Id="rId12" Type="http://schemas.openxmlformats.org/officeDocument/2006/relationships/image" Target="../media/image6.svg"/><Relationship Id="rId17" Type="http://schemas.openxmlformats.org/officeDocument/2006/relationships/image" Target="../media/image9.png"/><Relationship Id="rId2" Type="http://schemas.openxmlformats.org/officeDocument/2006/relationships/hyperlink" Target="#Shoulder!O18"/><Relationship Id="rId16" Type="http://schemas.openxmlformats.org/officeDocument/2006/relationships/hyperlink" Target="#GraphsStats!A1"/><Relationship Id="rId20" Type="http://schemas.openxmlformats.org/officeDocument/2006/relationships/image" Target="../media/image11.jpeg"/><Relationship Id="rId1" Type="http://schemas.openxmlformats.org/officeDocument/2006/relationships/hyperlink" Target="#'Knee '!A1"/><Relationship Id="rId6" Type="http://schemas.openxmlformats.org/officeDocument/2006/relationships/image" Target="../media/image1.png"/><Relationship Id="rId11" Type="http://schemas.openxmlformats.org/officeDocument/2006/relationships/image" Target="../media/image5.png"/><Relationship Id="rId5" Type="http://schemas.openxmlformats.org/officeDocument/2006/relationships/hyperlink" Target="#'Contact Info'!O18"/><Relationship Id="rId15" Type="http://schemas.openxmlformats.org/officeDocument/2006/relationships/hyperlink" Target="#GraphsStats!Q14"/><Relationship Id="rId10" Type="http://schemas.openxmlformats.org/officeDocument/2006/relationships/image" Target="../media/image4.svg"/><Relationship Id="rId19" Type="http://schemas.openxmlformats.org/officeDocument/2006/relationships/hyperlink" Target="#'Knee '!O18"/><Relationship Id="rId4" Type="http://schemas.openxmlformats.org/officeDocument/2006/relationships/hyperlink" Target="#Notes!A1"/><Relationship Id="rId9" Type="http://schemas.openxmlformats.org/officeDocument/2006/relationships/image" Target="../media/image3.png"/><Relationship Id="rId14" Type="http://schemas.openxmlformats.org/officeDocument/2006/relationships/image" Target="../media/image8.svg"/></Relationships>
</file>

<file path=xl/drawings/_rels/drawing2.xml.rels><?xml version="1.0" encoding="UTF-8" standalone="yes"?>
<Relationships xmlns="http://schemas.openxmlformats.org/package/2006/relationships"><Relationship Id="rId3" Type="http://schemas.openxmlformats.org/officeDocument/2006/relationships/hyperlink" Target="#Dashboard!M19"/><Relationship Id="rId2" Type="http://schemas.openxmlformats.org/officeDocument/2006/relationships/image" Target="../media/image15.svg"/><Relationship Id="rId1" Type="http://schemas.openxmlformats.org/officeDocument/2006/relationships/image" Target="../media/image14.png"/><Relationship Id="rId6" Type="http://schemas.openxmlformats.org/officeDocument/2006/relationships/chart" Target="../charts/chart1.xml"/><Relationship Id="rId5" Type="http://schemas.openxmlformats.org/officeDocument/2006/relationships/image" Target="../media/image17.svg"/><Relationship Id="rId4" Type="http://schemas.openxmlformats.org/officeDocument/2006/relationships/image" Target="../media/image16.png"/></Relationships>
</file>

<file path=xl/drawings/_rels/drawing3.xml.rels><?xml version="1.0" encoding="UTF-8" standalone="yes"?>
<Relationships xmlns="http://schemas.openxmlformats.org/package/2006/relationships"><Relationship Id="rId3" Type="http://schemas.openxmlformats.org/officeDocument/2006/relationships/hyperlink" Target="#Dashboard!M19"/><Relationship Id="rId2" Type="http://schemas.openxmlformats.org/officeDocument/2006/relationships/image" Target="../media/image15.svg"/><Relationship Id="rId1" Type="http://schemas.openxmlformats.org/officeDocument/2006/relationships/image" Target="../media/image14.png"/><Relationship Id="rId5" Type="http://schemas.openxmlformats.org/officeDocument/2006/relationships/image" Target="../media/image17.svg"/><Relationship Id="rId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7.svg"/><Relationship Id="rId2" Type="http://schemas.openxmlformats.org/officeDocument/2006/relationships/image" Target="../media/image16.png"/><Relationship Id="rId1" Type="http://schemas.openxmlformats.org/officeDocument/2006/relationships/hyperlink" Target="#Dashboard!M19"/><Relationship Id="rId5" Type="http://schemas.openxmlformats.org/officeDocument/2006/relationships/image" Target="../media/image15.sv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17.svg"/><Relationship Id="rId5" Type="http://schemas.openxmlformats.org/officeDocument/2006/relationships/image" Target="../media/image16.png"/><Relationship Id="rId4" Type="http://schemas.openxmlformats.org/officeDocument/2006/relationships/hyperlink" Target="#Dashboard!M19"/></Relationships>
</file>

<file path=xl/drawings/_rels/drawing6.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17.svg"/><Relationship Id="rId7" Type="http://schemas.openxmlformats.org/officeDocument/2006/relationships/chart" Target="../charts/chart5.xml"/><Relationship Id="rId2" Type="http://schemas.openxmlformats.org/officeDocument/2006/relationships/image" Target="../media/image16.png"/><Relationship Id="rId1" Type="http://schemas.openxmlformats.org/officeDocument/2006/relationships/hyperlink" Target="#Dashboard!M19"/><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26.svg"/><Relationship Id="rId13" Type="http://schemas.openxmlformats.org/officeDocument/2006/relationships/hyperlink" Target="#Dashboard!M19"/><Relationship Id="rId3" Type="http://schemas.openxmlformats.org/officeDocument/2006/relationships/image" Target="../media/image6.svg"/><Relationship Id="rId7" Type="http://schemas.openxmlformats.org/officeDocument/2006/relationships/image" Target="../media/image25.png"/><Relationship Id="rId12" Type="http://schemas.openxmlformats.org/officeDocument/2006/relationships/image" Target="../media/image30.png"/><Relationship Id="rId2" Type="http://schemas.openxmlformats.org/officeDocument/2006/relationships/image" Target="../media/image5.png"/><Relationship Id="rId1" Type="http://schemas.openxmlformats.org/officeDocument/2006/relationships/hyperlink" Target="https://www.linkedin.com/in/ian-quinton-ab0698204/" TargetMode="External"/><Relationship Id="rId6" Type="http://schemas.openxmlformats.org/officeDocument/2006/relationships/hyperlink" Target="https://mail.google.com/mail/u/0/#inbox?compose=new" TargetMode="External"/><Relationship Id="rId11" Type="http://schemas.openxmlformats.org/officeDocument/2006/relationships/image" Target="../media/image29.svg"/><Relationship Id="rId5" Type="http://schemas.openxmlformats.org/officeDocument/2006/relationships/image" Target="../media/image24.svg"/><Relationship Id="rId15" Type="http://schemas.openxmlformats.org/officeDocument/2006/relationships/image" Target="../media/image17.svg"/><Relationship Id="rId10" Type="http://schemas.openxmlformats.org/officeDocument/2006/relationships/image" Target="../media/image28.png"/><Relationship Id="rId4" Type="http://schemas.openxmlformats.org/officeDocument/2006/relationships/image" Target="../media/image23.png"/><Relationship Id="rId9" Type="http://schemas.openxmlformats.org/officeDocument/2006/relationships/image" Target="../media/image27.png"/><Relationship Id="rId14"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12</xdr:col>
      <xdr:colOff>163286</xdr:colOff>
      <xdr:row>0</xdr:row>
      <xdr:rowOff>45358</xdr:rowOff>
    </xdr:from>
    <xdr:to>
      <xdr:col>25</xdr:col>
      <xdr:colOff>0</xdr:colOff>
      <xdr:row>66</xdr:row>
      <xdr:rowOff>56563</xdr:rowOff>
    </xdr:to>
    <xdr:sp macro="" textlink="">
      <xdr:nvSpPr>
        <xdr:cNvPr id="11" name="Rectangle 10">
          <a:extLst>
            <a:ext uri="{FF2B5EF4-FFF2-40B4-BE49-F238E27FC236}">
              <a16:creationId xmlns:a16="http://schemas.microsoft.com/office/drawing/2014/main" id="{C3C706D9-9CEF-DD34-C4F3-397DE4CA5FCA}"/>
            </a:ext>
          </a:extLst>
        </xdr:cNvPr>
        <xdr:cNvSpPr/>
      </xdr:nvSpPr>
      <xdr:spPr>
        <a:xfrm>
          <a:off x="7529286" y="45358"/>
          <a:ext cx="7657797" cy="12933455"/>
        </a:xfrm>
        <a:prstGeom prst="rect">
          <a:avLst/>
        </a:prstGeom>
        <a:solidFill>
          <a:schemeClr val="tx1">
            <a:lumMod val="65000"/>
            <a:lumOff val="35000"/>
          </a:schemeClr>
        </a:solidFill>
        <a:ln>
          <a:solidFill>
            <a:schemeClr val="accent1">
              <a:shade val="15000"/>
            </a:schemeClr>
          </a:solidFill>
        </a:ln>
        <a:effectLst>
          <a:glow>
            <a:schemeClr val="tx2">
              <a:lumMod val="50000"/>
              <a:lumOff val="50000"/>
              <a:alpha val="40000"/>
            </a:schemeClr>
          </a:glow>
          <a:outerShdw blurRad="50800" dist="50800" dir="5400000" algn="ctr" rotWithShape="0">
            <a:srgbClr val="000000"/>
          </a:outerShdw>
          <a:softEdge rad="76200"/>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en-US" sz="1100"/>
        </a:p>
      </xdr:txBody>
    </xdr:sp>
    <xdr:clientData/>
  </xdr:twoCellAnchor>
  <xdr:twoCellAnchor>
    <xdr:from>
      <xdr:col>0</xdr:col>
      <xdr:colOff>86179</xdr:colOff>
      <xdr:row>0</xdr:row>
      <xdr:rowOff>21167</xdr:rowOff>
    </xdr:from>
    <xdr:to>
      <xdr:col>12</xdr:col>
      <xdr:colOff>231855</xdr:colOff>
      <xdr:row>66</xdr:row>
      <xdr:rowOff>10583</xdr:rowOff>
    </xdr:to>
    <xdr:sp macro="" textlink="">
      <xdr:nvSpPr>
        <xdr:cNvPr id="10" name="Rectangle 9">
          <a:extLst>
            <a:ext uri="{FF2B5EF4-FFF2-40B4-BE49-F238E27FC236}">
              <a16:creationId xmlns:a16="http://schemas.microsoft.com/office/drawing/2014/main" id="{E8A8A1DD-73CC-814E-0D61-8CCD580A61A0}"/>
            </a:ext>
          </a:extLst>
        </xdr:cNvPr>
        <xdr:cNvSpPr/>
      </xdr:nvSpPr>
      <xdr:spPr>
        <a:xfrm>
          <a:off x="86179" y="21167"/>
          <a:ext cx="7511676" cy="12911666"/>
        </a:xfrm>
        <a:prstGeom prst="rect">
          <a:avLst/>
        </a:prstGeom>
        <a:solidFill>
          <a:schemeClr val="accent2"/>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428062</xdr:colOff>
      <xdr:row>12</xdr:row>
      <xdr:rowOff>137832</xdr:rowOff>
    </xdr:from>
    <xdr:to>
      <xdr:col>8</xdr:col>
      <xdr:colOff>493058</xdr:colOff>
      <xdr:row>22</xdr:row>
      <xdr:rowOff>73399</xdr:rowOff>
    </xdr:to>
    <xdr:sp macro="" textlink="">
      <xdr:nvSpPr>
        <xdr:cNvPr id="12" name="Oval 11">
          <a:hlinkClick xmlns:r="http://schemas.openxmlformats.org/officeDocument/2006/relationships" r:id="rId1"/>
          <a:extLst>
            <a:ext uri="{FF2B5EF4-FFF2-40B4-BE49-F238E27FC236}">
              <a16:creationId xmlns:a16="http://schemas.microsoft.com/office/drawing/2014/main" id="{FD447070-9AFB-4A84-BED4-C2671FC7B73E}"/>
            </a:ext>
          </a:extLst>
        </xdr:cNvPr>
        <xdr:cNvSpPr/>
      </xdr:nvSpPr>
      <xdr:spPr>
        <a:xfrm>
          <a:off x="3453650" y="2411506"/>
          <a:ext cx="1880349" cy="1969994"/>
        </a:xfrm>
        <a:prstGeom prst="ellipse">
          <a:avLst/>
        </a:prstGeom>
        <a:gradFill>
          <a:gsLst>
            <a:gs pos="17432">
              <a:srgbClr val="A3D8F1"/>
            </a:gs>
            <a:gs pos="37000">
              <a:srgbClr val="A9DAF2"/>
            </a:gs>
            <a:gs pos="0">
              <a:schemeClr val="accent1">
                <a:lumMod val="5000"/>
                <a:lumOff val="95000"/>
              </a:schemeClr>
            </a:gs>
            <a:gs pos="47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innerShdw blurRad="63500" dist="50800" dir="13500000">
            <a:prstClr val="black">
              <a:alpha val="48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333934</xdr:colOff>
      <xdr:row>12</xdr:row>
      <xdr:rowOff>99732</xdr:rowOff>
    </xdr:from>
    <xdr:to>
      <xdr:col>13</xdr:col>
      <xdr:colOff>398930</xdr:colOff>
      <xdr:row>22</xdr:row>
      <xdr:rowOff>35299</xdr:rowOff>
    </xdr:to>
    <xdr:sp macro="" textlink="">
      <xdr:nvSpPr>
        <xdr:cNvPr id="20" name="Oval 19">
          <a:hlinkClick xmlns:r="http://schemas.openxmlformats.org/officeDocument/2006/relationships" r:id="rId2"/>
          <a:extLst>
            <a:ext uri="{FF2B5EF4-FFF2-40B4-BE49-F238E27FC236}">
              <a16:creationId xmlns:a16="http://schemas.microsoft.com/office/drawing/2014/main" id="{1682B404-4CC8-4B8E-B741-C73C90E735D4}"/>
            </a:ext>
          </a:extLst>
        </xdr:cNvPr>
        <xdr:cNvSpPr/>
      </xdr:nvSpPr>
      <xdr:spPr>
        <a:xfrm>
          <a:off x="6457148" y="2372125"/>
          <a:ext cx="1901961" cy="1976638"/>
        </a:xfrm>
        <a:prstGeom prst="ellipse">
          <a:avLst/>
        </a:prstGeom>
        <a:gradFill>
          <a:gsLst>
            <a:gs pos="17432">
              <a:srgbClr val="A3D8F1"/>
            </a:gs>
            <a:gs pos="14000">
              <a:srgbClr val="A9DAF2"/>
            </a:gs>
            <a:gs pos="0">
              <a:schemeClr val="accent1">
                <a:lumMod val="5000"/>
                <a:lumOff val="95000"/>
              </a:schemeClr>
            </a:gs>
            <a:gs pos="47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295834</xdr:colOff>
      <xdr:row>12</xdr:row>
      <xdr:rowOff>140074</xdr:rowOff>
    </xdr:from>
    <xdr:to>
      <xdr:col>18</xdr:col>
      <xdr:colOff>360830</xdr:colOff>
      <xdr:row>22</xdr:row>
      <xdr:rowOff>75641</xdr:rowOff>
    </xdr:to>
    <xdr:sp macro="" textlink="">
      <xdr:nvSpPr>
        <xdr:cNvPr id="21" name="Oval 20">
          <a:hlinkClick xmlns:r="http://schemas.openxmlformats.org/officeDocument/2006/relationships" r:id="rId3"/>
          <a:extLst>
            <a:ext uri="{FF2B5EF4-FFF2-40B4-BE49-F238E27FC236}">
              <a16:creationId xmlns:a16="http://schemas.microsoft.com/office/drawing/2014/main" id="{E8D4022B-B371-4915-95E8-81FB36992F59}"/>
            </a:ext>
          </a:extLst>
        </xdr:cNvPr>
        <xdr:cNvSpPr/>
      </xdr:nvSpPr>
      <xdr:spPr>
        <a:xfrm>
          <a:off x="9372599" y="2268072"/>
          <a:ext cx="1880349" cy="1824317"/>
        </a:xfrm>
        <a:prstGeom prst="ellipse">
          <a:avLst/>
        </a:prstGeom>
        <a:gradFill>
          <a:gsLst>
            <a:gs pos="12000">
              <a:srgbClr val="A9DAF2"/>
            </a:gs>
            <a:gs pos="0">
              <a:schemeClr val="accent1">
                <a:lumMod val="5000"/>
                <a:lumOff val="95000"/>
              </a:schemeClr>
            </a:gs>
            <a:gs pos="47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508745</xdr:colOff>
      <xdr:row>24</xdr:row>
      <xdr:rowOff>10646</xdr:rowOff>
    </xdr:from>
    <xdr:to>
      <xdr:col>8</xdr:col>
      <xdr:colOff>573741</xdr:colOff>
      <xdr:row>33</xdr:row>
      <xdr:rowOff>92753</xdr:rowOff>
    </xdr:to>
    <xdr:sp macro="" textlink="">
      <xdr:nvSpPr>
        <xdr:cNvPr id="22" name="Oval 21">
          <a:hlinkClick xmlns:r="http://schemas.openxmlformats.org/officeDocument/2006/relationships" r:id="rId4"/>
          <a:extLst>
            <a:ext uri="{FF2B5EF4-FFF2-40B4-BE49-F238E27FC236}">
              <a16:creationId xmlns:a16="http://schemas.microsoft.com/office/drawing/2014/main" id="{33102CD9-ACA5-4236-AC61-7909A765A982}"/>
            </a:ext>
          </a:extLst>
        </xdr:cNvPr>
        <xdr:cNvSpPr/>
      </xdr:nvSpPr>
      <xdr:spPr>
        <a:xfrm>
          <a:off x="3570352" y="4705110"/>
          <a:ext cx="1901960" cy="1851036"/>
        </a:xfrm>
        <a:prstGeom prst="ellipse">
          <a:avLst/>
        </a:prstGeom>
        <a:solidFill>
          <a:schemeClr val="accent3">
            <a:lumMod val="40000"/>
            <a:lumOff val="60000"/>
            <a:alpha val="58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414615</xdr:colOff>
      <xdr:row>24</xdr:row>
      <xdr:rowOff>6164</xdr:rowOff>
    </xdr:from>
    <xdr:to>
      <xdr:col>19</xdr:col>
      <xdr:colOff>20170</xdr:colOff>
      <xdr:row>33</xdr:row>
      <xdr:rowOff>88271</xdr:rowOff>
    </xdr:to>
    <xdr:sp macro="" textlink="">
      <xdr:nvSpPr>
        <xdr:cNvPr id="23" name="Oval 22">
          <a:hlinkClick xmlns:r="http://schemas.openxmlformats.org/officeDocument/2006/relationships" r:id="rId5"/>
          <a:extLst>
            <a:ext uri="{FF2B5EF4-FFF2-40B4-BE49-F238E27FC236}">
              <a16:creationId xmlns:a16="http://schemas.microsoft.com/office/drawing/2014/main" id="{BADF9010-D7A4-4826-89F3-F4023CD58F95}"/>
            </a:ext>
          </a:extLst>
        </xdr:cNvPr>
        <xdr:cNvSpPr/>
      </xdr:nvSpPr>
      <xdr:spPr>
        <a:xfrm>
          <a:off x="9491380" y="4695265"/>
          <a:ext cx="1880349" cy="1824317"/>
        </a:xfrm>
        <a:prstGeom prst="ellipse">
          <a:avLst/>
        </a:prstGeom>
        <a:solidFill>
          <a:srgbClr val="FFC000">
            <a:alpha val="34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179294</xdr:colOff>
      <xdr:row>14</xdr:row>
      <xdr:rowOff>122464</xdr:rowOff>
    </xdr:from>
    <xdr:to>
      <xdr:col>12</xdr:col>
      <xdr:colOff>600226</xdr:colOff>
      <xdr:row>19</xdr:row>
      <xdr:rowOff>195141</xdr:rowOff>
    </xdr:to>
    <xdr:pic>
      <xdr:nvPicPr>
        <xdr:cNvPr id="15" name="Graphic 14" descr="Muscular arm with solid fill">
          <a:hlinkClick xmlns:r="http://schemas.openxmlformats.org/officeDocument/2006/relationships" r:id="rId2"/>
          <a:extLst>
            <a:ext uri="{FF2B5EF4-FFF2-40B4-BE49-F238E27FC236}">
              <a16:creationId xmlns:a16="http://schemas.microsoft.com/office/drawing/2014/main" id="{051B019C-0328-5BE8-BECB-D429AB31F6C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914830" y="2775857"/>
          <a:ext cx="1033253" cy="1025177"/>
        </a:xfrm>
        <a:prstGeom prst="rect">
          <a:avLst/>
        </a:prstGeom>
      </xdr:spPr>
    </xdr:pic>
    <xdr:clientData/>
  </xdr:twoCellAnchor>
  <xdr:twoCellAnchor editAs="absolute">
    <xdr:from>
      <xdr:col>16</xdr:col>
      <xdr:colOff>163287</xdr:colOff>
      <xdr:row>14</xdr:row>
      <xdr:rowOff>169208</xdr:rowOff>
    </xdr:from>
    <xdr:to>
      <xdr:col>18</xdr:col>
      <xdr:colOff>6724</xdr:colOff>
      <xdr:row>20</xdr:row>
      <xdr:rowOff>81642</xdr:rowOff>
    </xdr:to>
    <xdr:pic>
      <xdr:nvPicPr>
        <xdr:cNvPr id="17" name="Graphic 16" descr="Foot with solid fill">
          <a:hlinkClick xmlns:r="http://schemas.openxmlformats.org/officeDocument/2006/relationships" r:id="rId8"/>
          <a:extLst>
            <a:ext uri="{FF2B5EF4-FFF2-40B4-BE49-F238E27FC236}">
              <a16:creationId xmlns:a16="http://schemas.microsoft.com/office/drawing/2014/main" id="{48B0B468-453C-4380-D67E-B5840FC7644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960430" y="2822601"/>
          <a:ext cx="1068080" cy="1123470"/>
        </a:xfrm>
        <a:prstGeom prst="rect">
          <a:avLst/>
        </a:prstGeom>
      </xdr:spPr>
    </xdr:pic>
    <xdr:clientData/>
  </xdr:twoCellAnchor>
  <xdr:twoCellAnchor editAs="absolute">
    <xdr:from>
      <xdr:col>16</xdr:col>
      <xdr:colOff>291353</xdr:colOff>
      <xdr:row>26</xdr:row>
      <xdr:rowOff>62192</xdr:rowOff>
    </xdr:from>
    <xdr:to>
      <xdr:col>17</xdr:col>
      <xdr:colOff>600635</xdr:colOff>
      <xdr:row>30</xdr:row>
      <xdr:rowOff>155710</xdr:rowOff>
    </xdr:to>
    <xdr:pic>
      <xdr:nvPicPr>
        <xdr:cNvPr id="27" name="Graphic 26" descr="Address Book with solid fill">
          <a:hlinkClick xmlns:r="http://schemas.openxmlformats.org/officeDocument/2006/relationships" r:id="rId5"/>
          <a:extLst>
            <a:ext uri="{FF2B5EF4-FFF2-40B4-BE49-F238E27FC236}">
              <a16:creationId xmlns:a16="http://schemas.microsoft.com/office/drawing/2014/main" id="{88E65811-F5DB-CBAB-20F1-82D3DD65F47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973235" y="5132293"/>
          <a:ext cx="914400" cy="914400"/>
        </a:xfrm>
        <a:prstGeom prst="rect">
          <a:avLst/>
        </a:prstGeom>
      </xdr:spPr>
    </xdr:pic>
    <xdr:clientData/>
  </xdr:twoCellAnchor>
  <xdr:twoCellAnchor editAs="absolute">
    <xdr:from>
      <xdr:col>5</xdr:col>
      <xdr:colOff>336176</xdr:colOff>
      <xdr:row>12</xdr:row>
      <xdr:rowOff>135591</xdr:rowOff>
    </xdr:from>
    <xdr:to>
      <xdr:col>8</xdr:col>
      <xdr:colOff>526676</xdr:colOff>
      <xdr:row>22</xdr:row>
      <xdr:rowOff>73400</xdr:rowOff>
    </xdr:to>
    <xdr:sp macro="" textlink="">
      <xdr:nvSpPr>
        <xdr:cNvPr id="30" name="Circle: Hollow 29">
          <a:extLst>
            <a:ext uri="{FF2B5EF4-FFF2-40B4-BE49-F238E27FC236}">
              <a16:creationId xmlns:a16="http://schemas.microsoft.com/office/drawing/2014/main" id="{E42B1C3F-9AAC-3D99-4BED-86BB91FB351A}"/>
            </a:ext>
          </a:extLst>
        </xdr:cNvPr>
        <xdr:cNvSpPr/>
      </xdr:nvSpPr>
      <xdr:spPr>
        <a:xfrm>
          <a:off x="3361764" y="2263589"/>
          <a:ext cx="2005853" cy="1826559"/>
        </a:xfrm>
        <a:prstGeom prst="donut">
          <a:avLst>
            <a:gd name="adj" fmla="val 720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10</xdr:col>
      <xdr:colOff>286870</xdr:colOff>
      <xdr:row>12</xdr:row>
      <xdr:rowOff>108697</xdr:rowOff>
    </xdr:from>
    <xdr:to>
      <xdr:col>13</xdr:col>
      <xdr:colOff>477370</xdr:colOff>
      <xdr:row>22</xdr:row>
      <xdr:rowOff>46506</xdr:rowOff>
    </xdr:to>
    <xdr:sp macro="" textlink="">
      <xdr:nvSpPr>
        <xdr:cNvPr id="31" name="Circle: Hollow 30">
          <a:extLst>
            <a:ext uri="{FF2B5EF4-FFF2-40B4-BE49-F238E27FC236}">
              <a16:creationId xmlns:a16="http://schemas.microsoft.com/office/drawing/2014/main" id="{6C8A2C38-89E3-4686-BF25-1782668080F5}"/>
            </a:ext>
          </a:extLst>
        </xdr:cNvPr>
        <xdr:cNvSpPr/>
      </xdr:nvSpPr>
      <xdr:spPr>
        <a:xfrm>
          <a:off x="6338046" y="2382371"/>
          <a:ext cx="2005853" cy="1972236"/>
        </a:xfrm>
        <a:prstGeom prst="donut">
          <a:avLst>
            <a:gd name="adj" fmla="val 720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15</xdr:col>
      <xdr:colOff>259976</xdr:colOff>
      <xdr:row>12</xdr:row>
      <xdr:rowOff>137832</xdr:rowOff>
    </xdr:from>
    <xdr:to>
      <xdr:col>18</xdr:col>
      <xdr:colOff>450476</xdr:colOff>
      <xdr:row>22</xdr:row>
      <xdr:rowOff>75641</xdr:rowOff>
    </xdr:to>
    <xdr:sp macro="" textlink="">
      <xdr:nvSpPr>
        <xdr:cNvPr id="32" name="Circle: Hollow 31">
          <a:extLst>
            <a:ext uri="{FF2B5EF4-FFF2-40B4-BE49-F238E27FC236}">
              <a16:creationId xmlns:a16="http://schemas.microsoft.com/office/drawing/2014/main" id="{85332E13-8A01-4DDF-8F57-ECA70C0CEFBB}"/>
            </a:ext>
          </a:extLst>
        </xdr:cNvPr>
        <xdr:cNvSpPr/>
      </xdr:nvSpPr>
      <xdr:spPr>
        <a:xfrm>
          <a:off x="9336741" y="2265830"/>
          <a:ext cx="2005853" cy="1826559"/>
        </a:xfrm>
        <a:prstGeom prst="donut">
          <a:avLst>
            <a:gd name="adj" fmla="val 720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5</xdr:col>
      <xdr:colOff>437029</xdr:colOff>
      <xdr:row>24</xdr:row>
      <xdr:rowOff>17370</xdr:rowOff>
    </xdr:from>
    <xdr:to>
      <xdr:col>9</xdr:col>
      <xdr:colOff>22411</xdr:colOff>
      <xdr:row>33</xdr:row>
      <xdr:rowOff>101719</xdr:rowOff>
    </xdr:to>
    <xdr:sp macro="" textlink="">
      <xdr:nvSpPr>
        <xdr:cNvPr id="33" name="Circle: Hollow 32">
          <a:extLst>
            <a:ext uri="{FF2B5EF4-FFF2-40B4-BE49-F238E27FC236}">
              <a16:creationId xmlns:a16="http://schemas.microsoft.com/office/drawing/2014/main" id="{A5CDD375-C24B-4437-89FA-9EC4C1743D04}"/>
            </a:ext>
          </a:extLst>
        </xdr:cNvPr>
        <xdr:cNvSpPr/>
      </xdr:nvSpPr>
      <xdr:spPr>
        <a:xfrm>
          <a:off x="3462617" y="4706471"/>
          <a:ext cx="2005853" cy="1826559"/>
        </a:xfrm>
        <a:prstGeom prst="donut">
          <a:avLst>
            <a:gd name="adj" fmla="val 7205"/>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15</xdr:col>
      <xdr:colOff>342899</xdr:colOff>
      <xdr:row>23</xdr:row>
      <xdr:rowOff>180976</xdr:rowOff>
    </xdr:from>
    <xdr:to>
      <xdr:col>19</xdr:col>
      <xdr:colOff>73958</xdr:colOff>
      <xdr:row>33</xdr:row>
      <xdr:rowOff>74825</xdr:rowOff>
    </xdr:to>
    <xdr:sp macro="" textlink="">
      <xdr:nvSpPr>
        <xdr:cNvPr id="34" name="Circle: Hollow 33">
          <a:extLst>
            <a:ext uri="{FF2B5EF4-FFF2-40B4-BE49-F238E27FC236}">
              <a16:creationId xmlns:a16="http://schemas.microsoft.com/office/drawing/2014/main" id="{A3EDAB1E-414E-4C20-AE9A-45C7615538D0}"/>
            </a:ext>
          </a:extLst>
        </xdr:cNvPr>
        <xdr:cNvSpPr/>
      </xdr:nvSpPr>
      <xdr:spPr>
        <a:xfrm>
          <a:off x="9419664" y="4679577"/>
          <a:ext cx="2005853" cy="1826559"/>
        </a:xfrm>
        <a:prstGeom prst="donut">
          <a:avLst>
            <a:gd name="adj" fmla="val 7205"/>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403411</xdr:colOff>
      <xdr:row>10</xdr:row>
      <xdr:rowOff>33619</xdr:rowOff>
    </xdr:from>
    <xdr:to>
      <xdr:col>24</xdr:col>
      <xdr:colOff>100852</xdr:colOff>
      <xdr:row>13</xdr:row>
      <xdr:rowOff>44824</xdr:rowOff>
    </xdr:to>
    <xdr:sp macro="" textlink="">
      <xdr:nvSpPr>
        <xdr:cNvPr id="37" name="Rectangle: Rounded Corners 36">
          <a:extLst>
            <a:ext uri="{FF2B5EF4-FFF2-40B4-BE49-F238E27FC236}">
              <a16:creationId xmlns:a16="http://schemas.microsoft.com/office/drawing/2014/main" id="{E96529AB-5A40-5954-B24C-24808EA003D3}"/>
            </a:ext>
          </a:extLst>
        </xdr:cNvPr>
        <xdr:cNvSpPr/>
      </xdr:nvSpPr>
      <xdr:spPr>
        <a:xfrm>
          <a:off x="11754970" y="2084295"/>
          <a:ext cx="2723029" cy="582705"/>
        </a:xfrm>
        <a:prstGeom prst="roundRect">
          <a:avLst>
            <a:gd name="adj" fmla="val 1897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solidFill>
                <a:schemeClr val="tx1"/>
              </a:solidFill>
            </a:rPr>
            <a:t>Table of Contents</a:t>
          </a:r>
        </a:p>
      </xdr:txBody>
    </xdr:sp>
    <xdr:clientData/>
  </xdr:twoCellAnchor>
  <xdr:twoCellAnchor editAs="absolute">
    <xdr:from>
      <xdr:col>19</xdr:col>
      <xdr:colOff>358589</xdr:colOff>
      <xdr:row>14</xdr:row>
      <xdr:rowOff>113178</xdr:rowOff>
    </xdr:from>
    <xdr:to>
      <xdr:col>24</xdr:col>
      <xdr:colOff>123266</xdr:colOff>
      <xdr:row>31</xdr:row>
      <xdr:rowOff>163045</xdr:rowOff>
    </xdr:to>
    <xdr:sp macro="" textlink="">
      <xdr:nvSpPr>
        <xdr:cNvPr id="38" name="Rectangle: Rounded Corners 37">
          <a:extLst>
            <a:ext uri="{FF2B5EF4-FFF2-40B4-BE49-F238E27FC236}">
              <a16:creationId xmlns:a16="http://schemas.microsoft.com/office/drawing/2014/main" id="{924BFF65-D4BC-1A17-27F9-D977EFE08760}"/>
            </a:ext>
          </a:extLst>
        </xdr:cNvPr>
        <xdr:cNvSpPr/>
      </xdr:nvSpPr>
      <xdr:spPr>
        <a:xfrm>
          <a:off x="11710148" y="2767852"/>
          <a:ext cx="2790265" cy="3462618"/>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tx1"/>
              </a:solidFill>
            </a:rPr>
            <a:t>1.</a:t>
          </a:r>
          <a:r>
            <a:rPr lang="en-US" sz="1600" baseline="0">
              <a:solidFill>
                <a:schemeClr val="tx1"/>
              </a:solidFill>
            </a:rPr>
            <a:t> Normative Data on Knee</a:t>
          </a:r>
        </a:p>
        <a:p>
          <a:pPr algn="l"/>
          <a:endParaRPr lang="en-US" sz="1600" baseline="0">
            <a:solidFill>
              <a:schemeClr val="tx1"/>
            </a:solidFill>
          </a:endParaRPr>
        </a:p>
        <a:p>
          <a:pPr algn="l"/>
          <a:r>
            <a:rPr lang="en-US" sz="1600" baseline="0">
              <a:solidFill>
                <a:schemeClr val="tx1"/>
              </a:solidFill>
            </a:rPr>
            <a:t>2. Normative Data on Shoulder</a:t>
          </a:r>
        </a:p>
        <a:p>
          <a:pPr algn="l"/>
          <a:endParaRPr lang="en-US" sz="1600" baseline="0">
            <a:solidFill>
              <a:schemeClr val="tx1"/>
            </a:solidFill>
          </a:endParaRPr>
        </a:p>
        <a:p>
          <a:pPr algn="l"/>
          <a:r>
            <a:rPr lang="en-US" sz="1600" baseline="0">
              <a:solidFill>
                <a:schemeClr val="tx1"/>
              </a:solidFill>
            </a:rPr>
            <a:t>3. Normative Data on Ankle</a:t>
          </a:r>
        </a:p>
        <a:p>
          <a:pPr algn="l"/>
          <a:endParaRPr lang="en-US" sz="1600" baseline="0">
            <a:solidFill>
              <a:schemeClr val="tx1"/>
            </a:solidFill>
          </a:endParaRPr>
        </a:p>
        <a:p>
          <a:pPr algn="l"/>
          <a:r>
            <a:rPr lang="en-US" sz="1600" baseline="0">
              <a:solidFill>
                <a:schemeClr val="tx1"/>
              </a:solidFill>
            </a:rPr>
            <a:t>4. Notes</a:t>
          </a:r>
        </a:p>
        <a:p>
          <a:pPr algn="l"/>
          <a:endParaRPr lang="en-US" sz="1600" baseline="0">
            <a:solidFill>
              <a:schemeClr val="tx1"/>
            </a:solidFill>
          </a:endParaRPr>
        </a:p>
        <a:p>
          <a:pPr algn="l"/>
          <a:r>
            <a:rPr lang="en-US" sz="1600" baseline="0">
              <a:solidFill>
                <a:schemeClr val="tx1"/>
              </a:solidFill>
            </a:rPr>
            <a:t>5. Graph/Stats</a:t>
          </a:r>
        </a:p>
        <a:p>
          <a:pPr algn="l"/>
          <a:endParaRPr lang="en-US" sz="1600" baseline="0">
            <a:solidFill>
              <a:schemeClr val="tx1"/>
            </a:solidFill>
          </a:endParaRPr>
        </a:p>
        <a:p>
          <a:pPr algn="l"/>
          <a:r>
            <a:rPr lang="en-US" sz="1600" baseline="0">
              <a:solidFill>
                <a:schemeClr val="tx1"/>
              </a:solidFill>
            </a:rPr>
            <a:t>6. Contact Information</a:t>
          </a:r>
        </a:p>
      </xdr:txBody>
    </xdr:sp>
    <xdr:clientData/>
  </xdr:twoCellAnchor>
  <mc:AlternateContent xmlns:mc="http://schemas.openxmlformats.org/markup-compatibility/2006">
    <mc:Choice xmlns:a14="http://schemas.microsoft.com/office/drawing/2010/main" Requires="a14">
      <xdr:twoCellAnchor editAs="oneCell">
        <xdr:from>
          <xdr:col>33</xdr:col>
          <xdr:colOff>171450</xdr:colOff>
          <xdr:row>23</xdr:row>
          <xdr:rowOff>85725</xdr:rowOff>
        </xdr:from>
        <xdr:to>
          <xdr:col>33</xdr:col>
          <xdr:colOff>533400</xdr:colOff>
          <xdr:row>31</xdr:row>
          <xdr:rowOff>66675</xdr:rowOff>
        </xdr:to>
        <xdr:sp macro="" textlink="">
          <xdr:nvSpPr>
            <xdr:cNvPr id="3076" name="Scroll Bar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6</xdr:col>
      <xdr:colOff>365472</xdr:colOff>
      <xdr:row>26</xdr:row>
      <xdr:rowOff>69316</xdr:rowOff>
    </xdr:from>
    <xdr:to>
      <xdr:col>8</xdr:col>
      <xdr:colOff>69637</xdr:colOff>
      <xdr:row>30</xdr:row>
      <xdr:rowOff>176892</xdr:rowOff>
    </xdr:to>
    <xdr:pic>
      <xdr:nvPicPr>
        <xdr:cNvPr id="6" name="Graphic 5" descr="Clipboard with solid fill">
          <a:hlinkClick xmlns:r="http://schemas.openxmlformats.org/officeDocument/2006/relationships" r:id="rId4"/>
          <a:extLst>
            <a:ext uri="{FF2B5EF4-FFF2-40B4-BE49-F238E27FC236}">
              <a16:creationId xmlns:a16="http://schemas.microsoft.com/office/drawing/2014/main" id="{D23F0C98-EDB9-1CF9-4C23-059737CF21F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039401" y="5144780"/>
          <a:ext cx="928807" cy="924005"/>
        </a:xfrm>
        <a:prstGeom prst="rect">
          <a:avLst/>
        </a:prstGeom>
      </xdr:spPr>
    </xdr:pic>
    <xdr:clientData/>
  </xdr:twoCellAnchor>
  <xdr:twoCellAnchor>
    <xdr:from>
      <xdr:col>25</xdr:col>
      <xdr:colOff>582706</xdr:colOff>
      <xdr:row>0</xdr:row>
      <xdr:rowOff>11206</xdr:rowOff>
    </xdr:from>
    <xdr:to>
      <xdr:col>25</xdr:col>
      <xdr:colOff>593912</xdr:colOff>
      <xdr:row>66</xdr:row>
      <xdr:rowOff>33617</xdr:rowOff>
    </xdr:to>
    <xdr:cxnSp macro="">
      <xdr:nvCxnSpPr>
        <xdr:cNvPr id="16" name="Straight Connector 15">
          <a:extLst>
            <a:ext uri="{FF2B5EF4-FFF2-40B4-BE49-F238E27FC236}">
              <a16:creationId xmlns:a16="http://schemas.microsoft.com/office/drawing/2014/main" id="{ED23F126-3B6A-C1E6-2F61-6CCCAF0FFEE7}"/>
            </a:ext>
          </a:extLst>
        </xdr:cNvPr>
        <xdr:cNvCxnSpPr/>
      </xdr:nvCxnSpPr>
      <xdr:spPr>
        <a:xfrm flipH="1">
          <a:off x="16279906" y="11206"/>
          <a:ext cx="11206" cy="13138336"/>
        </a:xfrm>
        <a:prstGeom prst="line">
          <a:avLst/>
        </a:prstGeom>
        <a:ln>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11206</xdr:colOff>
      <xdr:row>0</xdr:row>
      <xdr:rowOff>22412</xdr:rowOff>
    </xdr:from>
    <xdr:to>
      <xdr:col>25</xdr:col>
      <xdr:colOff>593912</xdr:colOff>
      <xdr:row>0</xdr:row>
      <xdr:rowOff>22412</xdr:rowOff>
    </xdr:to>
    <xdr:cxnSp macro="">
      <xdr:nvCxnSpPr>
        <xdr:cNvPr id="29" name="Straight Connector 28">
          <a:extLst>
            <a:ext uri="{FF2B5EF4-FFF2-40B4-BE49-F238E27FC236}">
              <a16:creationId xmlns:a16="http://schemas.microsoft.com/office/drawing/2014/main" id="{F57498FD-2DFE-0885-5EFB-553A52EE94DF}"/>
            </a:ext>
          </a:extLst>
        </xdr:cNvPr>
        <xdr:cNvCxnSpPr/>
      </xdr:nvCxnSpPr>
      <xdr:spPr>
        <a:xfrm flipH="1">
          <a:off x="11206" y="22412"/>
          <a:ext cx="1617008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0</xdr:colOff>
      <xdr:row>66</xdr:row>
      <xdr:rowOff>0</xdr:rowOff>
    </xdr:from>
    <xdr:to>
      <xdr:col>25</xdr:col>
      <xdr:colOff>571500</xdr:colOff>
      <xdr:row>66</xdr:row>
      <xdr:rowOff>22411</xdr:rowOff>
    </xdr:to>
    <xdr:cxnSp macro="">
      <xdr:nvCxnSpPr>
        <xdr:cNvPr id="41" name="Straight Connector 40">
          <a:extLst>
            <a:ext uri="{FF2B5EF4-FFF2-40B4-BE49-F238E27FC236}">
              <a16:creationId xmlns:a16="http://schemas.microsoft.com/office/drawing/2014/main" id="{D01379AE-CF01-5C6C-6B9E-5BA17ADEEF1C}"/>
            </a:ext>
          </a:extLst>
        </xdr:cNvPr>
        <xdr:cNvCxnSpPr/>
      </xdr:nvCxnSpPr>
      <xdr:spPr>
        <a:xfrm flipH="1" flipV="1">
          <a:off x="0" y="13077265"/>
          <a:ext cx="16158882" cy="2241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0</xdr:colOff>
      <xdr:row>0</xdr:row>
      <xdr:rowOff>0</xdr:rowOff>
    </xdr:from>
    <xdr:to>
      <xdr:col>0</xdr:col>
      <xdr:colOff>44824</xdr:colOff>
      <xdr:row>65</xdr:row>
      <xdr:rowOff>168088</xdr:rowOff>
    </xdr:to>
    <xdr:cxnSp macro="">
      <xdr:nvCxnSpPr>
        <xdr:cNvPr id="43" name="Straight Connector 42">
          <a:extLst>
            <a:ext uri="{FF2B5EF4-FFF2-40B4-BE49-F238E27FC236}">
              <a16:creationId xmlns:a16="http://schemas.microsoft.com/office/drawing/2014/main" id="{CCF13BAD-D0E7-3180-F365-08B0FA170136}"/>
            </a:ext>
          </a:extLst>
        </xdr:cNvPr>
        <xdr:cNvCxnSpPr/>
      </xdr:nvCxnSpPr>
      <xdr:spPr>
        <a:xfrm flipH="1">
          <a:off x="0" y="0"/>
          <a:ext cx="44824" cy="13054853"/>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10</xdr:col>
      <xdr:colOff>403412</xdr:colOff>
      <xdr:row>24</xdr:row>
      <xdr:rowOff>17370</xdr:rowOff>
    </xdr:from>
    <xdr:to>
      <xdr:col>13</xdr:col>
      <xdr:colOff>593912</xdr:colOff>
      <xdr:row>33</xdr:row>
      <xdr:rowOff>115165</xdr:rowOff>
    </xdr:to>
    <xdr:grpSp>
      <xdr:nvGrpSpPr>
        <xdr:cNvPr id="9" name="Group 8">
          <a:hlinkClick xmlns:r="http://schemas.openxmlformats.org/officeDocument/2006/relationships" r:id="rId15"/>
          <a:extLst>
            <a:ext uri="{FF2B5EF4-FFF2-40B4-BE49-F238E27FC236}">
              <a16:creationId xmlns:a16="http://schemas.microsoft.com/office/drawing/2014/main" id="{95FD3943-2F3F-2D9A-E69D-2839FC48D456}"/>
            </a:ext>
          </a:extLst>
        </xdr:cNvPr>
        <xdr:cNvGrpSpPr/>
      </xdr:nvGrpSpPr>
      <xdr:grpSpPr>
        <a:xfrm>
          <a:off x="6541745" y="4705787"/>
          <a:ext cx="2032000" cy="1865211"/>
          <a:chOff x="6454588" y="4706471"/>
          <a:chExt cx="2005853" cy="1840005"/>
        </a:xfrm>
      </xdr:grpSpPr>
      <xdr:sp macro="" textlink="">
        <xdr:nvSpPr>
          <xdr:cNvPr id="4" name="Oval 3">
            <a:hlinkClick xmlns:r="http://schemas.openxmlformats.org/officeDocument/2006/relationships" r:id="rId16"/>
            <a:extLst>
              <a:ext uri="{FF2B5EF4-FFF2-40B4-BE49-F238E27FC236}">
                <a16:creationId xmlns:a16="http://schemas.microsoft.com/office/drawing/2014/main" id="{B4DF11FF-83BE-4CD1-A8AE-40EC5620B4F4}"/>
              </a:ext>
            </a:extLst>
          </xdr:cNvPr>
          <xdr:cNvSpPr/>
        </xdr:nvSpPr>
        <xdr:spPr>
          <a:xfrm>
            <a:off x="6526304" y="4722159"/>
            <a:ext cx="1880349" cy="1824317"/>
          </a:xfrm>
          <a:prstGeom prst="ellipse">
            <a:avLst/>
          </a:prstGeom>
          <a:solidFill>
            <a:srgbClr val="C00000">
              <a:alpha val="68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Circle: Hollow 4">
            <a:hlinkClick xmlns:r="http://schemas.openxmlformats.org/officeDocument/2006/relationships" r:id="rId16"/>
            <a:extLst>
              <a:ext uri="{FF2B5EF4-FFF2-40B4-BE49-F238E27FC236}">
                <a16:creationId xmlns:a16="http://schemas.microsoft.com/office/drawing/2014/main" id="{8A959F7D-7CD6-4352-A06F-E1419F03825A}"/>
              </a:ext>
            </a:extLst>
          </xdr:cNvPr>
          <xdr:cNvSpPr/>
        </xdr:nvSpPr>
        <xdr:spPr>
          <a:xfrm>
            <a:off x="6454588" y="4706471"/>
            <a:ext cx="2005853" cy="1826559"/>
          </a:xfrm>
          <a:prstGeom prst="donut">
            <a:avLst>
              <a:gd name="adj" fmla="val 7205"/>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pic>
        <xdr:nvPicPr>
          <xdr:cNvPr id="8" name="Graphic 7" descr="Bar chart outline">
            <a:extLst>
              <a:ext uri="{FF2B5EF4-FFF2-40B4-BE49-F238E27FC236}">
                <a16:creationId xmlns:a16="http://schemas.microsoft.com/office/drawing/2014/main" id="{EB6C6C38-72E6-2F13-D409-272734DA4D1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6846793" y="5053852"/>
            <a:ext cx="1199029" cy="1199029"/>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33</xdr:col>
          <xdr:colOff>180975</xdr:colOff>
          <xdr:row>39</xdr:row>
          <xdr:rowOff>57150</xdr:rowOff>
        </xdr:from>
        <xdr:to>
          <xdr:col>33</xdr:col>
          <xdr:colOff>533400</xdr:colOff>
          <xdr:row>46</xdr:row>
          <xdr:rowOff>180975</xdr:rowOff>
        </xdr:to>
        <xdr:sp macro="" textlink="">
          <xdr:nvSpPr>
            <xdr:cNvPr id="3081" name="Scroll Bar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209550</xdr:colOff>
          <xdr:row>6</xdr:row>
          <xdr:rowOff>66675</xdr:rowOff>
        </xdr:from>
        <xdr:to>
          <xdr:col>33</xdr:col>
          <xdr:colOff>533400</xdr:colOff>
          <xdr:row>14</xdr:row>
          <xdr:rowOff>0</xdr:rowOff>
        </xdr:to>
        <xdr:sp macro="" textlink="">
          <xdr:nvSpPr>
            <xdr:cNvPr id="3086" name="Scroll Bar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6</xdr:col>
      <xdr:colOff>136070</xdr:colOff>
      <xdr:row>14</xdr:row>
      <xdr:rowOff>149679</xdr:rowOff>
    </xdr:from>
    <xdr:to>
      <xdr:col>8</xdr:col>
      <xdr:colOff>0</xdr:colOff>
      <xdr:row>20</xdr:row>
      <xdr:rowOff>26582</xdr:rowOff>
    </xdr:to>
    <xdr:pic>
      <xdr:nvPicPr>
        <xdr:cNvPr id="44" name="Picture 43" descr="Knee problem icon simple vector. Joint pain 21412114 Vector Art at Vecteezy">
          <a:hlinkClick xmlns:r="http://schemas.openxmlformats.org/officeDocument/2006/relationships" r:id="rId19"/>
          <a:extLst>
            <a:ext uri="{FF2B5EF4-FFF2-40B4-BE49-F238E27FC236}">
              <a16:creationId xmlns:a16="http://schemas.microsoft.com/office/drawing/2014/main" id="{C5BA6E4C-90D1-0155-E422-4BDE7936C671}"/>
            </a:ext>
          </a:extLst>
        </xdr:cNvPr>
        <xdr:cNvPicPr>
          <a:picLocks noChangeAspect="1" noChangeArrowheads="1"/>
        </xdr:cNvPicPr>
      </xdr:nvPicPr>
      <xdr:blipFill>
        <a:blip xmlns:r="http://schemas.openxmlformats.org/officeDocument/2006/relationships" r:embed="rId20"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809999" y="2803072"/>
          <a:ext cx="1088572" cy="10879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329597</xdr:colOff>
      <xdr:row>1</xdr:row>
      <xdr:rowOff>116417</xdr:rowOff>
    </xdr:from>
    <xdr:to>
      <xdr:col>17</xdr:col>
      <xdr:colOff>179917</xdr:colOff>
      <xdr:row>11</xdr:row>
      <xdr:rowOff>15350</xdr:rowOff>
    </xdr:to>
    <xdr:pic>
      <xdr:nvPicPr>
        <xdr:cNvPr id="2" name="Picture 1">
          <a:extLst>
            <a:ext uri="{FF2B5EF4-FFF2-40B4-BE49-F238E27FC236}">
              <a16:creationId xmlns:a16="http://schemas.microsoft.com/office/drawing/2014/main" id="{F8BB4E37-88C6-4EDE-5E8F-4CED5DCD49DA}"/>
            </a:ext>
          </a:extLst>
        </xdr:cNvPr>
        <xdr:cNvPicPr>
          <a:picLocks noChangeAspect="1"/>
        </xdr:cNvPicPr>
      </xdr:nvPicPr>
      <xdr:blipFill>
        <a:blip xmlns:r="http://schemas.openxmlformats.org/officeDocument/2006/relationships" r:embed="rId21"/>
        <a:stretch>
          <a:fillRect/>
        </a:stretch>
      </xdr:blipFill>
      <xdr:spPr>
        <a:xfrm>
          <a:off x="4626430" y="306917"/>
          <a:ext cx="5988654" cy="17933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33616</xdr:colOff>
      <xdr:row>3</xdr:row>
      <xdr:rowOff>78441</xdr:rowOff>
    </xdr:from>
    <xdr:to>
      <xdr:col>13</xdr:col>
      <xdr:colOff>421822</xdr:colOff>
      <xdr:row>16</xdr:row>
      <xdr:rowOff>271343</xdr:rowOff>
    </xdr:to>
    <xdr:sp macro="" textlink="">
      <xdr:nvSpPr>
        <xdr:cNvPr id="8" name="Rectangle: Single Corner Snipped 7">
          <a:extLst>
            <a:ext uri="{FF2B5EF4-FFF2-40B4-BE49-F238E27FC236}">
              <a16:creationId xmlns:a16="http://schemas.microsoft.com/office/drawing/2014/main" id="{2E3C33F2-AE6E-5194-3B4C-1CC84ED0E5D6}"/>
            </a:ext>
          </a:extLst>
        </xdr:cNvPr>
        <xdr:cNvSpPr/>
      </xdr:nvSpPr>
      <xdr:spPr>
        <a:xfrm>
          <a:off x="659545" y="840441"/>
          <a:ext cx="11505241" cy="2873509"/>
        </a:xfrm>
        <a:prstGeom prst="snip1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1238</xdr:colOff>
      <xdr:row>0</xdr:row>
      <xdr:rowOff>285750</xdr:rowOff>
    </xdr:from>
    <xdr:to>
      <xdr:col>18</xdr:col>
      <xdr:colOff>771199</xdr:colOff>
      <xdr:row>2</xdr:row>
      <xdr:rowOff>48986</xdr:rowOff>
    </xdr:to>
    <xdr:grpSp>
      <xdr:nvGrpSpPr>
        <xdr:cNvPr id="12" name="Group 11">
          <a:extLst>
            <a:ext uri="{FF2B5EF4-FFF2-40B4-BE49-F238E27FC236}">
              <a16:creationId xmlns:a16="http://schemas.microsoft.com/office/drawing/2014/main" id="{1B2E9D4F-6695-7969-00C0-54188A572028}"/>
            </a:ext>
          </a:extLst>
        </xdr:cNvPr>
        <xdr:cNvGrpSpPr/>
      </xdr:nvGrpSpPr>
      <xdr:grpSpPr>
        <a:xfrm>
          <a:off x="12669488" y="285750"/>
          <a:ext cx="4933747" cy="334736"/>
          <a:chOff x="4054928" y="285750"/>
          <a:chExt cx="3878035" cy="291353"/>
        </a:xfrm>
      </xdr:grpSpPr>
      <xdr:sp macro="" textlink="">
        <xdr:nvSpPr>
          <xdr:cNvPr id="3" name="Rectangle: Rounded Corners 2">
            <a:extLst>
              <a:ext uri="{FF2B5EF4-FFF2-40B4-BE49-F238E27FC236}">
                <a16:creationId xmlns:a16="http://schemas.microsoft.com/office/drawing/2014/main" id="{15F1CE87-0CD8-A0D1-CAAF-CC1D062D7D2B}"/>
              </a:ext>
            </a:extLst>
          </xdr:cNvPr>
          <xdr:cNvSpPr/>
        </xdr:nvSpPr>
        <xdr:spPr>
          <a:xfrm>
            <a:off x="4054928" y="290555"/>
            <a:ext cx="3878035" cy="253731"/>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pic>
        <xdr:nvPicPr>
          <xdr:cNvPr id="5" name="Graphic 4" descr="Magnifying glass with solid fill">
            <a:extLst>
              <a:ext uri="{FF2B5EF4-FFF2-40B4-BE49-F238E27FC236}">
                <a16:creationId xmlns:a16="http://schemas.microsoft.com/office/drawing/2014/main" id="{3D2A1152-E543-1269-73F8-014F284A11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088546" y="285750"/>
            <a:ext cx="291353" cy="291353"/>
          </a:xfrm>
          <a:prstGeom prst="rect">
            <a:avLst/>
          </a:prstGeom>
        </xdr:spPr>
      </xdr:pic>
    </xdr:grpSp>
    <xdr:clientData/>
  </xdr:twoCellAnchor>
  <xdr:twoCellAnchor editAs="absolute">
    <xdr:from>
      <xdr:col>2</xdr:col>
      <xdr:colOff>203467</xdr:colOff>
      <xdr:row>5</xdr:row>
      <xdr:rowOff>11206</xdr:rowOff>
    </xdr:from>
    <xdr:to>
      <xdr:col>4</xdr:col>
      <xdr:colOff>258536</xdr:colOff>
      <xdr:row>15</xdr:row>
      <xdr:rowOff>114076</xdr:rowOff>
    </xdr:to>
    <mc:AlternateContent xmlns:mc="http://schemas.openxmlformats.org/markup-compatibility/2006" xmlns:sle15="http://schemas.microsoft.com/office/drawing/2012/slicer">
      <mc:Choice Requires="sle15">
        <xdr:graphicFrame macro="">
          <xdr:nvGraphicFramePr>
            <xdr:cNvPr id="9" name="Sport">
              <a:extLst>
                <a:ext uri="{FF2B5EF4-FFF2-40B4-BE49-F238E27FC236}">
                  <a16:creationId xmlns:a16="http://schemas.microsoft.com/office/drawing/2014/main" id="{4DF71C21-A65D-7A69-12F5-9E8C28D49C75}"/>
                </a:ext>
              </a:extLst>
            </xdr:cNvPr>
            <xdr:cNvGraphicFramePr/>
          </xdr:nvGraphicFramePr>
          <xdr:xfrm>
            <a:off x="0" y="0"/>
            <a:ext cx="0" cy="0"/>
          </xdr:xfrm>
          <a:graphic>
            <a:graphicData uri="http://schemas.microsoft.com/office/drawing/2010/slicer">
              <sle:slicer xmlns:sle="http://schemas.microsoft.com/office/drawing/2010/slicer" name="Sport"/>
            </a:graphicData>
          </a:graphic>
        </xdr:graphicFrame>
      </mc:Choice>
      <mc:Fallback xmlns="">
        <xdr:sp macro="" textlink="">
          <xdr:nvSpPr>
            <xdr:cNvPr id="0" name=""/>
            <xdr:cNvSpPr>
              <a:spLocks noTextEdit="1"/>
            </xdr:cNvSpPr>
          </xdr:nvSpPr>
          <xdr:spPr>
            <a:xfrm>
              <a:off x="2516681" y="1154206"/>
              <a:ext cx="1837605"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231319</xdr:colOff>
      <xdr:row>5</xdr:row>
      <xdr:rowOff>13607</xdr:rowOff>
    </xdr:from>
    <xdr:to>
      <xdr:col>2</xdr:col>
      <xdr:colOff>160236</xdr:colOff>
      <xdr:row>15</xdr:row>
      <xdr:rowOff>92849</xdr:rowOff>
    </xdr:to>
    <mc:AlternateContent xmlns:mc="http://schemas.openxmlformats.org/markup-compatibility/2006" xmlns:sle15="http://schemas.microsoft.com/office/drawing/2012/slicer">
      <mc:Choice Requires="sle15">
        <xdr:graphicFrame macro="">
          <xdr:nvGraphicFramePr>
            <xdr:cNvPr id="10" name="Degrees°">
              <a:extLst>
                <a:ext uri="{FF2B5EF4-FFF2-40B4-BE49-F238E27FC236}">
                  <a16:creationId xmlns:a16="http://schemas.microsoft.com/office/drawing/2014/main" id="{B7E0513A-F387-E4EE-2650-5DC7C20EC651}"/>
                </a:ext>
              </a:extLst>
            </xdr:cNvPr>
            <xdr:cNvGraphicFramePr/>
          </xdr:nvGraphicFramePr>
          <xdr:xfrm>
            <a:off x="0" y="0"/>
            <a:ext cx="0" cy="0"/>
          </xdr:xfrm>
          <a:graphic>
            <a:graphicData uri="http://schemas.microsoft.com/office/drawing/2010/slicer">
              <sle:slicer xmlns:sle="http://schemas.microsoft.com/office/drawing/2010/slicer" name="Degrees°"/>
            </a:graphicData>
          </a:graphic>
        </xdr:graphicFrame>
      </mc:Choice>
      <mc:Fallback xmlns="">
        <xdr:sp macro="" textlink="">
          <xdr:nvSpPr>
            <xdr:cNvPr id="0" name=""/>
            <xdr:cNvSpPr>
              <a:spLocks noTextEdit="1"/>
            </xdr:cNvSpPr>
          </xdr:nvSpPr>
          <xdr:spPr>
            <a:xfrm>
              <a:off x="857248" y="1156607"/>
              <a:ext cx="1616202" cy="207949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125827</xdr:colOff>
      <xdr:row>5</xdr:row>
      <xdr:rowOff>12807</xdr:rowOff>
    </xdr:from>
    <xdr:to>
      <xdr:col>7</xdr:col>
      <xdr:colOff>693646</xdr:colOff>
      <xdr:row>15</xdr:row>
      <xdr:rowOff>115677</xdr:rowOff>
    </xdr:to>
    <mc:AlternateContent xmlns:mc="http://schemas.openxmlformats.org/markup-compatibility/2006" xmlns:sle15="http://schemas.microsoft.com/office/drawing/2012/slicer">
      <mc:Choice Requires="sle15">
        <xdr:graphicFrame macro="">
          <xdr:nvGraphicFramePr>
            <xdr:cNvPr id="2" name="Group">
              <a:extLst>
                <a:ext uri="{FF2B5EF4-FFF2-40B4-BE49-F238E27FC236}">
                  <a16:creationId xmlns:a16="http://schemas.microsoft.com/office/drawing/2014/main" id="{018CF7C1-7BF7-C3A3-DA04-763355F663AE}"/>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6289863" y="1155807"/>
              <a:ext cx="1833283"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315525</xdr:colOff>
      <xdr:row>5</xdr:row>
      <xdr:rowOff>8804</xdr:rowOff>
    </xdr:from>
    <xdr:to>
      <xdr:col>6</xdr:col>
      <xdr:colOff>68035</xdr:colOff>
      <xdr:row>15</xdr:row>
      <xdr:rowOff>111674</xdr:rowOff>
    </xdr:to>
    <mc:AlternateContent xmlns:mc="http://schemas.openxmlformats.org/markup-compatibility/2006" xmlns:sle15="http://schemas.microsoft.com/office/drawing/2012/slicer">
      <mc:Choice Requires="sle15">
        <xdr:graphicFrame macro="">
          <xdr:nvGraphicFramePr>
            <xdr:cNvPr id="4" name="Year">
              <a:extLst>
                <a:ext uri="{FF2B5EF4-FFF2-40B4-BE49-F238E27FC236}">
                  <a16:creationId xmlns:a16="http://schemas.microsoft.com/office/drawing/2014/main" id="{CE9B7781-6180-B8D2-6C27-5D05A24D6F3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411275" y="1151804"/>
              <a:ext cx="1820796"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785852</xdr:colOff>
      <xdr:row>5</xdr:row>
      <xdr:rowOff>40023</xdr:rowOff>
    </xdr:from>
    <xdr:to>
      <xdr:col>10</xdr:col>
      <xdr:colOff>709652</xdr:colOff>
      <xdr:row>15</xdr:row>
      <xdr:rowOff>142893</xdr:rowOff>
    </xdr:to>
    <mc:AlternateContent xmlns:mc="http://schemas.openxmlformats.org/markup-compatibility/2006" xmlns:sle15="http://schemas.microsoft.com/office/drawing/2012/slicer">
      <mc:Choice Requires="sle15">
        <xdr:graphicFrame macro="">
          <xdr:nvGraphicFramePr>
            <xdr:cNvPr id="6" name="Abbreviations Key">
              <a:extLst>
                <a:ext uri="{FF2B5EF4-FFF2-40B4-BE49-F238E27FC236}">
                  <a16:creationId xmlns:a16="http://schemas.microsoft.com/office/drawing/2014/main" id="{30262E86-1F1F-1251-30F9-7F4CD2B18F2F}"/>
                </a:ext>
              </a:extLst>
            </xdr:cNvPr>
            <xdr:cNvGraphicFramePr/>
          </xdr:nvGraphicFramePr>
          <xdr:xfrm>
            <a:off x="0" y="0"/>
            <a:ext cx="0" cy="0"/>
          </xdr:xfrm>
          <a:graphic>
            <a:graphicData uri="http://schemas.microsoft.com/office/drawing/2010/slicer">
              <sle:slicer xmlns:sle="http://schemas.microsoft.com/office/drawing/2010/slicer" name="Abbreviations Key"/>
            </a:graphicData>
          </a:graphic>
        </xdr:graphicFrame>
      </mc:Choice>
      <mc:Fallback xmlns="">
        <xdr:sp macro="" textlink="">
          <xdr:nvSpPr>
            <xdr:cNvPr id="0" name=""/>
            <xdr:cNvSpPr>
              <a:spLocks noTextEdit="1"/>
            </xdr:cNvSpPr>
          </xdr:nvSpPr>
          <xdr:spPr>
            <a:xfrm>
              <a:off x="8215352" y="1183023"/>
              <a:ext cx="1828800"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14</xdr:col>
          <xdr:colOff>400050</xdr:colOff>
          <xdr:row>1</xdr:row>
          <xdr:rowOff>28575</xdr:rowOff>
        </xdr:from>
        <xdr:to>
          <xdr:col>18</xdr:col>
          <xdr:colOff>619125</xdr:colOff>
          <xdr:row>2</xdr:row>
          <xdr:rowOff>9525</xdr:rowOff>
        </xdr:to>
        <xdr:sp macro="" textlink="">
          <xdr:nvSpPr>
            <xdr:cNvPr id="1030" name="TextBox1"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1</xdr:col>
      <xdr:colOff>288471</xdr:colOff>
      <xdr:row>3</xdr:row>
      <xdr:rowOff>152400</xdr:rowOff>
    </xdr:to>
    <xdr:pic>
      <xdr:nvPicPr>
        <xdr:cNvPr id="13" name="Graphic 12" descr="Arrow: Horizontal U-turn with solid fill">
          <a:hlinkClick xmlns:r="http://schemas.openxmlformats.org/officeDocument/2006/relationships" r:id="rId3"/>
          <a:extLst>
            <a:ext uri="{FF2B5EF4-FFF2-40B4-BE49-F238E27FC236}">
              <a16:creationId xmlns:a16="http://schemas.microsoft.com/office/drawing/2014/main" id="{08113812-B658-2E94-07AF-59BF4E964BF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0"/>
          <a:ext cx="914400" cy="914400"/>
        </a:xfrm>
        <a:prstGeom prst="rect">
          <a:avLst/>
        </a:prstGeom>
      </xdr:spPr>
    </xdr:pic>
    <xdr:clientData/>
  </xdr:twoCellAnchor>
  <xdr:twoCellAnchor>
    <xdr:from>
      <xdr:col>10</xdr:col>
      <xdr:colOff>1019735</xdr:colOff>
      <xdr:row>7</xdr:row>
      <xdr:rowOff>156882</xdr:rowOff>
    </xdr:from>
    <xdr:to>
      <xdr:col>12</xdr:col>
      <xdr:colOff>728382</xdr:colOff>
      <xdr:row>13</xdr:row>
      <xdr:rowOff>155761</xdr:rowOff>
    </xdr:to>
    <xdr:graphicFrame macro="">
      <xdr:nvGraphicFramePr>
        <xdr:cNvPr id="16" name="Chart 15">
          <a:extLst>
            <a:ext uri="{FF2B5EF4-FFF2-40B4-BE49-F238E27FC236}">
              <a16:creationId xmlns:a16="http://schemas.microsoft.com/office/drawing/2014/main" id="{73F6CD22-2EBE-2C25-BAB4-1855844F96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10</xdr:col>
      <xdr:colOff>817709</xdr:colOff>
      <xdr:row>5</xdr:row>
      <xdr:rowOff>48985</xdr:rowOff>
    </xdr:from>
    <xdr:to>
      <xdr:col>13</xdr:col>
      <xdr:colOff>237244</xdr:colOff>
      <xdr:row>15</xdr:row>
      <xdr:rowOff>151855</xdr:rowOff>
    </xdr:to>
    <mc:AlternateContent xmlns:mc="http://schemas.openxmlformats.org/markup-compatibility/2006" xmlns:sle15="http://schemas.microsoft.com/office/drawing/2012/slicer">
      <mc:Choice Requires="sle15">
        <xdr:graphicFrame macro="">
          <xdr:nvGraphicFramePr>
            <xdr:cNvPr id="7" name="Positions 1">
              <a:extLst>
                <a:ext uri="{FF2B5EF4-FFF2-40B4-BE49-F238E27FC236}">
                  <a16:creationId xmlns:a16="http://schemas.microsoft.com/office/drawing/2014/main" id="{BECD8F4F-06B8-35C2-92A4-2C0257582388}"/>
                </a:ext>
              </a:extLst>
            </xdr:cNvPr>
            <xdr:cNvGraphicFramePr/>
          </xdr:nvGraphicFramePr>
          <xdr:xfrm>
            <a:off x="0" y="0"/>
            <a:ext cx="0" cy="0"/>
          </xdr:xfrm>
          <a:graphic>
            <a:graphicData uri="http://schemas.microsoft.com/office/drawing/2010/slicer">
              <sle:slicer xmlns:sle="http://schemas.microsoft.com/office/drawing/2010/slicer" name="Positions 1"/>
            </a:graphicData>
          </a:graphic>
        </xdr:graphicFrame>
      </mc:Choice>
      <mc:Fallback xmlns="">
        <xdr:sp macro="" textlink="">
          <xdr:nvSpPr>
            <xdr:cNvPr id="0" name=""/>
            <xdr:cNvSpPr>
              <a:spLocks noTextEdit="1"/>
            </xdr:cNvSpPr>
          </xdr:nvSpPr>
          <xdr:spPr>
            <a:xfrm>
              <a:off x="10152209" y="1191985"/>
              <a:ext cx="1827999"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340179</xdr:colOff>
      <xdr:row>3</xdr:row>
      <xdr:rowOff>95250</xdr:rowOff>
    </xdr:from>
    <xdr:to>
      <xdr:col>18</xdr:col>
      <xdr:colOff>231321</xdr:colOff>
      <xdr:row>17</xdr:row>
      <xdr:rowOff>122464</xdr:rowOff>
    </xdr:to>
    <xdr:sp macro="" textlink="">
      <xdr:nvSpPr>
        <xdr:cNvPr id="3" name="Rectangle: Single Corner Snipped 2">
          <a:extLst>
            <a:ext uri="{FF2B5EF4-FFF2-40B4-BE49-F238E27FC236}">
              <a16:creationId xmlns:a16="http://schemas.microsoft.com/office/drawing/2014/main" id="{B774DC14-22D9-4A0A-93BA-BB9E07A27855}"/>
            </a:ext>
          </a:extLst>
        </xdr:cNvPr>
        <xdr:cNvSpPr/>
      </xdr:nvSpPr>
      <xdr:spPr>
        <a:xfrm>
          <a:off x="925286" y="666750"/>
          <a:ext cx="13974535" cy="2707821"/>
        </a:xfrm>
        <a:prstGeom prst="snip1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693637</xdr:colOff>
      <xdr:row>5</xdr:row>
      <xdr:rowOff>30541</xdr:rowOff>
    </xdr:from>
    <xdr:to>
      <xdr:col>3</xdr:col>
      <xdr:colOff>42889</xdr:colOff>
      <xdr:row>16</xdr:row>
      <xdr:rowOff>24554</xdr:rowOff>
    </xdr:to>
    <mc:AlternateContent xmlns:mc="http://schemas.openxmlformats.org/markup-compatibility/2006" xmlns:sle15="http://schemas.microsoft.com/office/drawing/2012/slicer">
      <mc:Choice Requires="sle15">
        <xdr:graphicFrame macro="">
          <xdr:nvGraphicFramePr>
            <xdr:cNvPr id="4" name="Degrees">
              <a:extLst>
                <a:ext uri="{FF2B5EF4-FFF2-40B4-BE49-F238E27FC236}">
                  <a16:creationId xmlns:a16="http://schemas.microsoft.com/office/drawing/2014/main" id="{072309E5-AD32-E878-D50C-E0A5A502F2A6}"/>
                </a:ext>
              </a:extLst>
            </xdr:cNvPr>
            <xdr:cNvGraphicFramePr/>
          </xdr:nvGraphicFramePr>
          <xdr:xfrm>
            <a:off x="0" y="0"/>
            <a:ext cx="0" cy="0"/>
          </xdr:xfrm>
          <a:graphic>
            <a:graphicData uri="http://schemas.microsoft.com/office/drawing/2010/slicer">
              <sle:slicer xmlns:sle="http://schemas.microsoft.com/office/drawing/2010/slicer" name="Degrees"/>
            </a:graphicData>
          </a:graphic>
        </xdr:graphicFrame>
      </mc:Choice>
      <mc:Fallback xmlns="">
        <xdr:sp macro="" textlink="">
          <xdr:nvSpPr>
            <xdr:cNvPr id="0" name=""/>
            <xdr:cNvSpPr>
              <a:spLocks noTextEdit="1"/>
            </xdr:cNvSpPr>
          </xdr:nvSpPr>
          <xdr:spPr>
            <a:xfrm>
              <a:off x="1278744" y="983041"/>
              <a:ext cx="1825752"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620798</xdr:colOff>
      <xdr:row>5</xdr:row>
      <xdr:rowOff>36143</xdr:rowOff>
    </xdr:from>
    <xdr:to>
      <xdr:col>8</xdr:col>
      <xdr:colOff>38297</xdr:colOff>
      <xdr:row>16</xdr:row>
      <xdr:rowOff>30156</xdr:rowOff>
    </xdr:to>
    <mc:AlternateContent xmlns:mc="http://schemas.openxmlformats.org/markup-compatibility/2006" xmlns:sle15="http://schemas.microsoft.com/office/drawing/2012/slicer">
      <mc:Choice Requires="sle15">
        <xdr:graphicFrame macro="">
          <xdr:nvGraphicFramePr>
            <xdr:cNvPr id="5" name="Year 1">
              <a:extLst>
                <a:ext uri="{FF2B5EF4-FFF2-40B4-BE49-F238E27FC236}">
                  <a16:creationId xmlns:a16="http://schemas.microsoft.com/office/drawing/2014/main" id="{010C3555-5112-29B7-6A7D-994B0206F8E7}"/>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124762" y="988643"/>
              <a:ext cx="1853178"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149642</xdr:colOff>
      <xdr:row>5</xdr:row>
      <xdr:rowOff>44148</xdr:rowOff>
    </xdr:from>
    <xdr:to>
      <xdr:col>5</xdr:col>
      <xdr:colOff>550201</xdr:colOff>
      <xdr:row>16</xdr:row>
      <xdr:rowOff>38161</xdr:rowOff>
    </xdr:to>
    <mc:AlternateContent xmlns:mc="http://schemas.openxmlformats.org/markup-compatibility/2006" xmlns:sle15="http://schemas.microsoft.com/office/drawing/2012/slicer">
      <mc:Choice Requires="sle15">
        <xdr:graphicFrame macro="">
          <xdr:nvGraphicFramePr>
            <xdr:cNvPr id="6" name="Sport 1">
              <a:extLst>
                <a:ext uri="{FF2B5EF4-FFF2-40B4-BE49-F238E27FC236}">
                  <a16:creationId xmlns:a16="http://schemas.microsoft.com/office/drawing/2014/main" id="{627DD5A7-2A63-C288-F2D2-BDB23C873901}"/>
                </a:ext>
              </a:extLst>
            </xdr:cNvPr>
            <xdr:cNvGraphicFramePr/>
          </xdr:nvGraphicFramePr>
          <xdr:xfrm>
            <a:off x="0" y="0"/>
            <a:ext cx="0" cy="0"/>
          </xdr:xfrm>
          <a:graphic>
            <a:graphicData uri="http://schemas.microsoft.com/office/drawing/2010/slicer">
              <sle:slicer xmlns:sle="http://schemas.microsoft.com/office/drawing/2010/slicer" name="Sport 1"/>
            </a:graphicData>
          </a:graphic>
        </xdr:graphicFrame>
      </mc:Choice>
      <mc:Fallback xmlns="">
        <xdr:sp macro="" textlink="">
          <xdr:nvSpPr>
            <xdr:cNvPr id="0" name=""/>
            <xdr:cNvSpPr>
              <a:spLocks noTextEdit="1"/>
            </xdr:cNvSpPr>
          </xdr:nvSpPr>
          <xdr:spPr>
            <a:xfrm>
              <a:off x="3211249" y="996648"/>
              <a:ext cx="1842916"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114498</xdr:colOff>
      <xdr:row>5</xdr:row>
      <xdr:rowOff>36145</xdr:rowOff>
    </xdr:from>
    <xdr:to>
      <xdr:col>10</xdr:col>
      <xdr:colOff>499776</xdr:colOff>
      <xdr:row>16</xdr:row>
      <xdr:rowOff>30158</xdr:rowOff>
    </xdr:to>
    <mc:AlternateContent xmlns:mc="http://schemas.openxmlformats.org/markup-compatibility/2006" xmlns:sle15="http://schemas.microsoft.com/office/drawing/2012/slicer">
      <mc:Choice Requires="sle15">
        <xdr:graphicFrame macro="">
          <xdr:nvGraphicFramePr>
            <xdr:cNvPr id="7" name="Group 1">
              <a:extLst>
                <a:ext uri="{FF2B5EF4-FFF2-40B4-BE49-F238E27FC236}">
                  <a16:creationId xmlns:a16="http://schemas.microsoft.com/office/drawing/2014/main" id="{B1DCB3B3-75F3-0971-93F3-30B756DE2705}"/>
                </a:ext>
              </a:extLst>
            </xdr:cNvPr>
            <xdr:cNvGraphicFramePr/>
          </xdr:nvGraphicFramePr>
          <xdr:xfrm>
            <a:off x="0" y="0"/>
            <a:ext cx="0" cy="0"/>
          </xdr:xfrm>
          <a:graphic>
            <a:graphicData uri="http://schemas.microsoft.com/office/drawing/2010/slicer">
              <sle:slicer xmlns:sle="http://schemas.microsoft.com/office/drawing/2010/slicer" name="Group 1"/>
            </a:graphicData>
          </a:graphic>
        </xdr:graphicFrame>
      </mc:Choice>
      <mc:Fallback xmlns="">
        <xdr:sp macro="" textlink="">
          <xdr:nvSpPr>
            <xdr:cNvPr id="0" name=""/>
            <xdr:cNvSpPr>
              <a:spLocks noTextEdit="1"/>
            </xdr:cNvSpPr>
          </xdr:nvSpPr>
          <xdr:spPr>
            <a:xfrm>
              <a:off x="7054141" y="988645"/>
              <a:ext cx="1827635"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559166</xdr:colOff>
      <xdr:row>5</xdr:row>
      <xdr:rowOff>41749</xdr:rowOff>
    </xdr:from>
    <xdr:to>
      <xdr:col>12</xdr:col>
      <xdr:colOff>617436</xdr:colOff>
      <xdr:row>16</xdr:row>
      <xdr:rowOff>35762</xdr:rowOff>
    </xdr:to>
    <mc:AlternateContent xmlns:mc="http://schemas.openxmlformats.org/markup-compatibility/2006" xmlns:sle15="http://schemas.microsoft.com/office/drawing/2012/slicer">
      <mc:Choice Requires="sle15">
        <xdr:graphicFrame macro="">
          <xdr:nvGraphicFramePr>
            <xdr:cNvPr id="8" name="Positions">
              <a:extLst>
                <a:ext uri="{FF2B5EF4-FFF2-40B4-BE49-F238E27FC236}">
                  <a16:creationId xmlns:a16="http://schemas.microsoft.com/office/drawing/2014/main" id="{8F3937F9-4DFD-A583-3CE0-1AAA631E7425}"/>
                </a:ext>
              </a:extLst>
            </xdr:cNvPr>
            <xdr:cNvGraphicFramePr/>
          </xdr:nvGraphicFramePr>
          <xdr:xfrm>
            <a:off x="0" y="0"/>
            <a:ext cx="0" cy="0"/>
          </xdr:xfrm>
          <a:graphic>
            <a:graphicData uri="http://schemas.microsoft.com/office/drawing/2010/slicer">
              <sle:slicer xmlns:sle="http://schemas.microsoft.com/office/drawing/2010/slicer" name="Positions"/>
            </a:graphicData>
          </a:graphic>
        </xdr:graphicFrame>
      </mc:Choice>
      <mc:Fallback xmlns="">
        <xdr:sp macro="" textlink="">
          <xdr:nvSpPr>
            <xdr:cNvPr id="0" name=""/>
            <xdr:cNvSpPr>
              <a:spLocks noTextEdit="1"/>
            </xdr:cNvSpPr>
          </xdr:nvSpPr>
          <xdr:spPr>
            <a:xfrm>
              <a:off x="8941166" y="994249"/>
              <a:ext cx="1827199"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654417</xdr:colOff>
      <xdr:row>5</xdr:row>
      <xdr:rowOff>36144</xdr:rowOff>
    </xdr:from>
    <xdr:to>
      <xdr:col>15</xdr:col>
      <xdr:colOff>137113</xdr:colOff>
      <xdr:row>16</xdr:row>
      <xdr:rowOff>30157</xdr:rowOff>
    </xdr:to>
    <mc:AlternateContent xmlns:mc="http://schemas.openxmlformats.org/markup-compatibility/2006" xmlns:sle15="http://schemas.microsoft.com/office/drawing/2012/slicer">
      <mc:Choice Requires="sle15">
        <xdr:graphicFrame macro="">
          <xdr:nvGraphicFramePr>
            <xdr:cNvPr id="9" name="Gender">
              <a:extLst>
                <a:ext uri="{FF2B5EF4-FFF2-40B4-BE49-F238E27FC236}">
                  <a16:creationId xmlns:a16="http://schemas.microsoft.com/office/drawing/2014/main" id="{10DD4BAF-B808-2DAE-6681-C81F9DF9AAA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805346" y="988644"/>
              <a:ext cx="1836731"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199304</xdr:colOff>
      <xdr:row>5</xdr:row>
      <xdr:rowOff>28540</xdr:rowOff>
    </xdr:from>
    <xdr:to>
      <xdr:col>17</xdr:col>
      <xdr:colOff>586620</xdr:colOff>
      <xdr:row>16</xdr:row>
      <xdr:rowOff>22553</xdr:rowOff>
    </xdr:to>
    <mc:AlternateContent xmlns:mc="http://schemas.openxmlformats.org/markup-compatibility/2006" xmlns:sle15="http://schemas.microsoft.com/office/drawing/2012/slicer">
      <mc:Choice Requires="sle15">
        <xdr:graphicFrame macro="">
          <xdr:nvGraphicFramePr>
            <xdr:cNvPr id="10" name="Abbreviations Key 1">
              <a:extLst>
                <a:ext uri="{FF2B5EF4-FFF2-40B4-BE49-F238E27FC236}">
                  <a16:creationId xmlns:a16="http://schemas.microsoft.com/office/drawing/2014/main" id="{442C06BB-0389-9F00-13F3-B332C453FD46}"/>
                </a:ext>
              </a:extLst>
            </xdr:cNvPr>
            <xdr:cNvGraphicFramePr/>
          </xdr:nvGraphicFramePr>
          <xdr:xfrm>
            <a:off x="0" y="0"/>
            <a:ext cx="0" cy="0"/>
          </xdr:xfrm>
          <a:graphic>
            <a:graphicData uri="http://schemas.microsoft.com/office/drawing/2010/slicer">
              <sle:slicer xmlns:sle="http://schemas.microsoft.com/office/drawing/2010/slicer" name="Abbreviations Key 1"/>
            </a:graphicData>
          </a:graphic>
        </xdr:graphicFrame>
      </mc:Choice>
      <mc:Fallback xmlns="">
        <xdr:sp macro="" textlink="">
          <xdr:nvSpPr>
            <xdr:cNvPr id="0" name=""/>
            <xdr:cNvSpPr>
              <a:spLocks noTextEdit="1"/>
            </xdr:cNvSpPr>
          </xdr:nvSpPr>
          <xdr:spPr>
            <a:xfrm>
              <a:off x="12704268" y="981040"/>
              <a:ext cx="1829673" cy="21031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19</xdr:col>
      <xdr:colOff>1151803</xdr:colOff>
      <xdr:row>2</xdr:row>
      <xdr:rowOff>176893</xdr:rowOff>
    </xdr:from>
    <xdr:to>
      <xdr:col>24</xdr:col>
      <xdr:colOff>404210</xdr:colOff>
      <xdr:row>4</xdr:row>
      <xdr:rowOff>127427</xdr:rowOff>
    </xdr:to>
    <xdr:grpSp>
      <xdr:nvGrpSpPr>
        <xdr:cNvPr id="11" name="Group 10">
          <a:extLst>
            <a:ext uri="{FF2B5EF4-FFF2-40B4-BE49-F238E27FC236}">
              <a16:creationId xmlns:a16="http://schemas.microsoft.com/office/drawing/2014/main" id="{5764C9A1-1C99-45DA-889C-69F942F2CB41}"/>
            </a:ext>
          </a:extLst>
        </xdr:cNvPr>
        <xdr:cNvGrpSpPr/>
      </xdr:nvGrpSpPr>
      <xdr:grpSpPr>
        <a:xfrm>
          <a:off x="16541482" y="557893"/>
          <a:ext cx="4640835" cy="331534"/>
          <a:chOff x="4054928" y="285750"/>
          <a:chExt cx="3878035" cy="291353"/>
        </a:xfrm>
      </xdr:grpSpPr>
      <xdr:sp macro="" textlink="">
        <xdr:nvSpPr>
          <xdr:cNvPr id="12" name="Rectangle: Rounded Corners 11">
            <a:extLst>
              <a:ext uri="{FF2B5EF4-FFF2-40B4-BE49-F238E27FC236}">
                <a16:creationId xmlns:a16="http://schemas.microsoft.com/office/drawing/2014/main" id="{D6725EB2-D02E-B307-6D88-533DA24E09B5}"/>
              </a:ext>
            </a:extLst>
          </xdr:cNvPr>
          <xdr:cNvSpPr/>
        </xdr:nvSpPr>
        <xdr:spPr>
          <a:xfrm>
            <a:off x="4054928" y="290555"/>
            <a:ext cx="3878035" cy="253731"/>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pic>
        <xdr:nvPicPr>
          <xdr:cNvPr id="13" name="Graphic 12" descr="Magnifying glass with solid fill">
            <a:extLst>
              <a:ext uri="{FF2B5EF4-FFF2-40B4-BE49-F238E27FC236}">
                <a16:creationId xmlns:a16="http://schemas.microsoft.com/office/drawing/2014/main" id="{7BF62B8C-DA6C-D411-B5E4-C148242CA3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088546" y="285750"/>
            <a:ext cx="291353" cy="291353"/>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20</xdr:col>
          <xdr:colOff>409575</xdr:colOff>
          <xdr:row>3</xdr:row>
          <xdr:rowOff>28575</xdr:rowOff>
        </xdr:from>
        <xdr:to>
          <xdr:col>24</xdr:col>
          <xdr:colOff>276225</xdr:colOff>
          <xdr:row>4</xdr:row>
          <xdr:rowOff>47625</xdr:rowOff>
        </xdr:to>
        <xdr:sp macro="" textlink="">
          <xdr:nvSpPr>
            <xdr:cNvPr id="5121" name="TextBox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11206</xdr:colOff>
      <xdr:row>0</xdr:row>
      <xdr:rowOff>0</xdr:rowOff>
    </xdr:from>
    <xdr:to>
      <xdr:col>1</xdr:col>
      <xdr:colOff>342900</xdr:colOff>
      <xdr:row>4</xdr:row>
      <xdr:rowOff>152400</xdr:rowOff>
    </xdr:to>
    <xdr:pic>
      <xdr:nvPicPr>
        <xdr:cNvPr id="14" name="Graphic 13" descr="Arrow: Horizontal U-turn with solid fill">
          <a:hlinkClick xmlns:r="http://schemas.openxmlformats.org/officeDocument/2006/relationships" r:id="rId3"/>
          <a:extLst>
            <a:ext uri="{FF2B5EF4-FFF2-40B4-BE49-F238E27FC236}">
              <a16:creationId xmlns:a16="http://schemas.microsoft.com/office/drawing/2014/main" id="{09F1A5A8-0F33-F768-D886-EFCDFA7847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206" y="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272142</xdr:colOff>
      <xdr:row>3</xdr:row>
      <xdr:rowOff>131429</xdr:rowOff>
    </xdr:from>
    <xdr:to>
      <xdr:col>17</xdr:col>
      <xdr:colOff>235323</xdr:colOff>
      <xdr:row>17</xdr:row>
      <xdr:rowOff>158643</xdr:rowOff>
    </xdr:to>
    <xdr:sp macro="" textlink="">
      <xdr:nvSpPr>
        <xdr:cNvPr id="2" name="Rectangle: Single Corner Snipped 1">
          <a:extLst>
            <a:ext uri="{FF2B5EF4-FFF2-40B4-BE49-F238E27FC236}">
              <a16:creationId xmlns:a16="http://schemas.microsoft.com/office/drawing/2014/main" id="{99A1C2DE-074A-4A6C-9658-1772BFE266C7}"/>
            </a:ext>
          </a:extLst>
        </xdr:cNvPr>
        <xdr:cNvSpPr/>
      </xdr:nvSpPr>
      <xdr:spPr>
        <a:xfrm>
          <a:off x="910877" y="781370"/>
          <a:ext cx="13242152" cy="2705420"/>
        </a:xfrm>
        <a:prstGeom prst="snip1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19050</xdr:colOff>
      <xdr:row>0</xdr:row>
      <xdr:rowOff>0</xdr:rowOff>
    </xdr:from>
    <xdr:to>
      <xdr:col>1</xdr:col>
      <xdr:colOff>295275</xdr:colOff>
      <xdr:row>4</xdr:row>
      <xdr:rowOff>73959</xdr:rowOff>
    </xdr:to>
    <xdr:pic>
      <xdr:nvPicPr>
        <xdr:cNvPr id="3" name="Graphic 2" descr="Arrow: Horizontal U-turn with solid fill">
          <a:hlinkClick xmlns:r="http://schemas.openxmlformats.org/officeDocument/2006/relationships" r:id="rId1"/>
          <a:extLst>
            <a:ext uri="{FF2B5EF4-FFF2-40B4-BE49-F238E27FC236}">
              <a16:creationId xmlns:a16="http://schemas.microsoft.com/office/drawing/2014/main" id="{4A3BD970-0DD9-44B0-9867-0088813C47E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9050" y="0"/>
          <a:ext cx="914400" cy="914400"/>
        </a:xfrm>
        <a:prstGeom prst="rect">
          <a:avLst/>
        </a:prstGeom>
      </xdr:spPr>
    </xdr:pic>
    <xdr:clientData/>
  </xdr:twoCellAnchor>
  <xdr:twoCellAnchor editAs="absolute">
    <xdr:from>
      <xdr:col>13</xdr:col>
      <xdr:colOff>242530</xdr:colOff>
      <xdr:row>5</xdr:row>
      <xdr:rowOff>108217</xdr:rowOff>
    </xdr:from>
    <xdr:to>
      <xdr:col>15</xdr:col>
      <xdr:colOff>547330</xdr:colOff>
      <xdr:row>16</xdr:row>
      <xdr:rowOff>104631</xdr:rowOff>
    </xdr:to>
    <mc:AlternateContent xmlns:mc="http://schemas.openxmlformats.org/markup-compatibility/2006" xmlns:sle15="http://schemas.microsoft.com/office/drawing/2012/slicer">
      <mc:Choice Requires="sle15">
        <xdr:graphicFrame macro="">
          <xdr:nvGraphicFramePr>
            <xdr:cNvPr id="9" name="Abbreviations Key 2">
              <a:extLst>
                <a:ext uri="{FF2B5EF4-FFF2-40B4-BE49-F238E27FC236}">
                  <a16:creationId xmlns:a16="http://schemas.microsoft.com/office/drawing/2014/main" id="{54810BC3-C2F3-5562-9ECA-841693DF681E}"/>
                </a:ext>
              </a:extLst>
            </xdr:cNvPr>
            <xdr:cNvGraphicFramePr/>
          </xdr:nvGraphicFramePr>
          <xdr:xfrm>
            <a:off x="0" y="0"/>
            <a:ext cx="0" cy="0"/>
          </xdr:xfrm>
          <a:graphic>
            <a:graphicData uri="http://schemas.microsoft.com/office/drawing/2010/slicer">
              <sle:slicer xmlns:sle="http://schemas.microsoft.com/office/drawing/2010/slicer" name="Abbreviations Key 2"/>
            </a:graphicData>
          </a:graphic>
        </xdr:graphicFrame>
      </mc:Choice>
      <mc:Fallback xmlns="">
        <xdr:sp macro="" textlink="">
          <xdr:nvSpPr>
            <xdr:cNvPr id="0" name=""/>
            <xdr:cNvSpPr>
              <a:spLocks noTextEdit="1"/>
            </xdr:cNvSpPr>
          </xdr:nvSpPr>
          <xdr:spPr>
            <a:xfrm>
              <a:off x="10475101" y="1128753"/>
              <a:ext cx="1828800" cy="21055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604319</xdr:colOff>
      <xdr:row>5</xdr:row>
      <xdr:rowOff>116222</xdr:rowOff>
    </xdr:from>
    <xdr:to>
      <xdr:col>16</xdr:col>
      <xdr:colOff>595668</xdr:colOff>
      <xdr:row>16</xdr:row>
      <xdr:rowOff>112636</xdr:rowOff>
    </xdr:to>
    <mc:AlternateContent xmlns:mc="http://schemas.openxmlformats.org/markup-compatibility/2006" xmlns:sle15="http://schemas.microsoft.com/office/drawing/2012/slicer">
      <mc:Choice Requires="sle15">
        <xdr:graphicFrame macro="">
          <xdr:nvGraphicFramePr>
            <xdr:cNvPr id="10" name="Gender 1">
              <a:extLst>
                <a:ext uri="{FF2B5EF4-FFF2-40B4-BE49-F238E27FC236}">
                  <a16:creationId xmlns:a16="http://schemas.microsoft.com/office/drawing/2014/main" id="{F3953418-1607-0059-E3B5-12F5AA2061AC}"/>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2360890" y="1136758"/>
              <a:ext cx="1610599" cy="21055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20</xdr:col>
      <xdr:colOff>32818</xdr:colOff>
      <xdr:row>0</xdr:row>
      <xdr:rowOff>220114</xdr:rowOff>
    </xdr:from>
    <xdr:to>
      <xdr:col>24</xdr:col>
      <xdr:colOff>12007</xdr:colOff>
      <xdr:row>2</xdr:row>
      <xdr:rowOff>40820</xdr:rowOff>
    </xdr:to>
    <xdr:sp macro="" textlink="">
      <xdr:nvSpPr>
        <xdr:cNvPr id="11" name="Rectangle: Rounded Corners 10">
          <a:extLst>
            <a:ext uri="{FF2B5EF4-FFF2-40B4-BE49-F238E27FC236}">
              <a16:creationId xmlns:a16="http://schemas.microsoft.com/office/drawing/2014/main" id="{9BCA5AE4-4A7E-3DAF-EF20-4870A494BAD3}"/>
            </a:ext>
          </a:extLst>
        </xdr:cNvPr>
        <xdr:cNvSpPr/>
      </xdr:nvSpPr>
      <xdr:spPr>
        <a:xfrm>
          <a:off x="17256259" y="220114"/>
          <a:ext cx="3789189" cy="28014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16808</xdr:colOff>
      <xdr:row>0</xdr:row>
      <xdr:rowOff>197702</xdr:rowOff>
    </xdr:from>
    <xdr:to>
      <xdr:col>20</xdr:col>
      <xdr:colOff>360188</xdr:colOff>
      <xdr:row>2</xdr:row>
      <xdr:rowOff>74438</xdr:rowOff>
    </xdr:to>
    <xdr:pic>
      <xdr:nvPicPr>
        <xdr:cNvPr id="13" name="Graphic 12" descr="Magnifying glass with solid fill">
          <a:extLst>
            <a:ext uri="{FF2B5EF4-FFF2-40B4-BE49-F238E27FC236}">
              <a16:creationId xmlns:a16="http://schemas.microsoft.com/office/drawing/2014/main" id="{3CECDF4C-A57C-DB27-3121-94663D45B099}"/>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7240249" y="197702"/>
          <a:ext cx="343380" cy="3361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20</xdr:col>
          <xdr:colOff>400050</xdr:colOff>
          <xdr:row>1</xdr:row>
          <xdr:rowOff>0</xdr:rowOff>
        </xdr:from>
        <xdr:to>
          <xdr:col>23</xdr:col>
          <xdr:colOff>1543050</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429987</xdr:colOff>
      <xdr:row>5</xdr:row>
      <xdr:rowOff>89646</xdr:rowOff>
    </xdr:from>
    <xdr:to>
      <xdr:col>3</xdr:col>
      <xdr:colOff>100086</xdr:colOff>
      <xdr:row>16</xdr:row>
      <xdr:rowOff>86060</xdr:rowOff>
    </xdr:to>
    <mc:AlternateContent xmlns:mc="http://schemas.openxmlformats.org/markup-compatibility/2006" xmlns:sle15="http://schemas.microsoft.com/office/drawing/2012/slicer">
      <mc:Choice Requires="sle15">
        <xdr:graphicFrame macro="">
          <xdr:nvGraphicFramePr>
            <xdr:cNvPr id="5" name="Degrees 8">
              <a:extLst>
                <a:ext uri="{FF2B5EF4-FFF2-40B4-BE49-F238E27FC236}">
                  <a16:creationId xmlns:a16="http://schemas.microsoft.com/office/drawing/2014/main" id="{41A40F71-A57B-503B-2AF3-0789E75EE6C2}"/>
                </a:ext>
              </a:extLst>
            </xdr:cNvPr>
            <xdr:cNvGraphicFramePr/>
          </xdr:nvGraphicFramePr>
          <xdr:xfrm>
            <a:off x="0" y="0"/>
            <a:ext cx="0" cy="0"/>
          </xdr:xfrm>
          <a:graphic>
            <a:graphicData uri="http://schemas.microsoft.com/office/drawing/2010/slicer">
              <sle:slicer xmlns:sle="http://schemas.microsoft.com/office/drawing/2010/slicer" name="Degrees 8"/>
            </a:graphicData>
          </a:graphic>
        </xdr:graphicFrame>
      </mc:Choice>
      <mc:Fallback xmlns="">
        <xdr:sp macro="" textlink="">
          <xdr:nvSpPr>
            <xdr:cNvPr id="0" name=""/>
            <xdr:cNvSpPr>
              <a:spLocks noTextEdit="1"/>
            </xdr:cNvSpPr>
          </xdr:nvSpPr>
          <xdr:spPr>
            <a:xfrm>
              <a:off x="1069523" y="1110182"/>
              <a:ext cx="1860849" cy="21055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560296</xdr:colOff>
      <xdr:row>5</xdr:row>
      <xdr:rowOff>100854</xdr:rowOff>
    </xdr:from>
    <xdr:to>
      <xdr:col>8</xdr:col>
      <xdr:colOff>84718</xdr:colOff>
      <xdr:row>16</xdr:row>
      <xdr:rowOff>97268</xdr:rowOff>
    </xdr:to>
    <mc:AlternateContent xmlns:mc="http://schemas.openxmlformats.org/markup-compatibility/2006" xmlns:sle15="http://schemas.microsoft.com/office/drawing/2012/slicer">
      <mc:Choice Requires="sle15">
        <xdr:graphicFrame macro="">
          <xdr:nvGraphicFramePr>
            <xdr:cNvPr id="6" name="Year 3">
              <a:extLst>
                <a:ext uri="{FF2B5EF4-FFF2-40B4-BE49-F238E27FC236}">
                  <a16:creationId xmlns:a16="http://schemas.microsoft.com/office/drawing/2014/main" id="{B32B3330-6263-4BD0-6348-E6F80AA9EF3A}"/>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4751296" y="1121390"/>
              <a:ext cx="1851243" cy="21055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190501</xdr:colOff>
      <xdr:row>5</xdr:row>
      <xdr:rowOff>100853</xdr:rowOff>
    </xdr:from>
    <xdr:to>
      <xdr:col>5</xdr:col>
      <xdr:colOff>480285</xdr:colOff>
      <xdr:row>16</xdr:row>
      <xdr:rowOff>97267</xdr:rowOff>
    </xdr:to>
    <mc:AlternateContent xmlns:mc="http://schemas.openxmlformats.org/markup-compatibility/2006" xmlns:sle15="http://schemas.microsoft.com/office/drawing/2012/slicer">
      <mc:Choice Requires="sle15">
        <xdr:graphicFrame macro="">
          <xdr:nvGraphicFramePr>
            <xdr:cNvPr id="15" name="Sport 9">
              <a:extLst>
                <a:ext uri="{FF2B5EF4-FFF2-40B4-BE49-F238E27FC236}">
                  <a16:creationId xmlns:a16="http://schemas.microsoft.com/office/drawing/2014/main" id="{C2C5C855-2BA1-7F6C-F157-D58A9378410F}"/>
                </a:ext>
              </a:extLst>
            </xdr:cNvPr>
            <xdr:cNvGraphicFramePr/>
          </xdr:nvGraphicFramePr>
          <xdr:xfrm>
            <a:off x="0" y="0"/>
            <a:ext cx="0" cy="0"/>
          </xdr:xfrm>
          <a:graphic>
            <a:graphicData uri="http://schemas.microsoft.com/office/drawing/2010/slicer">
              <sle:slicer xmlns:sle="http://schemas.microsoft.com/office/drawing/2010/slicer" name="Sport 9"/>
            </a:graphicData>
          </a:graphic>
        </xdr:graphicFrame>
      </mc:Choice>
      <mc:Fallback xmlns="">
        <xdr:sp macro="" textlink="">
          <xdr:nvSpPr>
            <xdr:cNvPr id="0" name=""/>
            <xdr:cNvSpPr>
              <a:spLocks noTextEdit="1"/>
            </xdr:cNvSpPr>
          </xdr:nvSpPr>
          <xdr:spPr>
            <a:xfrm>
              <a:off x="3020787" y="1121389"/>
              <a:ext cx="1650498" cy="21055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156882</xdr:colOff>
      <xdr:row>5</xdr:row>
      <xdr:rowOff>112058</xdr:rowOff>
    </xdr:from>
    <xdr:to>
      <xdr:col>10</xdr:col>
      <xdr:colOff>775447</xdr:colOff>
      <xdr:row>16</xdr:row>
      <xdr:rowOff>108472</xdr:rowOff>
    </xdr:to>
    <mc:AlternateContent xmlns:mc="http://schemas.openxmlformats.org/markup-compatibility/2006" xmlns:sle15="http://schemas.microsoft.com/office/drawing/2012/slicer">
      <mc:Choice Requires="sle15">
        <xdr:graphicFrame macro="">
          <xdr:nvGraphicFramePr>
            <xdr:cNvPr id="16" name="Group 9">
              <a:extLst>
                <a:ext uri="{FF2B5EF4-FFF2-40B4-BE49-F238E27FC236}">
                  <a16:creationId xmlns:a16="http://schemas.microsoft.com/office/drawing/2014/main" id="{F822FD20-7681-B0A3-69F4-6BC757C30206}"/>
                </a:ext>
              </a:extLst>
            </xdr:cNvPr>
            <xdr:cNvGraphicFramePr/>
          </xdr:nvGraphicFramePr>
          <xdr:xfrm>
            <a:off x="0" y="0"/>
            <a:ext cx="0" cy="0"/>
          </xdr:xfrm>
          <a:graphic>
            <a:graphicData uri="http://schemas.microsoft.com/office/drawing/2010/slicer">
              <sle:slicer xmlns:sle="http://schemas.microsoft.com/office/drawing/2010/slicer" name="Group 9"/>
            </a:graphicData>
          </a:graphic>
        </xdr:graphicFrame>
      </mc:Choice>
      <mc:Fallback xmlns="">
        <xdr:sp macro="" textlink="">
          <xdr:nvSpPr>
            <xdr:cNvPr id="0" name=""/>
            <xdr:cNvSpPr>
              <a:spLocks noTextEdit="1"/>
            </xdr:cNvSpPr>
          </xdr:nvSpPr>
          <xdr:spPr>
            <a:xfrm>
              <a:off x="6674703" y="1132594"/>
              <a:ext cx="1843208" cy="21055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813389</xdr:colOff>
      <xdr:row>5</xdr:row>
      <xdr:rowOff>100854</xdr:rowOff>
    </xdr:from>
    <xdr:to>
      <xdr:col>13</xdr:col>
      <xdr:colOff>180929</xdr:colOff>
      <xdr:row>16</xdr:row>
      <xdr:rowOff>97268</xdr:rowOff>
    </xdr:to>
    <mc:AlternateContent xmlns:mc="http://schemas.openxmlformats.org/markup-compatibility/2006" xmlns:sle15="http://schemas.microsoft.com/office/drawing/2012/slicer">
      <mc:Choice Requires="sle15">
        <xdr:graphicFrame macro="">
          <xdr:nvGraphicFramePr>
            <xdr:cNvPr id="17" name="Positions 9">
              <a:extLst>
                <a:ext uri="{FF2B5EF4-FFF2-40B4-BE49-F238E27FC236}">
                  <a16:creationId xmlns:a16="http://schemas.microsoft.com/office/drawing/2014/main" id="{91957984-65E7-36AF-DA4E-ECDF22F4E78E}"/>
                </a:ext>
              </a:extLst>
            </xdr:cNvPr>
            <xdr:cNvGraphicFramePr/>
          </xdr:nvGraphicFramePr>
          <xdr:xfrm>
            <a:off x="0" y="0"/>
            <a:ext cx="0" cy="0"/>
          </xdr:xfrm>
          <a:graphic>
            <a:graphicData uri="http://schemas.microsoft.com/office/drawing/2010/slicer">
              <sle:slicer xmlns:sle="http://schemas.microsoft.com/office/drawing/2010/slicer" name="Positions 9"/>
            </a:graphicData>
          </a:graphic>
        </xdr:graphicFrame>
      </mc:Choice>
      <mc:Fallback xmlns="">
        <xdr:sp macro="" textlink="">
          <xdr:nvSpPr>
            <xdr:cNvPr id="0" name=""/>
            <xdr:cNvSpPr>
              <a:spLocks noTextEdit="1"/>
            </xdr:cNvSpPr>
          </xdr:nvSpPr>
          <xdr:spPr>
            <a:xfrm>
              <a:off x="8555853" y="1121390"/>
              <a:ext cx="1857647" cy="21055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12</xdr:col>
      <xdr:colOff>54428</xdr:colOff>
      <xdr:row>22</xdr:row>
      <xdr:rowOff>40821</xdr:rowOff>
    </xdr:from>
    <xdr:ext cx="4408715" cy="1061358"/>
    <xdr:pic>
      <xdr:nvPicPr>
        <xdr:cNvPr id="2" name="Picture 1">
          <a:extLst>
            <a:ext uri="{FF2B5EF4-FFF2-40B4-BE49-F238E27FC236}">
              <a16:creationId xmlns:a16="http://schemas.microsoft.com/office/drawing/2014/main" id="{29AB053B-6958-4A0B-AC27-3C64F6D444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07142" y="37882285"/>
          <a:ext cx="4408715" cy="106135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xdr:col>
      <xdr:colOff>95249</xdr:colOff>
      <xdr:row>28</xdr:row>
      <xdr:rowOff>54429</xdr:rowOff>
    </xdr:from>
    <xdr:ext cx="4354287" cy="1034143"/>
    <xdr:pic>
      <xdr:nvPicPr>
        <xdr:cNvPr id="4" name="Picture 3">
          <a:extLst>
            <a:ext uri="{FF2B5EF4-FFF2-40B4-BE49-F238E27FC236}">
              <a16:creationId xmlns:a16="http://schemas.microsoft.com/office/drawing/2014/main" id="{F2516562-FDC1-45CB-BDE4-2471EFA186D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647963" y="39066108"/>
          <a:ext cx="4354287" cy="103414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xdr:col>
      <xdr:colOff>81640</xdr:colOff>
      <xdr:row>34</xdr:row>
      <xdr:rowOff>40822</xdr:rowOff>
    </xdr:from>
    <xdr:ext cx="4367895" cy="1034142"/>
    <xdr:pic>
      <xdr:nvPicPr>
        <xdr:cNvPr id="7" name="Picture 6">
          <a:extLst>
            <a:ext uri="{FF2B5EF4-FFF2-40B4-BE49-F238E27FC236}">
              <a16:creationId xmlns:a16="http://schemas.microsoft.com/office/drawing/2014/main" id="{11783226-3257-46F7-BF18-192A3296B1A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634354" y="8763001"/>
          <a:ext cx="4367895" cy="103414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0</xdr:col>
      <xdr:colOff>0</xdr:colOff>
      <xdr:row>0</xdr:row>
      <xdr:rowOff>0</xdr:rowOff>
    </xdr:from>
    <xdr:to>
      <xdr:col>0</xdr:col>
      <xdr:colOff>915761</xdr:colOff>
      <xdr:row>3</xdr:row>
      <xdr:rowOff>181815</xdr:rowOff>
    </xdr:to>
    <xdr:pic>
      <xdr:nvPicPr>
        <xdr:cNvPr id="3" name="Graphic 2" descr="Arrow: Horizontal U-turn with solid fill">
          <a:hlinkClick xmlns:r="http://schemas.openxmlformats.org/officeDocument/2006/relationships" r:id="rId4"/>
          <a:extLst>
            <a:ext uri="{FF2B5EF4-FFF2-40B4-BE49-F238E27FC236}">
              <a16:creationId xmlns:a16="http://schemas.microsoft.com/office/drawing/2014/main" id="{CAF80E98-D541-4AA0-8E71-81B260D1632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0" y="0"/>
          <a:ext cx="915761" cy="92000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51</xdr:col>
      <xdr:colOff>415018</xdr:colOff>
      <xdr:row>88</xdr:row>
      <xdr:rowOff>89807</xdr:rowOff>
    </xdr:from>
    <xdr:to>
      <xdr:col>54</xdr:col>
      <xdr:colOff>299357</xdr:colOff>
      <xdr:row>91</xdr:row>
      <xdr:rowOff>158387</xdr:rowOff>
    </xdr:to>
    <mc:AlternateContent xmlns:mc="http://schemas.openxmlformats.org/markup-compatibility/2006" xmlns:a14="http://schemas.microsoft.com/office/drawing/2010/main">
      <mc:Choice Requires="a14">
        <xdr:graphicFrame macro="">
          <xdr:nvGraphicFramePr>
            <xdr:cNvPr id="51" name="Primary Units 1">
              <a:extLst>
                <a:ext uri="{FF2B5EF4-FFF2-40B4-BE49-F238E27FC236}">
                  <a16:creationId xmlns:a16="http://schemas.microsoft.com/office/drawing/2014/main" id="{2088AEA8-FA8B-6BD7-FCDF-59178409579A}"/>
                </a:ext>
              </a:extLst>
            </xdr:cNvPr>
            <xdr:cNvGraphicFramePr/>
          </xdr:nvGraphicFramePr>
          <xdr:xfrm>
            <a:off x="0" y="0"/>
            <a:ext cx="0" cy="0"/>
          </xdr:xfrm>
          <a:graphic>
            <a:graphicData uri="http://schemas.microsoft.com/office/drawing/2010/slicer">
              <sle:slicer xmlns:sle="http://schemas.microsoft.com/office/drawing/2010/slicer" name="Primary Units 1"/>
            </a:graphicData>
          </a:graphic>
        </xdr:graphicFrame>
      </mc:Choice>
      <mc:Fallback xmlns="">
        <xdr:sp macro="" textlink="">
          <xdr:nvSpPr>
            <xdr:cNvPr id="0" name=""/>
            <xdr:cNvSpPr>
              <a:spLocks noTextEdit="1"/>
            </xdr:cNvSpPr>
          </xdr:nvSpPr>
          <xdr:spPr>
            <a:xfrm>
              <a:off x="29806447" y="16908236"/>
              <a:ext cx="1721303"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421822</xdr:colOff>
      <xdr:row>49</xdr:row>
      <xdr:rowOff>35377</xdr:rowOff>
    </xdr:from>
    <xdr:to>
      <xdr:col>22</xdr:col>
      <xdr:colOff>435430</xdr:colOff>
      <xdr:row>51</xdr:row>
      <xdr:rowOff>40820</xdr:rowOff>
    </xdr:to>
    <mc:AlternateContent xmlns:mc="http://schemas.openxmlformats.org/markup-compatibility/2006" xmlns:a14="http://schemas.microsoft.com/office/drawing/2010/main">
      <mc:Choice Requires="a14">
        <xdr:graphicFrame macro="">
          <xdr:nvGraphicFramePr>
            <xdr:cNvPr id="108" name="Units 1">
              <a:extLst>
                <a:ext uri="{FF2B5EF4-FFF2-40B4-BE49-F238E27FC236}">
                  <a16:creationId xmlns:a16="http://schemas.microsoft.com/office/drawing/2014/main" id="{329D8F5E-009A-6B82-795F-03CB8AF81CCD}"/>
                </a:ext>
              </a:extLst>
            </xdr:cNvPr>
            <xdr:cNvGraphicFramePr/>
          </xdr:nvGraphicFramePr>
          <xdr:xfrm>
            <a:off x="0" y="0"/>
            <a:ext cx="0" cy="0"/>
          </xdr:xfrm>
          <a:graphic>
            <a:graphicData uri="http://schemas.microsoft.com/office/drawing/2010/slicer">
              <sle:slicer xmlns:sle="http://schemas.microsoft.com/office/drawing/2010/slicer" name="Units 1"/>
            </a:graphicData>
          </a:graphic>
        </xdr:graphicFrame>
      </mc:Choice>
      <mc:Fallback xmlns="">
        <xdr:sp macro="" textlink="">
          <xdr:nvSpPr>
            <xdr:cNvPr id="0" name=""/>
            <xdr:cNvSpPr>
              <a:spLocks noTextEdit="1"/>
            </xdr:cNvSpPr>
          </xdr:nvSpPr>
          <xdr:spPr>
            <a:xfrm>
              <a:off x="10246179" y="9424306"/>
              <a:ext cx="3075215" cy="3864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225135</xdr:colOff>
      <xdr:row>0</xdr:row>
      <xdr:rowOff>86591</xdr:rowOff>
    </xdr:from>
    <xdr:to>
      <xdr:col>23</xdr:col>
      <xdr:colOff>17318</xdr:colOff>
      <xdr:row>9</xdr:row>
      <xdr:rowOff>163067</xdr:rowOff>
    </xdr:to>
    <xdr:sp macro="" textlink="">
      <xdr:nvSpPr>
        <xdr:cNvPr id="10" name="Rectangle: Rounded Corners 9">
          <a:extLst>
            <a:ext uri="{FF2B5EF4-FFF2-40B4-BE49-F238E27FC236}">
              <a16:creationId xmlns:a16="http://schemas.microsoft.com/office/drawing/2014/main" id="{8F377E58-1AC5-FB56-21E2-DDB40D251A24}"/>
            </a:ext>
          </a:extLst>
        </xdr:cNvPr>
        <xdr:cNvSpPr/>
      </xdr:nvSpPr>
      <xdr:spPr>
        <a:xfrm>
          <a:off x="5429758" y="86591"/>
          <a:ext cx="7927654" cy="1783773"/>
        </a:xfrm>
        <a:prstGeom prst="roundRect">
          <a:avLst/>
        </a:prstGeom>
        <a:solidFill>
          <a:schemeClr val="dk1">
            <a:tint val="95000"/>
            <a:satMod val="170000"/>
          </a:schemeClr>
        </a:solidFill>
      </xdr:spPr>
      <xdr:style>
        <a:lnRef idx="2">
          <a:schemeClr val="dk1">
            <a:shade val="15000"/>
          </a:schemeClr>
        </a:lnRef>
        <a:fillRef idx="1002">
          <a:schemeClr val="dk1"/>
        </a:fillRef>
        <a:effectRef idx="0">
          <a:schemeClr val="dk1"/>
        </a:effectRef>
        <a:fontRef idx="minor">
          <a:schemeClr val="lt1"/>
        </a:fontRef>
      </xdr:style>
      <xdr:txBody>
        <a:bodyPr vertOverflow="clip" horzOverflow="clip" rtlCol="0" anchor="t"/>
        <a:lstStyle/>
        <a:p>
          <a:pPr algn="ctr"/>
          <a:r>
            <a:rPr lang="en-US" sz="4400">
              <a:latin typeface="Georgia" panose="02040502050405020303" pitchFamily="18" charset="0"/>
            </a:rPr>
            <a:t>Absolute Torque Performance Dashboard</a:t>
          </a:r>
        </a:p>
      </xdr:txBody>
    </xdr:sp>
    <xdr:clientData/>
  </xdr:twoCellAnchor>
  <xdr:twoCellAnchor editAs="oneCell">
    <xdr:from>
      <xdr:col>1</xdr:col>
      <xdr:colOff>67236</xdr:colOff>
      <xdr:row>0</xdr:row>
      <xdr:rowOff>78441</xdr:rowOff>
    </xdr:from>
    <xdr:to>
      <xdr:col>2</xdr:col>
      <xdr:colOff>377078</xdr:colOff>
      <xdr:row>5</xdr:row>
      <xdr:rowOff>45143</xdr:rowOff>
    </xdr:to>
    <xdr:pic>
      <xdr:nvPicPr>
        <xdr:cNvPr id="13" name="Graphic 12" descr="Arrow: Horizontal U-turn with solid fill">
          <a:hlinkClick xmlns:r="http://schemas.openxmlformats.org/officeDocument/2006/relationships" r:id="rId1"/>
          <a:extLst>
            <a:ext uri="{FF2B5EF4-FFF2-40B4-BE49-F238E27FC236}">
              <a16:creationId xmlns:a16="http://schemas.microsoft.com/office/drawing/2014/main" id="{3E0F9BC3-5CF4-4845-B2BF-A35DA992B2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236" y="78441"/>
          <a:ext cx="914960" cy="914400"/>
        </a:xfrm>
        <a:prstGeom prst="rect">
          <a:avLst/>
        </a:prstGeom>
      </xdr:spPr>
    </xdr:pic>
    <xdr:clientData/>
  </xdr:twoCellAnchor>
  <xdr:twoCellAnchor>
    <xdr:from>
      <xdr:col>5</xdr:col>
      <xdr:colOff>320969</xdr:colOff>
      <xdr:row>51</xdr:row>
      <xdr:rowOff>42421</xdr:rowOff>
    </xdr:from>
    <xdr:to>
      <xdr:col>30</xdr:col>
      <xdr:colOff>123040</xdr:colOff>
      <xdr:row>77</xdr:row>
      <xdr:rowOff>8893</xdr:rowOff>
    </xdr:to>
    <xdr:graphicFrame macro="">
      <xdr:nvGraphicFramePr>
        <xdr:cNvPr id="14" name="Chart 13">
          <a:extLst>
            <a:ext uri="{FF2B5EF4-FFF2-40B4-BE49-F238E27FC236}">
              <a16:creationId xmlns:a16="http://schemas.microsoft.com/office/drawing/2014/main" id="{40F64518-7586-4B5B-96D0-3CA55E8EFF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49</xdr:row>
      <xdr:rowOff>12886</xdr:rowOff>
    </xdr:from>
    <xdr:to>
      <xdr:col>5</xdr:col>
      <xdr:colOff>448235</xdr:colOff>
      <xdr:row>58</xdr:row>
      <xdr:rowOff>145675</xdr:rowOff>
    </xdr:to>
    <mc:AlternateContent xmlns:mc="http://schemas.openxmlformats.org/markup-compatibility/2006" xmlns:a14="http://schemas.microsoft.com/office/drawing/2010/main">
      <mc:Choice Requires="a14">
        <xdr:graphicFrame macro="">
          <xdr:nvGraphicFramePr>
            <xdr:cNvPr id="3" name="Degrees 3">
              <a:extLst>
                <a:ext uri="{FF2B5EF4-FFF2-40B4-BE49-F238E27FC236}">
                  <a16:creationId xmlns:a16="http://schemas.microsoft.com/office/drawing/2014/main" id="{E543116F-A06C-F772-DCA8-A20EB41E75BA}"/>
                </a:ext>
              </a:extLst>
            </xdr:cNvPr>
            <xdr:cNvGraphicFramePr/>
          </xdr:nvGraphicFramePr>
          <xdr:xfrm>
            <a:off x="0" y="0"/>
            <a:ext cx="0" cy="0"/>
          </xdr:xfrm>
          <a:graphic>
            <a:graphicData uri="http://schemas.microsoft.com/office/drawing/2010/slicer">
              <sle:slicer xmlns:sle="http://schemas.microsoft.com/office/drawing/2010/slicer" name="Degrees 3"/>
            </a:graphicData>
          </a:graphic>
        </xdr:graphicFrame>
      </mc:Choice>
      <mc:Fallback xmlns="">
        <xdr:sp macro="" textlink="">
          <xdr:nvSpPr>
            <xdr:cNvPr id="0" name=""/>
            <xdr:cNvSpPr>
              <a:spLocks noTextEdit="1"/>
            </xdr:cNvSpPr>
          </xdr:nvSpPr>
          <xdr:spPr>
            <a:xfrm>
              <a:off x="0" y="9360993"/>
              <a:ext cx="2897521" cy="18472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549089</xdr:colOff>
      <xdr:row>77</xdr:row>
      <xdr:rowOff>145674</xdr:rowOff>
    </xdr:from>
    <xdr:to>
      <xdr:col>24</xdr:col>
      <xdr:colOff>11206</xdr:colOff>
      <xdr:row>86</xdr:row>
      <xdr:rowOff>152959</xdr:rowOff>
    </xdr:to>
    <mc:AlternateContent xmlns:mc="http://schemas.openxmlformats.org/markup-compatibility/2006" xmlns:a14="http://schemas.microsoft.com/office/drawing/2010/main">
      <mc:Choice Requires="a14">
        <xdr:graphicFrame macro="">
          <xdr:nvGraphicFramePr>
            <xdr:cNvPr id="5" name="Sport 4">
              <a:extLst>
                <a:ext uri="{FF2B5EF4-FFF2-40B4-BE49-F238E27FC236}">
                  <a16:creationId xmlns:a16="http://schemas.microsoft.com/office/drawing/2014/main" id="{0D78660E-6439-44FC-0D17-8054AC1EE8AC}"/>
                </a:ext>
              </a:extLst>
            </xdr:cNvPr>
            <xdr:cNvGraphicFramePr/>
          </xdr:nvGraphicFramePr>
          <xdr:xfrm>
            <a:off x="0" y="0"/>
            <a:ext cx="0" cy="0"/>
          </xdr:xfrm>
          <a:graphic>
            <a:graphicData uri="http://schemas.microsoft.com/office/drawing/2010/slicer">
              <sle:slicer xmlns:sle="http://schemas.microsoft.com/office/drawing/2010/slicer" name="Sport 4"/>
            </a:graphicData>
          </a:graphic>
        </xdr:graphicFrame>
      </mc:Choice>
      <mc:Fallback xmlns="">
        <xdr:sp macro="" textlink="">
          <xdr:nvSpPr>
            <xdr:cNvPr id="0" name=""/>
            <xdr:cNvSpPr>
              <a:spLocks noTextEdit="1"/>
            </xdr:cNvSpPr>
          </xdr:nvSpPr>
          <xdr:spPr>
            <a:xfrm>
              <a:off x="9393732" y="14827781"/>
              <a:ext cx="4360688" cy="17217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508748</xdr:colOff>
      <xdr:row>77</xdr:row>
      <xdr:rowOff>147917</xdr:rowOff>
    </xdr:from>
    <xdr:to>
      <xdr:col>12</xdr:col>
      <xdr:colOff>320153</xdr:colOff>
      <xdr:row>85</xdr:row>
      <xdr:rowOff>6723</xdr:rowOff>
    </xdr:to>
    <mc:AlternateContent xmlns:mc="http://schemas.openxmlformats.org/markup-compatibility/2006" xmlns:a14="http://schemas.microsoft.com/office/drawing/2010/main">
      <mc:Choice Requires="a14">
        <xdr:graphicFrame macro="">
          <xdr:nvGraphicFramePr>
            <xdr:cNvPr id="8" name="Positions 4">
              <a:extLst>
                <a:ext uri="{FF2B5EF4-FFF2-40B4-BE49-F238E27FC236}">
                  <a16:creationId xmlns:a16="http://schemas.microsoft.com/office/drawing/2014/main" id="{1D3D9BCA-3306-66CC-A30A-C7AA2CF97D60}"/>
                </a:ext>
              </a:extLst>
            </xdr:cNvPr>
            <xdr:cNvGraphicFramePr/>
          </xdr:nvGraphicFramePr>
          <xdr:xfrm>
            <a:off x="0" y="0"/>
            <a:ext cx="0" cy="0"/>
          </xdr:xfrm>
          <a:graphic>
            <a:graphicData uri="http://schemas.microsoft.com/office/drawing/2010/slicer">
              <sle:slicer xmlns:sle="http://schemas.microsoft.com/office/drawing/2010/slicer" name="Positions 4"/>
            </a:graphicData>
          </a:graphic>
        </xdr:graphicFrame>
      </mc:Choice>
      <mc:Fallback xmlns="">
        <xdr:sp macro="" textlink="">
          <xdr:nvSpPr>
            <xdr:cNvPr id="0" name=""/>
            <xdr:cNvSpPr>
              <a:spLocks noTextEdit="1"/>
            </xdr:cNvSpPr>
          </xdr:nvSpPr>
          <xdr:spPr>
            <a:xfrm>
              <a:off x="3570355" y="14830024"/>
              <a:ext cx="314515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58</xdr:row>
      <xdr:rowOff>113739</xdr:rowOff>
    </xdr:from>
    <xdr:to>
      <xdr:col>5</xdr:col>
      <xdr:colOff>448235</xdr:colOff>
      <xdr:row>66</xdr:row>
      <xdr:rowOff>56029</xdr:rowOff>
    </xdr:to>
    <mc:AlternateContent xmlns:mc="http://schemas.openxmlformats.org/markup-compatibility/2006" xmlns:a14="http://schemas.microsoft.com/office/drawing/2010/main">
      <mc:Choice Requires="a14">
        <xdr:graphicFrame macro="">
          <xdr:nvGraphicFramePr>
            <xdr:cNvPr id="16" name="Gender 3">
              <a:extLst>
                <a:ext uri="{FF2B5EF4-FFF2-40B4-BE49-F238E27FC236}">
                  <a16:creationId xmlns:a16="http://schemas.microsoft.com/office/drawing/2014/main" id="{5B84A45B-3736-4E47-F12A-AC5EF4C823D2}"/>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0" y="11176346"/>
              <a:ext cx="2897521" cy="1466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66</xdr:row>
      <xdr:rowOff>63313</xdr:rowOff>
    </xdr:from>
    <xdr:to>
      <xdr:col>5</xdr:col>
      <xdr:colOff>425823</xdr:colOff>
      <xdr:row>73</xdr:row>
      <xdr:rowOff>22412</xdr:rowOff>
    </xdr:to>
    <mc:AlternateContent xmlns:mc="http://schemas.openxmlformats.org/markup-compatibility/2006" xmlns:a14="http://schemas.microsoft.com/office/drawing/2010/main">
      <mc:Choice Requires="a14">
        <xdr:graphicFrame macro="">
          <xdr:nvGraphicFramePr>
            <xdr:cNvPr id="19" name="Directon 1">
              <a:extLst>
                <a:ext uri="{FF2B5EF4-FFF2-40B4-BE49-F238E27FC236}">
                  <a16:creationId xmlns:a16="http://schemas.microsoft.com/office/drawing/2014/main" id="{D3CB3594-480A-C049-0D83-39A5D2D5D925}"/>
                </a:ext>
              </a:extLst>
            </xdr:cNvPr>
            <xdr:cNvGraphicFramePr/>
          </xdr:nvGraphicFramePr>
          <xdr:xfrm>
            <a:off x="0" y="0"/>
            <a:ext cx="0" cy="0"/>
          </xdr:xfrm>
          <a:graphic>
            <a:graphicData uri="http://schemas.microsoft.com/office/drawing/2010/slicer">
              <sle:slicer xmlns:sle="http://schemas.microsoft.com/office/drawing/2010/slicer" name="Directon 1"/>
            </a:graphicData>
          </a:graphic>
        </xdr:graphicFrame>
      </mc:Choice>
      <mc:Fallback xmlns="">
        <xdr:sp macro="" textlink="">
          <xdr:nvSpPr>
            <xdr:cNvPr id="0" name=""/>
            <xdr:cNvSpPr>
              <a:spLocks noTextEdit="1"/>
            </xdr:cNvSpPr>
          </xdr:nvSpPr>
          <xdr:spPr>
            <a:xfrm>
              <a:off x="0" y="12649920"/>
              <a:ext cx="2875109" cy="129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7287</xdr:colOff>
      <xdr:row>77</xdr:row>
      <xdr:rowOff>145677</xdr:rowOff>
    </xdr:from>
    <xdr:to>
      <xdr:col>26</xdr:col>
      <xdr:colOff>571500</xdr:colOff>
      <xdr:row>86</xdr:row>
      <xdr:rowOff>100854</xdr:rowOff>
    </xdr:to>
    <mc:AlternateContent xmlns:mc="http://schemas.openxmlformats.org/markup-compatibility/2006" xmlns:a14="http://schemas.microsoft.com/office/drawing/2010/main">
      <mc:Choice Requires="a14">
        <xdr:graphicFrame macro="">
          <xdr:nvGraphicFramePr>
            <xdr:cNvPr id="22" name="Machine Type">
              <a:extLst>
                <a:ext uri="{FF2B5EF4-FFF2-40B4-BE49-F238E27FC236}">
                  <a16:creationId xmlns:a16="http://schemas.microsoft.com/office/drawing/2014/main" id="{6D3861A1-CA4F-5F44-1B26-7FE797F92811}"/>
                </a:ext>
              </a:extLst>
            </xdr:cNvPr>
            <xdr:cNvGraphicFramePr/>
          </xdr:nvGraphicFramePr>
          <xdr:xfrm>
            <a:off x="0" y="0"/>
            <a:ext cx="0" cy="0"/>
          </xdr:xfrm>
          <a:graphic>
            <a:graphicData uri="http://schemas.microsoft.com/office/drawing/2010/slicer">
              <sle:slicer xmlns:sle="http://schemas.microsoft.com/office/drawing/2010/slicer" name="Machine Type"/>
            </a:graphicData>
          </a:graphic>
        </xdr:graphicFrame>
      </mc:Choice>
      <mc:Fallback xmlns="">
        <xdr:sp macro="" textlink="">
          <xdr:nvSpPr>
            <xdr:cNvPr id="0" name=""/>
            <xdr:cNvSpPr>
              <a:spLocks noTextEdit="1"/>
            </xdr:cNvSpPr>
          </xdr:nvSpPr>
          <xdr:spPr>
            <a:xfrm>
              <a:off x="13750501" y="14827784"/>
              <a:ext cx="1788856" cy="16696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92048</xdr:colOff>
      <xdr:row>50</xdr:row>
      <xdr:rowOff>152881</xdr:rowOff>
    </xdr:from>
    <xdr:to>
      <xdr:col>23</xdr:col>
      <xdr:colOff>190500</xdr:colOff>
      <xdr:row>50</xdr:row>
      <xdr:rowOff>176894</xdr:rowOff>
    </xdr:to>
    <xdr:cxnSp macro="">
      <xdr:nvCxnSpPr>
        <xdr:cNvPr id="31" name="Straight Connector 30">
          <a:extLst>
            <a:ext uri="{FF2B5EF4-FFF2-40B4-BE49-F238E27FC236}">
              <a16:creationId xmlns:a16="http://schemas.microsoft.com/office/drawing/2014/main" id="{2EBB48C2-F893-4159-BE4C-37008C0D06D1}"/>
            </a:ext>
          </a:extLst>
        </xdr:cNvPr>
        <xdr:cNvCxnSpPr/>
      </xdr:nvCxnSpPr>
      <xdr:spPr>
        <a:xfrm>
          <a:off x="9916405" y="9732310"/>
          <a:ext cx="3772381" cy="24013"/>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12</xdr:col>
      <xdr:colOff>248769</xdr:colOff>
      <xdr:row>77</xdr:row>
      <xdr:rowOff>152398</xdr:rowOff>
    </xdr:from>
    <xdr:to>
      <xdr:col>16</xdr:col>
      <xdr:colOff>593127</xdr:colOff>
      <xdr:row>85</xdr:row>
      <xdr:rowOff>3584</xdr:rowOff>
    </xdr:to>
    <mc:AlternateContent xmlns:mc="http://schemas.openxmlformats.org/markup-compatibility/2006" xmlns:a14="http://schemas.microsoft.com/office/drawing/2010/main">
      <mc:Choice Requires="a14">
        <xdr:graphicFrame macro="">
          <xdr:nvGraphicFramePr>
            <xdr:cNvPr id="34" name="Group 5">
              <a:extLst>
                <a:ext uri="{FF2B5EF4-FFF2-40B4-BE49-F238E27FC236}">
                  <a16:creationId xmlns:a16="http://schemas.microsoft.com/office/drawing/2014/main" id="{6E9B0081-9D78-51E9-0EA6-E54F6966811D}"/>
                </a:ext>
              </a:extLst>
            </xdr:cNvPr>
            <xdr:cNvGraphicFramePr/>
          </xdr:nvGraphicFramePr>
          <xdr:xfrm>
            <a:off x="0" y="0"/>
            <a:ext cx="0" cy="0"/>
          </xdr:xfrm>
          <a:graphic>
            <a:graphicData uri="http://schemas.microsoft.com/office/drawing/2010/slicer">
              <sle:slicer xmlns:sle="http://schemas.microsoft.com/office/drawing/2010/slicer" name="Group 5"/>
            </a:graphicData>
          </a:graphic>
        </xdr:graphicFrame>
      </mc:Choice>
      <mc:Fallback xmlns="">
        <xdr:sp macro="" textlink="">
          <xdr:nvSpPr>
            <xdr:cNvPr id="0" name=""/>
            <xdr:cNvSpPr>
              <a:spLocks noTextEdit="1"/>
            </xdr:cNvSpPr>
          </xdr:nvSpPr>
          <xdr:spPr>
            <a:xfrm>
              <a:off x="6644126" y="14834505"/>
              <a:ext cx="2793644"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276145</xdr:colOff>
      <xdr:row>91</xdr:row>
      <xdr:rowOff>27893</xdr:rowOff>
    </xdr:from>
    <xdr:to>
      <xdr:col>30</xdr:col>
      <xdr:colOff>78216</xdr:colOff>
      <xdr:row>118</xdr:row>
      <xdr:rowOff>13606</xdr:rowOff>
    </xdr:to>
    <xdr:graphicFrame macro="">
      <xdr:nvGraphicFramePr>
        <xdr:cNvPr id="36" name="Chart 2">
          <a:extLst>
            <a:ext uri="{FF2B5EF4-FFF2-40B4-BE49-F238E27FC236}">
              <a16:creationId xmlns:a16="http://schemas.microsoft.com/office/drawing/2014/main" id="{FDEB49D0-0147-3C59-45C2-C2885BB52F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40821</xdr:colOff>
      <xdr:row>88</xdr:row>
      <xdr:rowOff>34499</xdr:rowOff>
    </xdr:from>
    <xdr:to>
      <xdr:col>5</xdr:col>
      <xdr:colOff>231321</xdr:colOff>
      <xdr:row>97</xdr:row>
      <xdr:rowOff>172891</xdr:rowOff>
    </xdr:to>
    <mc:AlternateContent xmlns:mc="http://schemas.openxmlformats.org/markup-compatibility/2006" xmlns:a14="http://schemas.microsoft.com/office/drawing/2010/main">
      <mc:Choice Requires="a14">
        <xdr:graphicFrame macro="">
          <xdr:nvGraphicFramePr>
            <xdr:cNvPr id="37" name="Degrees 4">
              <a:extLst>
                <a:ext uri="{FF2B5EF4-FFF2-40B4-BE49-F238E27FC236}">
                  <a16:creationId xmlns:a16="http://schemas.microsoft.com/office/drawing/2014/main" id="{6D1D4FB5-36CA-8D21-E659-874BCF5458BD}"/>
                </a:ext>
              </a:extLst>
            </xdr:cNvPr>
            <xdr:cNvGraphicFramePr/>
          </xdr:nvGraphicFramePr>
          <xdr:xfrm>
            <a:off x="0" y="0"/>
            <a:ext cx="0" cy="0"/>
          </xdr:xfrm>
          <a:graphic>
            <a:graphicData uri="http://schemas.microsoft.com/office/drawing/2010/slicer">
              <sle:slicer xmlns:sle="http://schemas.microsoft.com/office/drawing/2010/slicer" name="Degrees 4"/>
            </a:graphicData>
          </a:graphic>
        </xdr:graphicFrame>
      </mc:Choice>
      <mc:Fallback xmlns="">
        <xdr:sp macro="" textlink="">
          <xdr:nvSpPr>
            <xdr:cNvPr id="0" name=""/>
            <xdr:cNvSpPr>
              <a:spLocks noTextEdit="1"/>
            </xdr:cNvSpPr>
          </xdr:nvSpPr>
          <xdr:spPr>
            <a:xfrm>
              <a:off x="408214" y="16852928"/>
              <a:ext cx="2639786" cy="18528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475682</xdr:colOff>
      <xdr:row>118</xdr:row>
      <xdr:rowOff>54429</xdr:rowOff>
    </xdr:from>
    <xdr:to>
      <xdr:col>23</xdr:col>
      <xdr:colOff>517071</xdr:colOff>
      <xdr:row>125</xdr:row>
      <xdr:rowOff>136071</xdr:rowOff>
    </xdr:to>
    <mc:AlternateContent xmlns:mc="http://schemas.openxmlformats.org/markup-compatibility/2006" xmlns:a14="http://schemas.microsoft.com/office/drawing/2010/main">
      <mc:Choice Requires="a14">
        <xdr:graphicFrame macro="">
          <xdr:nvGraphicFramePr>
            <xdr:cNvPr id="38" name="Sport 5">
              <a:extLst>
                <a:ext uri="{FF2B5EF4-FFF2-40B4-BE49-F238E27FC236}">
                  <a16:creationId xmlns:a16="http://schemas.microsoft.com/office/drawing/2014/main" id="{8AF580AF-87FC-1C11-6BA9-4CD6CD441C82}"/>
                </a:ext>
              </a:extLst>
            </xdr:cNvPr>
            <xdr:cNvGraphicFramePr/>
          </xdr:nvGraphicFramePr>
          <xdr:xfrm>
            <a:off x="0" y="0"/>
            <a:ext cx="0" cy="0"/>
          </xdr:xfrm>
          <a:graphic>
            <a:graphicData uri="http://schemas.microsoft.com/office/drawing/2010/slicer">
              <sle:slicer xmlns:sle="http://schemas.microsoft.com/office/drawing/2010/slicer" name="Sport 5"/>
            </a:graphicData>
          </a:graphic>
        </xdr:graphicFrame>
      </mc:Choice>
      <mc:Fallback xmlns="">
        <xdr:sp macro="" textlink="">
          <xdr:nvSpPr>
            <xdr:cNvPr id="0" name=""/>
            <xdr:cNvSpPr>
              <a:spLocks noTextEdit="1"/>
            </xdr:cNvSpPr>
          </xdr:nvSpPr>
          <xdr:spPr>
            <a:xfrm>
              <a:off x="9687718" y="22587858"/>
              <a:ext cx="4327639" cy="14151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457694</xdr:colOff>
      <xdr:row>118</xdr:row>
      <xdr:rowOff>64325</xdr:rowOff>
    </xdr:from>
    <xdr:to>
      <xdr:col>16</xdr:col>
      <xdr:colOff>457694</xdr:colOff>
      <xdr:row>125</xdr:row>
      <xdr:rowOff>163285</xdr:rowOff>
    </xdr:to>
    <mc:AlternateContent xmlns:mc="http://schemas.openxmlformats.org/markup-compatibility/2006" xmlns:a14="http://schemas.microsoft.com/office/drawing/2010/main">
      <mc:Choice Requires="a14">
        <xdr:graphicFrame macro="">
          <xdr:nvGraphicFramePr>
            <xdr:cNvPr id="39" name="Group 4">
              <a:extLst>
                <a:ext uri="{FF2B5EF4-FFF2-40B4-BE49-F238E27FC236}">
                  <a16:creationId xmlns:a16="http://schemas.microsoft.com/office/drawing/2014/main" id="{2E9B691F-2AC5-E71D-2525-067EE5040032}"/>
                </a:ext>
              </a:extLst>
            </xdr:cNvPr>
            <xdr:cNvGraphicFramePr/>
          </xdr:nvGraphicFramePr>
          <xdr:xfrm>
            <a:off x="0" y="0"/>
            <a:ext cx="0" cy="0"/>
          </xdr:xfrm>
          <a:graphic>
            <a:graphicData uri="http://schemas.microsoft.com/office/drawing/2010/slicer">
              <sle:slicer xmlns:sle="http://schemas.microsoft.com/office/drawing/2010/slicer" name="Group 4"/>
            </a:graphicData>
          </a:graphic>
        </xdr:graphicFrame>
      </mc:Choice>
      <mc:Fallback xmlns="">
        <xdr:sp macro="" textlink="">
          <xdr:nvSpPr>
            <xdr:cNvPr id="0" name=""/>
            <xdr:cNvSpPr>
              <a:spLocks noTextEdit="1"/>
            </xdr:cNvSpPr>
          </xdr:nvSpPr>
          <xdr:spPr>
            <a:xfrm>
              <a:off x="6608123" y="22597754"/>
              <a:ext cx="3061607" cy="1432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186790</xdr:colOff>
      <xdr:row>118</xdr:row>
      <xdr:rowOff>51308</xdr:rowOff>
    </xdr:from>
    <xdr:to>
      <xdr:col>11</xdr:col>
      <xdr:colOff>435428</xdr:colOff>
      <xdr:row>125</xdr:row>
      <xdr:rowOff>122464</xdr:rowOff>
    </xdr:to>
    <mc:AlternateContent xmlns:mc="http://schemas.openxmlformats.org/markup-compatibility/2006" xmlns:a14="http://schemas.microsoft.com/office/drawing/2010/main">
      <mc:Choice Requires="a14">
        <xdr:graphicFrame macro="">
          <xdr:nvGraphicFramePr>
            <xdr:cNvPr id="40" name="Positions 5">
              <a:extLst>
                <a:ext uri="{FF2B5EF4-FFF2-40B4-BE49-F238E27FC236}">
                  <a16:creationId xmlns:a16="http://schemas.microsoft.com/office/drawing/2014/main" id="{80EFDBD6-A597-EE25-3208-288CFE863408}"/>
                </a:ext>
              </a:extLst>
            </xdr:cNvPr>
            <xdr:cNvGraphicFramePr/>
          </xdr:nvGraphicFramePr>
          <xdr:xfrm>
            <a:off x="0" y="0"/>
            <a:ext cx="0" cy="0"/>
          </xdr:xfrm>
          <a:graphic>
            <a:graphicData uri="http://schemas.microsoft.com/office/drawing/2010/slicer">
              <sle:slicer xmlns:sle="http://schemas.microsoft.com/office/drawing/2010/slicer" name="Positions 5"/>
            </a:graphicData>
          </a:graphic>
        </xdr:graphicFrame>
      </mc:Choice>
      <mc:Fallback xmlns="">
        <xdr:sp macro="" textlink="">
          <xdr:nvSpPr>
            <xdr:cNvPr id="0" name=""/>
            <xdr:cNvSpPr>
              <a:spLocks noTextEdit="1"/>
            </xdr:cNvSpPr>
          </xdr:nvSpPr>
          <xdr:spPr>
            <a:xfrm>
              <a:off x="3003469" y="22584737"/>
              <a:ext cx="3582388" cy="14046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48405</xdr:colOff>
      <xdr:row>118</xdr:row>
      <xdr:rowOff>68036</xdr:rowOff>
    </xdr:from>
    <xdr:to>
      <xdr:col>27</xdr:col>
      <xdr:colOff>68036</xdr:colOff>
      <xdr:row>125</xdr:row>
      <xdr:rowOff>122465</xdr:rowOff>
    </xdr:to>
    <mc:AlternateContent xmlns:mc="http://schemas.openxmlformats.org/markup-compatibility/2006" xmlns:a14="http://schemas.microsoft.com/office/drawing/2010/main">
      <mc:Choice Requires="a14">
        <xdr:graphicFrame macro="">
          <xdr:nvGraphicFramePr>
            <xdr:cNvPr id="41" name="Machine Type 2">
              <a:extLst>
                <a:ext uri="{FF2B5EF4-FFF2-40B4-BE49-F238E27FC236}">
                  <a16:creationId xmlns:a16="http://schemas.microsoft.com/office/drawing/2014/main" id="{266954C1-8F2D-9243-10A9-A23782C01918}"/>
                </a:ext>
              </a:extLst>
            </xdr:cNvPr>
            <xdr:cNvGraphicFramePr/>
          </xdr:nvGraphicFramePr>
          <xdr:xfrm>
            <a:off x="0" y="0"/>
            <a:ext cx="0" cy="0"/>
          </xdr:xfrm>
          <a:graphic>
            <a:graphicData uri="http://schemas.microsoft.com/office/drawing/2010/slicer">
              <sle:slicer xmlns:sle="http://schemas.microsoft.com/office/drawing/2010/slicer" name="Machine Type 2"/>
            </a:graphicData>
          </a:graphic>
        </xdr:graphicFrame>
      </mc:Choice>
      <mc:Fallback xmlns="">
        <xdr:sp macro="" textlink="">
          <xdr:nvSpPr>
            <xdr:cNvPr id="0" name=""/>
            <xdr:cNvSpPr>
              <a:spLocks noTextEdit="1"/>
            </xdr:cNvSpPr>
          </xdr:nvSpPr>
          <xdr:spPr>
            <a:xfrm>
              <a:off x="14159012" y="22601465"/>
              <a:ext cx="1856595" cy="1387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555889</xdr:colOff>
      <xdr:row>88</xdr:row>
      <xdr:rowOff>32896</xdr:rowOff>
    </xdr:from>
    <xdr:to>
      <xdr:col>19</xdr:col>
      <xdr:colOff>355386</xdr:colOff>
      <xdr:row>90</xdr:row>
      <xdr:rowOff>132069</xdr:rowOff>
    </xdr:to>
    <mc:AlternateContent xmlns:mc="http://schemas.openxmlformats.org/markup-compatibility/2006" xmlns:a14="http://schemas.microsoft.com/office/drawing/2010/main">
      <mc:Choice Requires="a14">
        <xdr:graphicFrame macro="">
          <xdr:nvGraphicFramePr>
            <xdr:cNvPr id="42" name="Primary Units">
              <a:extLst>
                <a:ext uri="{FF2B5EF4-FFF2-40B4-BE49-F238E27FC236}">
                  <a16:creationId xmlns:a16="http://schemas.microsoft.com/office/drawing/2014/main" id="{46717084-D206-1CCD-CB45-545697509DB1}"/>
                </a:ext>
              </a:extLst>
            </xdr:cNvPr>
            <xdr:cNvGraphicFramePr/>
          </xdr:nvGraphicFramePr>
          <xdr:xfrm>
            <a:off x="0" y="0"/>
            <a:ext cx="0" cy="0"/>
          </xdr:xfrm>
          <a:graphic>
            <a:graphicData uri="http://schemas.microsoft.com/office/drawing/2010/slicer">
              <sle:slicer xmlns:sle="http://schemas.microsoft.com/office/drawing/2010/slicer" name="Primary Units"/>
            </a:graphicData>
          </a:graphic>
        </xdr:graphicFrame>
      </mc:Choice>
      <mc:Fallback xmlns="">
        <xdr:sp macro="" textlink="">
          <xdr:nvSpPr>
            <xdr:cNvPr id="0" name=""/>
            <xdr:cNvSpPr>
              <a:spLocks noTextEdit="1"/>
            </xdr:cNvSpPr>
          </xdr:nvSpPr>
          <xdr:spPr>
            <a:xfrm>
              <a:off x="9767925" y="16851325"/>
              <a:ext cx="1636461" cy="4801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40822</xdr:colOff>
      <xdr:row>96</xdr:row>
      <xdr:rowOff>95250</xdr:rowOff>
    </xdr:from>
    <xdr:to>
      <xdr:col>5</xdr:col>
      <xdr:colOff>204107</xdr:colOff>
      <xdr:row>104</xdr:row>
      <xdr:rowOff>95250</xdr:rowOff>
    </xdr:to>
    <mc:AlternateContent xmlns:mc="http://schemas.openxmlformats.org/markup-compatibility/2006" xmlns:a14="http://schemas.microsoft.com/office/drawing/2010/main">
      <mc:Choice Requires="a14">
        <xdr:graphicFrame macro="">
          <xdr:nvGraphicFramePr>
            <xdr:cNvPr id="44" name="Gender 4">
              <a:extLst>
                <a:ext uri="{FF2B5EF4-FFF2-40B4-BE49-F238E27FC236}">
                  <a16:creationId xmlns:a16="http://schemas.microsoft.com/office/drawing/2014/main" id="{F5E19453-1104-2679-AD9A-1237EFB5BD43}"/>
                </a:ext>
              </a:extLst>
            </xdr:cNvPr>
            <xdr:cNvGraphicFramePr/>
          </xdr:nvGraphicFramePr>
          <xdr:xfrm>
            <a:off x="0" y="0"/>
            <a:ext cx="0" cy="0"/>
          </xdr:xfrm>
          <a:graphic>
            <a:graphicData uri="http://schemas.microsoft.com/office/drawing/2010/slicer">
              <sle:slicer xmlns:sle="http://schemas.microsoft.com/office/drawing/2010/slicer" name="Gender 4"/>
            </a:graphicData>
          </a:graphic>
        </xdr:graphicFrame>
      </mc:Choice>
      <mc:Fallback xmlns="">
        <xdr:sp macro="" textlink="">
          <xdr:nvSpPr>
            <xdr:cNvPr id="0" name=""/>
            <xdr:cNvSpPr>
              <a:spLocks noTextEdit="1"/>
            </xdr:cNvSpPr>
          </xdr:nvSpPr>
          <xdr:spPr>
            <a:xfrm>
              <a:off x="408215" y="18437679"/>
              <a:ext cx="2612571"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28078</xdr:colOff>
      <xdr:row>104</xdr:row>
      <xdr:rowOff>140525</xdr:rowOff>
    </xdr:from>
    <xdr:to>
      <xdr:col>5</xdr:col>
      <xdr:colOff>176891</xdr:colOff>
      <xdr:row>112</xdr:row>
      <xdr:rowOff>3711</xdr:rowOff>
    </xdr:to>
    <mc:AlternateContent xmlns:mc="http://schemas.openxmlformats.org/markup-compatibility/2006" xmlns:a14="http://schemas.microsoft.com/office/drawing/2010/main">
      <mc:Choice Requires="a14">
        <xdr:graphicFrame macro="">
          <xdr:nvGraphicFramePr>
            <xdr:cNvPr id="45" name="Directon 2">
              <a:extLst>
                <a:ext uri="{FF2B5EF4-FFF2-40B4-BE49-F238E27FC236}">
                  <a16:creationId xmlns:a16="http://schemas.microsoft.com/office/drawing/2014/main" id="{D3271C97-AF1E-CACE-D523-C318A63E7E5D}"/>
                </a:ext>
              </a:extLst>
            </xdr:cNvPr>
            <xdr:cNvGraphicFramePr/>
          </xdr:nvGraphicFramePr>
          <xdr:xfrm>
            <a:off x="0" y="0"/>
            <a:ext cx="0" cy="0"/>
          </xdr:xfrm>
          <a:graphic>
            <a:graphicData uri="http://schemas.microsoft.com/office/drawing/2010/slicer">
              <sle:slicer xmlns:sle="http://schemas.microsoft.com/office/drawing/2010/slicer" name="Directon 2"/>
            </a:graphicData>
          </a:graphic>
        </xdr:graphicFrame>
      </mc:Choice>
      <mc:Fallback xmlns="">
        <xdr:sp macro="" textlink="">
          <xdr:nvSpPr>
            <xdr:cNvPr id="0" name=""/>
            <xdr:cNvSpPr>
              <a:spLocks noTextEdit="1"/>
            </xdr:cNvSpPr>
          </xdr:nvSpPr>
          <xdr:spPr>
            <a:xfrm>
              <a:off x="395471" y="20006954"/>
              <a:ext cx="2598099" cy="13871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71</xdr:row>
      <xdr:rowOff>0</xdr:rowOff>
    </xdr:from>
    <xdr:to>
      <xdr:col>5</xdr:col>
      <xdr:colOff>322488</xdr:colOff>
      <xdr:row>85</xdr:row>
      <xdr:rowOff>0</xdr:rowOff>
    </xdr:to>
    <mc:AlternateContent xmlns:mc="http://schemas.openxmlformats.org/markup-compatibility/2006" xmlns:a14="http://schemas.microsoft.com/office/drawing/2010/main">
      <mc:Choice Requires="a14">
        <xdr:graphicFrame macro="">
          <xdr:nvGraphicFramePr>
            <xdr:cNvPr id="9" name="N 1">
              <a:extLst>
                <a:ext uri="{FF2B5EF4-FFF2-40B4-BE49-F238E27FC236}">
                  <a16:creationId xmlns:a16="http://schemas.microsoft.com/office/drawing/2014/main" id="{5B9782F5-8518-BE6B-0F87-32B98F1C2F6E}"/>
                </a:ext>
              </a:extLst>
            </xdr:cNvPr>
            <xdr:cNvGraphicFramePr/>
          </xdr:nvGraphicFramePr>
          <xdr:xfrm>
            <a:off x="0" y="0"/>
            <a:ext cx="0" cy="0"/>
          </xdr:xfrm>
          <a:graphic>
            <a:graphicData uri="http://schemas.microsoft.com/office/drawing/2010/slicer">
              <sle:slicer xmlns:sle="http://schemas.microsoft.com/office/drawing/2010/slicer" name="N 1"/>
            </a:graphicData>
          </a:graphic>
        </xdr:graphicFrame>
      </mc:Choice>
      <mc:Fallback xmlns="">
        <xdr:sp macro="" textlink="">
          <xdr:nvSpPr>
            <xdr:cNvPr id="0" name=""/>
            <xdr:cNvSpPr>
              <a:spLocks noTextEdit="1"/>
            </xdr:cNvSpPr>
          </xdr:nvSpPr>
          <xdr:spPr>
            <a:xfrm>
              <a:off x="0" y="13525500"/>
              <a:ext cx="2798988"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584482</xdr:colOff>
      <xdr:row>12</xdr:row>
      <xdr:rowOff>67236</xdr:rowOff>
    </xdr:from>
    <xdr:to>
      <xdr:col>31</xdr:col>
      <xdr:colOff>246529</xdr:colOff>
      <xdr:row>38</xdr:row>
      <xdr:rowOff>33618</xdr:rowOff>
    </xdr:to>
    <xdr:graphicFrame macro="">
      <xdr:nvGraphicFramePr>
        <xdr:cNvPr id="4" name="Chart 1">
          <a:extLst>
            <a:ext uri="{FF2B5EF4-FFF2-40B4-BE49-F238E27FC236}">
              <a16:creationId xmlns:a16="http://schemas.microsoft.com/office/drawing/2014/main" id="{452D0970-795E-F56B-17A6-ECDA0C10B8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0</xdr:colOff>
      <xdr:row>10</xdr:row>
      <xdr:rowOff>0</xdr:rowOff>
    </xdr:from>
    <xdr:to>
      <xdr:col>5</xdr:col>
      <xdr:colOff>365310</xdr:colOff>
      <xdr:row>17</xdr:row>
      <xdr:rowOff>44824</xdr:rowOff>
    </xdr:to>
    <mc:AlternateContent xmlns:mc="http://schemas.openxmlformats.org/markup-compatibility/2006" xmlns:a14="http://schemas.microsoft.com/office/drawing/2010/main">
      <mc:Choice Requires="a14">
        <xdr:graphicFrame macro="">
          <xdr:nvGraphicFramePr>
            <xdr:cNvPr id="26" name="Degrees 2">
              <a:extLst>
                <a:ext uri="{FF2B5EF4-FFF2-40B4-BE49-F238E27FC236}">
                  <a16:creationId xmlns:a16="http://schemas.microsoft.com/office/drawing/2014/main" id="{6E3B8C4D-7863-AA2F-ACF7-C6CA06A96CFD}"/>
                </a:ext>
              </a:extLst>
            </xdr:cNvPr>
            <xdr:cNvGraphicFramePr/>
          </xdr:nvGraphicFramePr>
          <xdr:xfrm>
            <a:off x="0" y="0"/>
            <a:ext cx="0" cy="0"/>
          </xdr:xfrm>
          <a:graphic>
            <a:graphicData uri="http://schemas.microsoft.com/office/drawing/2010/slicer">
              <sle:slicer xmlns:sle="http://schemas.microsoft.com/office/drawing/2010/slicer" name="Degrees 2"/>
            </a:graphicData>
          </a:graphic>
        </xdr:graphicFrame>
      </mc:Choice>
      <mc:Fallback xmlns="">
        <xdr:sp macro="" textlink="">
          <xdr:nvSpPr>
            <xdr:cNvPr id="0" name=""/>
            <xdr:cNvSpPr>
              <a:spLocks noTextEdit="1"/>
            </xdr:cNvSpPr>
          </xdr:nvSpPr>
          <xdr:spPr>
            <a:xfrm>
              <a:off x="0" y="1916206"/>
              <a:ext cx="2767852" cy="14567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17</xdr:row>
      <xdr:rowOff>0</xdr:rowOff>
    </xdr:from>
    <xdr:to>
      <xdr:col>5</xdr:col>
      <xdr:colOff>324969</xdr:colOff>
      <xdr:row>31</xdr:row>
      <xdr:rowOff>0</xdr:rowOff>
    </xdr:to>
    <mc:AlternateContent xmlns:mc="http://schemas.openxmlformats.org/markup-compatibility/2006" xmlns:a14="http://schemas.microsoft.com/office/drawing/2010/main">
      <mc:Choice Requires="a14">
        <xdr:graphicFrame macro="">
          <xdr:nvGraphicFramePr>
            <xdr:cNvPr id="17" name="Gender 2">
              <a:extLst>
                <a:ext uri="{FF2B5EF4-FFF2-40B4-BE49-F238E27FC236}">
                  <a16:creationId xmlns:a16="http://schemas.microsoft.com/office/drawing/2014/main" id="{00321385-0CF1-AD67-3E0E-E08115FC8EC0}"/>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0" y="3249706"/>
              <a:ext cx="274544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24</xdr:row>
      <xdr:rowOff>0</xdr:rowOff>
    </xdr:from>
    <xdr:to>
      <xdr:col>5</xdr:col>
      <xdr:colOff>347381</xdr:colOff>
      <xdr:row>30</xdr:row>
      <xdr:rowOff>56029</xdr:rowOff>
    </xdr:to>
    <mc:AlternateContent xmlns:mc="http://schemas.openxmlformats.org/markup-compatibility/2006" xmlns:a14="http://schemas.microsoft.com/office/drawing/2010/main">
      <mc:Choice Requires="a14">
        <xdr:graphicFrame macro="">
          <xdr:nvGraphicFramePr>
            <xdr:cNvPr id="25" name="Directon">
              <a:extLst>
                <a:ext uri="{FF2B5EF4-FFF2-40B4-BE49-F238E27FC236}">
                  <a16:creationId xmlns:a16="http://schemas.microsoft.com/office/drawing/2014/main" id="{78611930-5794-B6D2-17EB-CB370B5F8978}"/>
                </a:ext>
              </a:extLst>
            </xdr:cNvPr>
            <xdr:cNvGraphicFramePr/>
          </xdr:nvGraphicFramePr>
          <xdr:xfrm>
            <a:off x="0" y="0"/>
            <a:ext cx="0" cy="0"/>
          </xdr:xfrm>
          <a:graphic>
            <a:graphicData uri="http://schemas.microsoft.com/office/drawing/2010/slicer">
              <sle:slicer xmlns:sle="http://schemas.microsoft.com/office/drawing/2010/slicer" name="Directon"/>
            </a:graphicData>
          </a:graphic>
        </xdr:graphicFrame>
      </mc:Choice>
      <mc:Fallback xmlns="">
        <xdr:sp macro="" textlink="">
          <xdr:nvSpPr>
            <xdr:cNvPr id="0" name=""/>
            <xdr:cNvSpPr>
              <a:spLocks noTextEdit="1"/>
            </xdr:cNvSpPr>
          </xdr:nvSpPr>
          <xdr:spPr>
            <a:xfrm>
              <a:off x="0" y="4583206"/>
              <a:ext cx="2767852" cy="11990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29</xdr:row>
      <xdr:rowOff>22412</xdr:rowOff>
    </xdr:from>
    <xdr:to>
      <xdr:col>5</xdr:col>
      <xdr:colOff>403411</xdr:colOff>
      <xdr:row>44</xdr:row>
      <xdr:rowOff>33618</xdr:rowOff>
    </xdr:to>
    <mc:AlternateContent xmlns:mc="http://schemas.openxmlformats.org/markup-compatibility/2006" xmlns:a14="http://schemas.microsoft.com/office/drawing/2010/main">
      <mc:Choice Requires="a14">
        <xdr:graphicFrame macro="">
          <xdr:nvGraphicFramePr>
            <xdr:cNvPr id="30" name="N">
              <a:extLst>
                <a:ext uri="{FF2B5EF4-FFF2-40B4-BE49-F238E27FC236}">
                  <a16:creationId xmlns:a16="http://schemas.microsoft.com/office/drawing/2014/main" id="{1844F790-1F4D-157B-80E1-CF23D9F98F86}"/>
                </a:ext>
              </a:extLst>
            </xdr:cNvPr>
            <xdr:cNvGraphicFramePr/>
          </xdr:nvGraphicFramePr>
          <xdr:xfrm>
            <a:off x="0" y="0"/>
            <a:ext cx="0" cy="0"/>
          </xdr:xfrm>
          <a:graphic>
            <a:graphicData uri="http://schemas.microsoft.com/office/drawing/2010/slicer">
              <sle:slicer xmlns:sle="http://schemas.microsoft.com/office/drawing/2010/slicer" name="N"/>
            </a:graphicData>
          </a:graphic>
        </xdr:graphicFrame>
      </mc:Choice>
      <mc:Fallback xmlns="">
        <xdr:sp macro="" textlink="">
          <xdr:nvSpPr>
            <xdr:cNvPr id="0" name=""/>
            <xdr:cNvSpPr>
              <a:spLocks noTextEdit="1"/>
            </xdr:cNvSpPr>
          </xdr:nvSpPr>
          <xdr:spPr>
            <a:xfrm>
              <a:off x="367393" y="5601341"/>
              <a:ext cx="2852697" cy="28687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340178</xdr:colOff>
      <xdr:row>38</xdr:row>
      <xdr:rowOff>161845</xdr:rowOff>
    </xdr:from>
    <xdr:to>
      <xdr:col>11</xdr:col>
      <xdr:colOff>117181</xdr:colOff>
      <xdr:row>47</xdr:row>
      <xdr:rowOff>18410</xdr:rowOff>
    </xdr:to>
    <mc:AlternateContent xmlns:mc="http://schemas.openxmlformats.org/markup-compatibility/2006" xmlns:a14="http://schemas.microsoft.com/office/drawing/2010/main">
      <mc:Choice Requires="a14">
        <xdr:graphicFrame macro="">
          <xdr:nvGraphicFramePr>
            <xdr:cNvPr id="32" name="Positions 3">
              <a:extLst>
                <a:ext uri="{FF2B5EF4-FFF2-40B4-BE49-F238E27FC236}">
                  <a16:creationId xmlns:a16="http://schemas.microsoft.com/office/drawing/2014/main" id="{2479BB13-D135-A943-65CC-1940546CA20C}"/>
                </a:ext>
              </a:extLst>
            </xdr:cNvPr>
            <xdr:cNvGraphicFramePr/>
          </xdr:nvGraphicFramePr>
          <xdr:xfrm>
            <a:off x="0" y="0"/>
            <a:ext cx="0" cy="0"/>
          </xdr:xfrm>
          <a:graphic>
            <a:graphicData uri="http://schemas.microsoft.com/office/drawing/2010/slicer">
              <sle:slicer xmlns:sle="http://schemas.microsoft.com/office/drawing/2010/slicer" name="Positions 3"/>
            </a:graphicData>
          </a:graphic>
        </xdr:graphicFrame>
      </mc:Choice>
      <mc:Fallback xmlns="">
        <xdr:sp macro="" textlink="">
          <xdr:nvSpPr>
            <xdr:cNvPr id="0" name=""/>
            <xdr:cNvSpPr>
              <a:spLocks noTextEdit="1"/>
            </xdr:cNvSpPr>
          </xdr:nvSpPr>
          <xdr:spPr>
            <a:xfrm>
              <a:off x="3156857" y="7455274"/>
              <a:ext cx="3110753" cy="1571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44023</xdr:colOff>
      <xdr:row>38</xdr:row>
      <xdr:rowOff>177692</xdr:rowOff>
    </xdr:from>
    <xdr:to>
      <xdr:col>15</xdr:col>
      <xdr:colOff>555492</xdr:colOff>
      <xdr:row>47</xdr:row>
      <xdr:rowOff>54429</xdr:rowOff>
    </xdr:to>
    <mc:AlternateContent xmlns:mc="http://schemas.openxmlformats.org/markup-compatibility/2006" xmlns:a14="http://schemas.microsoft.com/office/drawing/2010/main">
      <mc:Choice Requires="a14">
        <xdr:graphicFrame macro="">
          <xdr:nvGraphicFramePr>
            <xdr:cNvPr id="33" name="Group 3">
              <a:extLst>
                <a:ext uri="{FF2B5EF4-FFF2-40B4-BE49-F238E27FC236}">
                  <a16:creationId xmlns:a16="http://schemas.microsoft.com/office/drawing/2014/main" id="{1363B1FB-C2F2-9BEF-99FB-FAB0D51E9AF0}"/>
                </a:ext>
              </a:extLst>
            </xdr:cNvPr>
            <xdr:cNvGraphicFramePr/>
          </xdr:nvGraphicFramePr>
          <xdr:xfrm>
            <a:off x="0" y="0"/>
            <a:ext cx="0" cy="0"/>
          </xdr:xfrm>
          <a:graphic>
            <a:graphicData uri="http://schemas.microsoft.com/office/drawing/2010/slicer">
              <sle:slicer xmlns:sle="http://schemas.microsoft.com/office/drawing/2010/slicer" name="Group 3"/>
            </a:graphicData>
          </a:graphic>
        </xdr:graphicFrame>
      </mc:Choice>
      <mc:Fallback xmlns="">
        <xdr:sp macro="" textlink="">
          <xdr:nvSpPr>
            <xdr:cNvPr id="0" name=""/>
            <xdr:cNvSpPr>
              <a:spLocks noTextEdit="1"/>
            </xdr:cNvSpPr>
          </xdr:nvSpPr>
          <xdr:spPr>
            <a:xfrm>
              <a:off x="6194452" y="7471121"/>
              <a:ext cx="2960754" cy="15912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482332</xdr:colOff>
      <xdr:row>38</xdr:row>
      <xdr:rowOff>189060</xdr:rowOff>
    </xdr:from>
    <xdr:to>
      <xdr:col>22</xdr:col>
      <xdr:colOff>252132</xdr:colOff>
      <xdr:row>47</xdr:row>
      <xdr:rowOff>124065</xdr:rowOff>
    </xdr:to>
    <mc:AlternateContent xmlns:mc="http://schemas.openxmlformats.org/markup-compatibility/2006" xmlns:a14="http://schemas.microsoft.com/office/drawing/2010/main">
      <mc:Choice Requires="a14">
        <xdr:graphicFrame macro="">
          <xdr:nvGraphicFramePr>
            <xdr:cNvPr id="43" name="Sport 3">
              <a:extLst>
                <a:ext uri="{FF2B5EF4-FFF2-40B4-BE49-F238E27FC236}">
                  <a16:creationId xmlns:a16="http://schemas.microsoft.com/office/drawing/2014/main" id="{78DF210D-867E-A8EC-D797-4835D708BC34}"/>
                </a:ext>
              </a:extLst>
            </xdr:cNvPr>
            <xdr:cNvGraphicFramePr/>
          </xdr:nvGraphicFramePr>
          <xdr:xfrm>
            <a:off x="0" y="0"/>
            <a:ext cx="0" cy="0"/>
          </xdr:xfrm>
          <a:graphic>
            <a:graphicData uri="http://schemas.microsoft.com/office/drawing/2010/slicer">
              <sle:slicer xmlns:sle="http://schemas.microsoft.com/office/drawing/2010/slicer" name="Sport 3"/>
            </a:graphicData>
          </a:graphic>
        </xdr:graphicFrame>
      </mc:Choice>
      <mc:Fallback xmlns="">
        <xdr:sp macro="" textlink="">
          <xdr:nvSpPr>
            <xdr:cNvPr id="0" name=""/>
            <xdr:cNvSpPr>
              <a:spLocks noTextEdit="1"/>
            </xdr:cNvSpPr>
          </xdr:nvSpPr>
          <xdr:spPr>
            <a:xfrm>
              <a:off x="9082046" y="7482489"/>
              <a:ext cx="4056050" cy="16495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593912</xdr:colOff>
      <xdr:row>12</xdr:row>
      <xdr:rowOff>123265</xdr:rowOff>
    </xdr:from>
    <xdr:to>
      <xdr:col>25</xdr:col>
      <xdr:colOff>369794</xdr:colOff>
      <xdr:row>12</xdr:row>
      <xdr:rowOff>134470</xdr:rowOff>
    </xdr:to>
    <xdr:cxnSp macro="">
      <xdr:nvCxnSpPr>
        <xdr:cNvPr id="12" name="Straight Connector 11">
          <a:extLst>
            <a:ext uri="{FF2B5EF4-FFF2-40B4-BE49-F238E27FC236}">
              <a16:creationId xmlns:a16="http://schemas.microsoft.com/office/drawing/2014/main" id="{5F517212-893E-AC28-97D7-7AB835A712B6}"/>
            </a:ext>
          </a:extLst>
        </xdr:cNvPr>
        <xdr:cNvCxnSpPr/>
      </xdr:nvCxnSpPr>
      <xdr:spPr>
        <a:xfrm>
          <a:off x="11149853" y="2420471"/>
          <a:ext cx="3406588" cy="1120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566553</xdr:colOff>
      <xdr:row>12</xdr:row>
      <xdr:rowOff>94130</xdr:rowOff>
    </xdr:from>
    <xdr:to>
      <xdr:col>31</xdr:col>
      <xdr:colOff>228600</xdr:colOff>
      <xdr:row>38</xdr:row>
      <xdr:rowOff>60512</xdr:rowOff>
    </xdr:to>
    <xdr:graphicFrame macro="">
      <xdr:nvGraphicFramePr>
        <xdr:cNvPr id="21" name="Chart 1">
          <a:extLst>
            <a:ext uri="{FF2B5EF4-FFF2-40B4-BE49-F238E27FC236}">
              <a16:creationId xmlns:a16="http://schemas.microsoft.com/office/drawing/2014/main" id="{A5C48BDC-461B-CD35-63B4-29B1C2BA127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22</xdr:col>
      <xdr:colOff>261897</xdr:colOff>
      <xdr:row>39</xdr:row>
      <xdr:rowOff>13607</xdr:rowOff>
    </xdr:from>
    <xdr:to>
      <xdr:col>26</xdr:col>
      <xdr:colOff>206988</xdr:colOff>
      <xdr:row>46</xdr:row>
      <xdr:rowOff>40821</xdr:rowOff>
    </xdr:to>
    <mc:AlternateContent xmlns:mc="http://schemas.openxmlformats.org/markup-compatibility/2006" xmlns:a14="http://schemas.microsoft.com/office/drawing/2010/main">
      <mc:Choice Requires="a14">
        <xdr:graphicFrame macro="">
          <xdr:nvGraphicFramePr>
            <xdr:cNvPr id="18" name="Machine Type 3">
              <a:extLst>
                <a:ext uri="{FF2B5EF4-FFF2-40B4-BE49-F238E27FC236}">
                  <a16:creationId xmlns:a16="http://schemas.microsoft.com/office/drawing/2014/main" id="{A94D176D-B636-E72B-BF0A-F02F76CFCDAC}"/>
                </a:ext>
              </a:extLst>
            </xdr:cNvPr>
            <xdr:cNvGraphicFramePr/>
          </xdr:nvGraphicFramePr>
          <xdr:xfrm>
            <a:off x="0" y="0"/>
            <a:ext cx="0" cy="0"/>
          </xdr:xfrm>
          <a:graphic>
            <a:graphicData uri="http://schemas.microsoft.com/office/drawing/2010/slicer">
              <sle:slicer xmlns:sle="http://schemas.microsoft.com/office/drawing/2010/slicer" name="Machine Type 3"/>
            </a:graphicData>
          </a:graphic>
        </xdr:graphicFrame>
      </mc:Choice>
      <mc:Fallback xmlns="">
        <xdr:sp macro="" textlink="">
          <xdr:nvSpPr>
            <xdr:cNvPr id="0" name=""/>
            <xdr:cNvSpPr>
              <a:spLocks noTextEdit="1"/>
            </xdr:cNvSpPr>
          </xdr:nvSpPr>
          <xdr:spPr>
            <a:xfrm>
              <a:off x="13147861" y="7497536"/>
              <a:ext cx="2394377" cy="13607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0</xdr:colOff>
      <xdr:row>12</xdr:row>
      <xdr:rowOff>116541</xdr:rowOff>
    </xdr:from>
    <xdr:to>
      <xdr:col>25</xdr:col>
      <xdr:colOff>304800</xdr:colOff>
      <xdr:row>12</xdr:row>
      <xdr:rowOff>125506</xdr:rowOff>
    </xdr:to>
    <xdr:cxnSp macro="">
      <xdr:nvCxnSpPr>
        <xdr:cNvPr id="27" name="Straight Connector 20">
          <a:extLst>
            <a:ext uri="{FF2B5EF4-FFF2-40B4-BE49-F238E27FC236}">
              <a16:creationId xmlns:a16="http://schemas.microsoft.com/office/drawing/2014/main" id="{882BD718-3D74-850B-534F-D2DC85FEB89C}"/>
            </a:ext>
          </a:extLst>
        </xdr:cNvPr>
        <xdr:cNvCxnSpPr/>
      </xdr:nvCxnSpPr>
      <xdr:spPr>
        <a:xfrm>
          <a:off x="11286565" y="2277035"/>
          <a:ext cx="3352800" cy="896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43</xdr:col>
      <xdr:colOff>277671</xdr:colOff>
      <xdr:row>0</xdr:row>
      <xdr:rowOff>0</xdr:rowOff>
    </xdr:from>
    <xdr:to>
      <xdr:col>55</xdr:col>
      <xdr:colOff>337780</xdr:colOff>
      <xdr:row>9</xdr:row>
      <xdr:rowOff>76476</xdr:rowOff>
    </xdr:to>
    <xdr:sp macro="" textlink="">
      <xdr:nvSpPr>
        <xdr:cNvPr id="6" name="Rectangle: Rounded Corners 5">
          <a:extLst>
            <a:ext uri="{FF2B5EF4-FFF2-40B4-BE49-F238E27FC236}">
              <a16:creationId xmlns:a16="http://schemas.microsoft.com/office/drawing/2014/main" id="{5091FF0A-C9E7-4968-A6FD-7B1B1A7EFF87}"/>
            </a:ext>
          </a:extLst>
        </xdr:cNvPr>
        <xdr:cNvSpPr/>
      </xdr:nvSpPr>
      <xdr:spPr>
        <a:xfrm>
          <a:off x="24504789" y="0"/>
          <a:ext cx="7321520" cy="1783773"/>
        </a:xfrm>
        <a:prstGeom prst="roundRect">
          <a:avLst/>
        </a:prstGeom>
        <a:solidFill>
          <a:schemeClr val="dk1">
            <a:tint val="95000"/>
            <a:satMod val="170000"/>
          </a:schemeClr>
        </a:solidFill>
      </xdr:spPr>
      <xdr:style>
        <a:lnRef idx="2">
          <a:schemeClr val="dk1">
            <a:shade val="15000"/>
          </a:schemeClr>
        </a:lnRef>
        <a:fillRef idx="1002">
          <a:schemeClr val="dk1"/>
        </a:fillRef>
        <a:effectRef idx="0">
          <a:schemeClr val="dk1"/>
        </a:effectRef>
        <a:fontRef idx="minor">
          <a:schemeClr val="lt1"/>
        </a:fontRef>
      </xdr:style>
      <xdr:txBody>
        <a:bodyPr vertOverflow="clip" horzOverflow="clip" rtlCol="0" anchor="t"/>
        <a:lstStyle/>
        <a:p>
          <a:pPr algn="ctr"/>
          <a:r>
            <a:rPr lang="en-US" sz="4400">
              <a:latin typeface="Georgia" panose="02040502050405020303" pitchFamily="18" charset="0"/>
            </a:rPr>
            <a:t>Relative Torque</a:t>
          </a:r>
          <a:r>
            <a:rPr lang="en-US" sz="4400" baseline="0">
              <a:latin typeface="Georgia" panose="02040502050405020303" pitchFamily="18" charset="0"/>
            </a:rPr>
            <a:t> </a:t>
          </a:r>
          <a:r>
            <a:rPr lang="en-US" sz="4400">
              <a:latin typeface="Georgia" panose="02040502050405020303" pitchFamily="18" charset="0"/>
            </a:rPr>
            <a:t>Performance Dashboard</a:t>
          </a:r>
        </a:p>
      </xdr:txBody>
    </xdr:sp>
    <xdr:clientData/>
  </xdr:twoCellAnchor>
  <xdr:twoCellAnchor>
    <xdr:from>
      <xdr:col>37</xdr:col>
      <xdr:colOff>410313</xdr:colOff>
      <xdr:row>12</xdr:row>
      <xdr:rowOff>93207</xdr:rowOff>
    </xdr:from>
    <xdr:to>
      <xdr:col>61</xdr:col>
      <xdr:colOff>474321</xdr:colOff>
      <xdr:row>38</xdr:row>
      <xdr:rowOff>59679</xdr:rowOff>
    </xdr:to>
    <xdr:graphicFrame macro="">
      <xdr:nvGraphicFramePr>
        <xdr:cNvPr id="7" name="Chart 1">
          <a:extLst>
            <a:ext uri="{FF2B5EF4-FFF2-40B4-BE49-F238E27FC236}">
              <a16:creationId xmlns:a16="http://schemas.microsoft.com/office/drawing/2014/main" id="{27C19C14-A9BD-E2C1-143B-886257406B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33</xdr:col>
      <xdr:colOff>22412</xdr:colOff>
      <xdr:row>10</xdr:row>
      <xdr:rowOff>22412</xdr:rowOff>
    </xdr:from>
    <xdr:to>
      <xdr:col>37</xdr:col>
      <xdr:colOff>339335</xdr:colOff>
      <xdr:row>18</xdr:row>
      <xdr:rowOff>95250</xdr:rowOff>
    </xdr:to>
    <mc:AlternateContent xmlns:mc="http://schemas.openxmlformats.org/markup-compatibility/2006" xmlns:a14="http://schemas.microsoft.com/office/drawing/2010/main">
      <mc:Choice Requires="a14">
        <xdr:graphicFrame macro="">
          <xdr:nvGraphicFramePr>
            <xdr:cNvPr id="20" name="Degrees 5">
              <a:extLst>
                <a:ext uri="{FF2B5EF4-FFF2-40B4-BE49-F238E27FC236}">
                  <a16:creationId xmlns:a16="http://schemas.microsoft.com/office/drawing/2014/main" id="{BE92D8A2-AF97-72EE-B088-722304470927}"/>
                </a:ext>
              </a:extLst>
            </xdr:cNvPr>
            <xdr:cNvGraphicFramePr/>
          </xdr:nvGraphicFramePr>
          <xdr:xfrm>
            <a:off x="0" y="0"/>
            <a:ext cx="0" cy="0"/>
          </xdr:xfrm>
          <a:graphic>
            <a:graphicData uri="http://schemas.microsoft.com/office/drawing/2010/slicer">
              <sle:slicer xmlns:sle="http://schemas.microsoft.com/office/drawing/2010/slicer" name="Degrees 5"/>
            </a:graphicData>
          </a:graphic>
        </xdr:graphicFrame>
      </mc:Choice>
      <mc:Fallback xmlns="">
        <xdr:sp macro="" textlink="">
          <xdr:nvSpPr>
            <xdr:cNvPr id="0" name=""/>
            <xdr:cNvSpPr>
              <a:spLocks noTextEdit="1"/>
            </xdr:cNvSpPr>
          </xdr:nvSpPr>
          <xdr:spPr>
            <a:xfrm>
              <a:off x="18400059" y="1938618"/>
              <a:ext cx="2737393" cy="1596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29542</xdr:colOff>
      <xdr:row>17</xdr:row>
      <xdr:rowOff>189482</xdr:rowOff>
    </xdr:from>
    <xdr:to>
      <xdr:col>37</xdr:col>
      <xdr:colOff>375906</xdr:colOff>
      <xdr:row>26</xdr:row>
      <xdr:rowOff>2568</xdr:rowOff>
    </xdr:to>
    <mc:AlternateContent xmlns:mc="http://schemas.openxmlformats.org/markup-compatibility/2006" xmlns:a14="http://schemas.microsoft.com/office/drawing/2010/main">
      <mc:Choice Requires="a14">
        <xdr:graphicFrame macro="">
          <xdr:nvGraphicFramePr>
            <xdr:cNvPr id="28" name="Gender 5">
              <a:extLst>
                <a:ext uri="{FF2B5EF4-FFF2-40B4-BE49-F238E27FC236}">
                  <a16:creationId xmlns:a16="http://schemas.microsoft.com/office/drawing/2014/main" id="{268FAB5F-4C07-88A9-6B74-C14B14A50842}"/>
                </a:ext>
              </a:extLst>
            </xdr:cNvPr>
            <xdr:cNvGraphicFramePr/>
          </xdr:nvGraphicFramePr>
          <xdr:xfrm>
            <a:off x="0" y="0"/>
            <a:ext cx="0" cy="0"/>
          </xdr:xfrm>
          <a:graphic>
            <a:graphicData uri="http://schemas.microsoft.com/office/drawing/2010/slicer">
              <sle:slicer xmlns:sle="http://schemas.microsoft.com/office/drawing/2010/slicer" name="Gender 5"/>
            </a:graphicData>
          </a:graphic>
        </xdr:graphicFrame>
      </mc:Choice>
      <mc:Fallback xmlns="">
        <xdr:sp macro="" textlink="">
          <xdr:nvSpPr>
            <xdr:cNvPr id="0" name=""/>
            <xdr:cNvSpPr>
              <a:spLocks noTextEdit="1"/>
            </xdr:cNvSpPr>
          </xdr:nvSpPr>
          <xdr:spPr>
            <a:xfrm>
              <a:off x="18407189" y="3439188"/>
              <a:ext cx="2766834"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40822</xdr:colOff>
      <xdr:row>24</xdr:row>
      <xdr:rowOff>163286</xdr:rowOff>
    </xdr:from>
    <xdr:to>
      <xdr:col>37</xdr:col>
      <xdr:colOff>381001</xdr:colOff>
      <xdr:row>29</xdr:row>
      <xdr:rowOff>122464</xdr:rowOff>
    </xdr:to>
    <mc:AlternateContent xmlns:mc="http://schemas.openxmlformats.org/markup-compatibility/2006" xmlns:a14="http://schemas.microsoft.com/office/drawing/2010/main">
      <mc:Choice Requires="a14">
        <xdr:graphicFrame macro="">
          <xdr:nvGraphicFramePr>
            <xdr:cNvPr id="11" name="Directon 3">
              <a:extLst>
                <a:ext uri="{FF2B5EF4-FFF2-40B4-BE49-F238E27FC236}">
                  <a16:creationId xmlns:a16="http://schemas.microsoft.com/office/drawing/2014/main" id="{BCC3150D-9DCF-1511-993E-C387F7D53765}"/>
                </a:ext>
              </a:extLst>
            </xdr:cNvPr>
            <xdr:cNvGraphicFramePr/>
          </xdr:nvGraphicFramePr>
          <xdr:xfrm>
            <a:off x="0" y="0"/>
            <a:ext cx="0" cy="0"/>
          </xdr:xfrm>
          <a:graphic>
            <a:graphicData uri="http://schemas.microsoft.com/office/drawing/2010/slicer">
              <sle:slicer xmlns:sle="http://schemas.microsoft.com/office/drawing/2010/slicer" name="Directon 3"/>
            </a:graphicData>
          </a:graphic>
        </xdr:graphicFrame>
      </mc:Choice>
      <mc:Fallback xmlns="">
        <xdr:sp macro="" textlink="">
          <xdr:nvSpPr>
            <xdr:cNvPr id="0" name=""/>
            <xdr:cNvSpPr>
              <a:spLocks noTextEdit="1"/>
            </xdr:cNvSpPr>
          </xdr:nvSpPr>
          <xdr:spPr>
            <a:xfrm>
              <a:off x="18628179" y="4748893"/>
              <a:ext cx="2789464" cy="9116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40821</xdr:colOff>
      <xdr:row>28</xdr:row>
      <xdr:rowOff>174172</xdr:rowOff>
    </xdr:from>
    <xdr:to>
      <xdr:col>37</xdr:col>
      <xdr:colOff>367394</xdr:colOff>
      <xdr:row>47</xdr:row>
      <xdr:rowOff>95250</xdr:rowOff>
    </xdr:to>
    <mc:AlternateContent xmlns:mc="http://schemas.openxmlformats.org/markup-compatibility/2006" xmlns:a14="http://schemas.microsoft.com/office/drawing/2010/main">
      <mc:Choice Requires="a14">
        <xdr:graphicFrame macro="">
          <xdr:nvGraphicFramePr>
            <xdr:cNvPr id="15" name="N 2">
              <a:extLst>
                <a:ext uri="{FF2B5EF4-FFF2-40B4-BE49-F238E27FC236}">
                  <a16:creationId xmlns:a16="http://schemas.microsoft.com/office/drawing/2014/main" id="{5DFF911F-5CC2-D3C3-375B-C4CEA0F41A34}"/>
                </a:ext>
              </a:extLst>
            </xdr:cNvPr>
            <xdr:cNvGraphicFramePr/>
          </xdr:nvGraphicFramePr>
          <xdr:xfrm>
            <a:off x="0" y="0"/>
            <a:ext cx="0" cy="0"/>
          </xdr:xfrm>
          <a:graphic>
            <a:graphicData uri="http://schemas.microsoft.com/office/drawing/2010/slicer">
              <sle:slicer xmlns:sle="http://schemas.microsoft.com/office/drawing/2010/slicer" name="N 2"/>
            </a:graphicData>
          </a:graphic>
        </xdr:graphicFrame>
      </mc:Choice>
      <mc:Fallback xmlns="">
        <xdr:sp macro="" textlink="">
          <xdr:nvSpPr>
            <xdr:cNvPr id="0" name=""/>
            <xdr:cNvSpPr>
              <a:spLocks noTextEdit="1"/>
            </xdr:cNvSpPr>
          </xdr:nvSpPr>
          <xdr:spPr>
            <a:xfrm>
              <a:off x="18410464" y="5562601"/>
              <a:ext cx="2775859" cy="35405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349704</xdr:colOff>
      <xdr:row>38</xdr:row>
      <xdr:rowOff>95249</xdr:rowOff>
    </xdr:from>
    <xdr:to>
      <xdr:col>44</xdr:col>
      <xdr:colOff>340177</xdr:colOff>
      <xdr:row>47</xdr:row>
      <xdr:rowOff>176892</xdr:rowOff>
    </xdr:to>
    <mc:AlternateContent xmlns:mc="http://schemas.openxmlformats.org/markup-compatibility/2006" xmlns:a14="http://schemas.microsoft.com/office/drawing/2010/main">
      <mc:Choice Requires="a14">
        <xdr:graphicFrame macro="">
          <xdr:nvGraphicFramePr>
            <xdr:cNvPr id="23" name="Positions 6">
              <a:extLst>
                <a:ext uri="{FF2B5EF4-FFF2-40B4-BE49-F238E27FC236}">
                  <a16:creationId xmlns:a16="http://schemas.microsoft.com/office/drawing/2014/main" id="{794E1BE7-3DC9-B4B5-3529-DDCE20C7FFBB}"/>
                </a:ext>
              </a:extLst>
            </xdr:cNvPr>
            <xdr:cNvGraphicFramePr/>
          </xdr:nvGraphicFramePr>
          <xdr:xfrm>
            <a:off x="0" y="0"/>
            <a:ext cx="0" cy="0"/>
          </xdr:xfrm>
          <a:graphic>
            <a:graphicData uri="http://schemas.microsoft.com/office/drawing/2010/slicer">
              <sle:slicer xmlns:sle="http://schemas.microsoft.com/office/drawing/2010/slicer" name="Positions 6"/>
            </a:graphicData>
          </a:graphic>
        </xdr:graphicFrame>
      </mc:Choice>
      <mc:Fallback xmlns="">
        <xdr:sp macro="" textlink="">
          <xdr:nvSpPr>
            <xdr:cNvPr id="0" name=""/>
            <xdr:cNvSpPr>
              <a:spLocks noTextEdit="1"/>
            </xdr:cNvSpPr>
          </xdr:nvSpPr>
          <xdr:spPr>
            <a:xfrm>
              <a:off x="21168633" y="7388678"/>
              <a:ext cx="4276723" cy="17961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44</xdr:col>
      <xdr:colOff>346981</xdr:colOff>
      <xdr:row>38</xdr:row>
      <xdr:rowOff>106136</xdr:rowOff>
    </xdr:from>
    <xdr:to>
      <xdr:col>48</xdr:col>
      <xdr:colOff>544286</xdr:colOff>
      <xdr:row>47</xdr:row>
      <xdr:rowOff>176893</xdr:rowOff>
    </xdr:to>
    <mc:AlternateContent xmlns:mc="http://schemas.openxmlformats.org/markup-compatibility/2006" xmlns:a14="http://schemas.microsoft.com/office/drawing/2010/main">
      <mc:Choice Requires="a14">
        <xdr:graphicFrame macro="">
          <xdr:nvGraphicFramePr>
            <xdr:cNvPr id="35" name="Group 7">
              <a:extLst>
                <a:ext uri="{FF2B5EF4-FFF2-40B4-BE49-F238E27FC236}">
                  <a16:creationId xmlns:a16="http://schemas.microsoft.com/office/drawing/2014/main" id="{2A220A03-B980-2322-AFF5-9A5537E9058A}"/>
                </a:ext>
              </a:extLst>
            </xdr:cNvPr>
            <xdr:cNvGraphicFramePr/>
          </xdr:nvGraphicFramePr>
          <xdr:xfrm>
            <a:off x="0" y="0"/>
            <a:ext cx="0" cy="0"/>
          </xdr:xfrm>
          <a:graphic>
            <a:graphicData uri="http://schemas.microsoft.com/office/drawing/2010/slicer">
              <sle:slicer xmlns:sle="http://schemas.microsoft.com/office/drawing/2010/slicer" name="Group 7"/>
            </a:graphicData>
          </a:graphic>
        </xdr:graphicFrame>
      </mc:Choice>
      <mc:Fallback xmlns="">
        <xdr:sp macro="" textlink="">
          <xdr:nvSpPr>
            <xdr:cNvPr id="0" name=""/>
            <xdr:cNvSpPr>
              <a:spLocks noTextEdit="1"/>
            </xdr:cNvSpPr>
          </xdr:nvSpPr>
          <xdr:spPr>
            <a:xfrm>
              <a:off x="25669874" y="7358743"/>
              <a:ext cx="2646589" cy="1785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49</xdr:col>
      <xdr:colOff>34016</xdr:colOff>
      <xdr:row>38</xdr:row>
      <xdr:rowOff>106136</xdr:rowOff>
    </xdr:from>
    <xdr:to>
      <xdr:col>55</xdr:col>
      <xdr:colOff>199425</xdr:colOff>
      <xdr:row>47</xdr:row>
      <xdr:rowOff>176893</xdr:rowOff>
    </xdr:to>
    <mc:AlternateContent xmlns:mc="http://schemas.openxmlformats.org/markup-compatibility/2006" xmlns:a14="http://schemas.microsoft.com/office/drawing/2010/main">
      <mc:Choice Requires="a14">
        <xdr:graphicFrame macro="">
          <xdr:nvGraphicFramePr>
            <xdr:cNvPr id="47" name="Sport 6">
              <a:extLst>
                <a:ext uri="{FF2B5EF4-FFF2-40B4-BE49-F238E27FC236}">
                  <a16:creationId xmlns:a16="http://schemas.microsoft.com/office/drawing/2014/main" id="{D7BD2559-9D8D-65B5-D431-6AC6CCDAB863}"/>
                </a:ext>
              </a:extLst>
            </xdr:cNvPr>
            <xdr:cNvGraphicFramePr/>
          </xdr:nvGraphicFramePr>
          <xdr:xfrm>
            <a:off x="0" y="0"/>
            <a:ext cx="0" cy="0"/>
          </xdr:xfrm>
          <a:graphic>
            <a:graphicData uri="http://schemas.microsoft.com/office/drawing/2010/slicer">
              <sle:slicer xmlns:sle="http://schemas.microsoft.com/office/drawing/2010/slicer" name="Sport 6"/>
            </a:graphicData>
          </a:graphic>
        </xdr:graphicFrame>
      </mc:Choice>
      <mc:Fallback xmlns="">
        <xdr:sp macro="" textlink="">
          <xdr:nvSpPr>
            <xdr:cNvPr id="0" name=""/>
            <xdr:cNvSpPr>
              <a:spLocks noTextEdit="1"/>
            </xdr:cNvSpPr>
          </xdr:nvSpPr>
          <xdr:spPr>
            <a:xfrm>
              <a:off x="28200802" y="7399565"/>
              <a:ext cx="3839337" cy="1785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55</xdr:col>
      <xdr:colOff>142875</xdr:colOff>
      <xdr:row>38</xdr:row>
      <xdr:rowOff>106136</xdr:rowOff>
    </xdr:from>
    <xdr:to>
      <xdr:col>58</xdr:col>
      <xdr:colOff>134710</xdr:colOff>
      <xdr:row>47</xdr:row>
      <xdr:rowOff>163286</xdr:rowOff>
    </xdr:to>
    <mc:AlternateContent xmlns:mc="http://schemas.openxmlformats.org/markup-compatibility/2006" xmlns:a14="http://schemas.microsoft.com/office/drawing/2010/main">
      <mc:Choice Requires="a14">
        <xdr:graphicFrame macro="">
          <xdr:nvGraphicFramePr>
            <xdr:cNvPr id="48" name="Machine Type 4">
              <a:extLst>
                <a:ext uri="{FF2B5EF4-FFF2-40B4-BE49-F238E27FC236}">
                  <a16:creationId xmlns:a16="http://schemas.microsoft.com/office/drawing/2014/main" id="{8EA6DC0B-7A54-3017-118B-8DFCC35EB28B}"/>
                </a:ext>
              </a:extLst>
            </xdr:cNvPr>
            <xdr:cNvGraphicFramePr/>
          </xdr:nvGraphicFramePr>
          <xdr:xfrm>
            <a:off x="0" y="0"/>
            <a:ext cx="0" cy="0"/>
          </xdr:xfrm>
          <a:graphic>
            <a:graphicData uri="http://schemas.microsoft.com/office/drawing/2010/slicer">
              <sle:slicer xmlns:sle="http://schemas.microsoft.com/office/drawing/2010/slicer" name="Machine Type 4"/>
            </a:graphicData>
          </a:graphic>
        </xdr:graphicFrame>
      </mc:Choice>
      <mc:Fallback xmlns="">
        <xdr:sp macro="" textlink="">
          <xdr:nvSpPr>
            <xdr:cNvPr id="0" name=""/>
            <xdr:cNvSpPr>
              <a:spLocks noTextEdit="1"/>
            </xdr:cNvSpPr>
          </xdr:nvSpPr>
          <xdr:spPr>
            <a:xfrm>
              <a:off x="32201304" y="7358743"/>
              <a:ext cx="1828800" cy="177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37</xdr:col>
      <xdr:colOff>496041</xdr:colOff>
      <xdr:row>51</xdr:row>
      <xdr:rowOff>188771</xdr:rowOff>
    </xdr:from>
    <xdr:to>
      <xdr:col>61</xdr:col>
      <xdr:colOff>560049</xdr:colOff>
      <xdr:row>77</xdr:row>
      <xdr:rowOff>155243</xdr:rowOff>
    </xdr:to>
    <xdr:graphicFrame macro="">
      <xdr:nvGraphicFramePr>
        <xdr:cNvPr id="49" name="Chart 1">
          <a:extLst>
            <a:ext uri="{FF2B5EF4-FFF2-40B4-BE49-F238E27FC236}">
              <a16:creationId xmlns:a16="http://schemas.microsoft.com/office/drawing/2014/main" id="{617DF307-FF93-D0F4-EF3C-C69E6A1F2D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26</xdr:col>
      <xdr:colOff>182709</xdr:colOff>
      <xdr:row>39</xdr:row>
      <xdr:rowOff>16576</xdr:rowOff>
    </xdr:from>
    <xdr:to>
      <xdr:col>31</xdr:col>
      <xdr:colOff>203309</xdr:colOff>
      <xdr:row>47</xdr:row>
      <xdr:rowOff>110094</xdr:rowOff>
    </xdr:to>
    <mc:AlternateContent xmlns:mc="http://schemas.openxmlformats.org/markup-compatibility/2006" xmlns:a14="http://schemas.microsoft.com/office/drawing/2010/main">
      <mc:Choice Requires="a14">
        <xdr:graphicFrame macro="">
          <xdr:nvGraphicFramePr>
            <xdr:cNvPr id="29" name="Abbreviations Key 3">
              <a:extLst>
                <a:ext uri="{FF2B5EF4-FFF2-40B4-BE49-F238E27FC236}">
                  <a16:creationId xmlns:a16="http://schemas.microsoft.com/office/drawing/2014/main" id="{313E56C6-D3CB-E747-8A68-8EE0C978EB31}"/>
                </a:ext>
              </a:extLst>
            </xdr:cNvPr>
            <xdr:cNvGraphicFramePr/>
          </xdr:nvGraphicFramePr>
          <xdr:xfrm>
            <a:off x="0" y="0"/>
            <a:ext cx="0" cy="0"/>
          </xdr:xfrm>
          <a:graphic>
            <a:graphicData uri="http://schemas.microsoft.com/office/drawing/2010/slicer">
              <sle:slicer xmlns:sle="http://schemas.microsoft.com/office/drawing/2010/slicer" name="Abbreviations Key 3"/>
            </a:graphicData>
          </a:graphic>
        </xdr:graphicFrame>
      </mc:Choice>
      <mc:Fallback xmlns="">
        <xdr:sp macro="" textlink="">
          <xdr:nvSpPr>
            <xdr:cNvPr id="0" name=""/>
            <xdr:cNvSpPr>
              <a:spLocks noTextEdit="1"/>
            </xdr:cNvSpPr>
          </xdr:nvSpPr>
          <xdr:spPr>
            <a:xfrm>
              <a:off x="15517959" y="7500505"/>
              <a:ext cx="2605957" cy="16175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37</xdr:col>
      <xdr:colOff>229711</xdr:colOff>
      <xdr:row>90</xdr:row>
      <xdr:rowOff>37110</xdr:rowOff>
    </xdr:from>
    <xdr:to>
      <xdr:col>61</xdr:col>
      <xdr:colOff>293719</xdr:colOff>
      <xdr:row>116</xdr:row>
      <xdr:rowOff>3582</xdr:rowOff>
    </xdr:to>
    <xdr:graphicFrame macro="">
      <xdr:nvGraphicFramePr>
        <xdr:cNvPr id="92" name="Chart 1">
          <a:extLst>
            <a:ext uri="{FF2B5EF4-FFF2-40B4-BE49-F238E27FC236}">
              <a16:creationId xmlns:a16="http://schemas.microsoft.com/office/drawing/2014/main" id="{42088878-9B31-14CE-C32A-9832BD95B0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33</xdr:col>
      <xdr:colOff>26844</xdr:colOff>
      <xdr:row>49</xdr:row>
      <xdr:rowOff>2598</xdr:rowOff>
    </xdr:from>
    <xdr:to>
      <xdr:col>37</xdr:col>
      <xdr:colOff>320759</xdr:colOff>
      <xdr:row>63</xdr:row>
      <xdr:rowOff>2598</xdr:rowOff>
    </xdr:to>
    <mc:AlternateContent xmlns:mc="http://schemas.openxmlformats.org/markup-compatibility/2006" xmlns:a14="http://schemas.microsoft.com/office/drawing/2010/main">
      <mc:Choice Requires="a14">
        <xdr:graphicFrame macro="">
          <xdr:nvGraphicFramePr>
            <xdr:cNvPr id="93" name="Degrees 6">
              <a:extLst>
                <a:ext uri="{FF2B5EF4-FFF2-40B4-BE49-F238E27FC236}">
                  <a16:creationId xmlns:a16="http://schemas.microsoft.com/office/drawing/2014/main" id="{9888AC95-1124-B808-E21B-1185037DC7C5}"/>
                </a:ext>
              </a:extLst>
            </xdr:cNvPr>
            <xdr:cNvGraphicFramePr/>
          </xdr:nvGraphicFramePr>
          <xdr:xfrm>
            <a:off x="0" y="0"/>
            <a:ext cx="0" cy="0"/>
          </xdr:xfrm>
          <a:graphic>
            <a:graphicData uri="http://schemas.microsoft.com/office/drawing/2010/slicer">
              <sle:slicer xmlns:sle="http://schemas.microsoft.com/office/drawing/2010/slicer" name="Degrees 6"/>
            </a:graphicData>
          </a:graphic>
        </xdr:graphicFrame>
      </mc:Choice>
      <mc:Fallback xmlns="">
        <xdr:sp macro="" textlink="">
          <xdr:nvSpPr>
            <xdr:cNvPr id="0" name=""/>
            <xdr:cNvSpPr>
              <a:spLocks noTextEdit="1"/>
            </xdr:cNvSpPr>
          </xdr:nvSpPr>
          <xdr:spPr>
            <a:xfrm>
              <a:off x="18396487" y="9391527"/>
              <a:ext cx="2743201"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49</xdr:col>
      <xdr:colOff>116526</xdr:colOff>
      <xdr:row>78</xdr:row>
      <xdr:rowOff>47747</xdr:rowOff>
    </xdr:from>
    <xdr:to>
      <xdr:col>55</xdr:col>
      <xdr:colOff>491486</xdr:colOff>
      <xdr:row>86</xdr:row>
      <xdr:rowOff>122464</xdr:rowOff>
    </xdr:to>
    <mc:AlternateContent xmlns:mc="http://schemas.openxmlformats.org/markup-compatibility/2006" xmlns:a14="http://schemas.microsoft.com/office/drawing/2010/main">
      <mc:Choice Requires="a14">
        <xdr:graphicFrame macro="">
          <xdr:nvGraphicFramePr>
            <xdr:cNvPr id="94" name="Sport 7">
              <a:extLst>
                <a:ext uri="{FF2B5EF4-FFF2-40B4-BE49-F238E27FC236}">
                  <a16:creationId xmlns:a16="http://schemas.microsoft.com/office/drawing/2014/main" id="{E7F73F82-7996-6D39-5836-3717D6C9B682}"/>
                </a:ext>
              </a:extLst>
            </xdr:cNvPr>
            <xdr:cNvGraphicFramePr/>
          </xdr:nvGraphicFramePr>
          <xdr:xfrm>
            <a:off x="0" y="0"/>
            <a:ext cx="0" cy="0"/>
          </xdr:xfrm>
          <a:graphic>
            <a:graphicData uri="http://schemas.microsoft.com/office/drawing/2010/slicer">
              <sle:slicer xmlns:sle="http://schemas.microsoft.com/office/drawing/2010/slicer" name="Sport 7"/>
            </a:graphicData>
          </a:graphic>
        </xdr:graphicFrame>
      </mc:Choice>
      <mc:Fallback xmlns="">
        <xdr:sp macro="" textlink="">
          <xdr:nvSpPr>
            <xdr:cNvPr id="0" name=""/>
            <xdr:cNvSpPr>
              <a:spLocks noTextEdit="1"/>
            </xdr:cNvSpPr>
          </xdr:nvSpPr>
          <xdr:spPr>
            <a:xfrm>
              <a:off x="28283312" y="14961176"/>
              <a:ext cx="4048888" cy="15987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12618</xdr:colOff>
      <xdr:row>78</xdr:row>
      <xdr:rowOff>47751</xdr:rowOff>
    </xdr:from>
    <xdr:to>
      <xdr:col>49</xdr:col>
      <xdr:colOff>202114</xdr:colOff>
      <xdr:row>86</xdr:row>
      <xdr:rowOff>173182</xdr:rowOff>
    </xdr:to>
    <mc:AlternateContent xmlns:mc="http://schemas.openxmlformats.org/markup-compatibility/2006" xmlns:a14="http://schemas.microsoft.com/office/drawing/2010/main">
      <mc:Choice Requires="a14">
        <xdr:graphicFrame macro="">
          <xdr:nvGraphicFramePr>
            <xdr:cNvPr id="95" name="Group 6">
              <a:extLst>
                <a:ext uri="{FF2B5EF4-FFF2-40B4-BE49-F238E27FC236}">
                  <a16:creationId xmlns:a16="http://schemas.microsoft.com/office/drawing/2014/main" id="{6BD562E3-CDAC-F70D-8840-4FED30CDD7B5}"/>
                </a:ext>
              </a:extLst>
            </xdr:cNvPr>
            <xdr:cNvGraphicFramePr/>
          </xdr:nvGraphicFramePr>
          <xdr:xfrm>
            <a:off x="0" y="0"/>
            <a:ext cx="0" cy="0"/>
          </xdr:xfrm>
          <a:graphic>
            <a:graphicData uri="http://schemas.microsoft.com/office/drawing/2010/slicer">
              <sle:slicer xmlns:sle="http://schemas.microsoft.com/office/drawing/2010/slicer" name="Group 6"/>
            </a:graphicData>
          </a:graphic>
        </xdr:graphicFrame>
      </mc:Choice>
      <mc:Fallback xmlns="">
        <xdr:sp macro="" textlink="">
          <xdr:nvSpPr>
            <xdr:cNvPr id="0" name=""/>
            <xdr:cNvSpPr>
              <a:spLocks noTextEdit="1"/>
            </xdr:cNvSpPr>
          </xdr:nvSpPr>
          <xdr:spPr>
            <a:xfrm>
              <a:off x="25730118" y="14961180"/>
              <a:ext cx="2638782" cy="16494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533401</xdr:colOff>
      <xdr:row>78</xdr:row>
      <xdr:rowOff>15587</xdr:rowOff>
    </xdr:from>
    <xdr:to>
      <xdr:col>44</xdr:col>
      <xdr:colOff>524118</xdr:colOff>
      <xdr:row>86</xdr:row>
      <xdr:rowOff>173182</xdr:rowOff>
    </xdr:to>
    <mc:AlternateContent xmlns:mc="http://schemas.openxmlformats.org/markup-compatibility/2006" xmlns:a14="http://schemas.microsoft.com/office/drawing/2010/main">
      <mc:Choice Requires="a14">
        <xdr:graphicFrame macro="">
          <xdr:nvGraphicFramePr>
            <xdr:cNvPr id="96" name="Positions 7">
              <a:extLst>
                <a:ext uri="{FF2B5EF4-FFF2-40B4-BE49-F238E27FC236}">
                  <a16:creationId xmlns:a16="http://schemas.microsoft.com/office/drawing/2014/main" id="{4EA2D8DE-9F50-4A65-D5A8-2672B95EA165}"/>
                </a:ext>
              </a:extLst>
            </xdr:cNvPr>
            <xdr:cNvGraphicFramePr/>
          </xdr:nvGraphicFramePr>
          <xdr:xfrm>
            <a:off x="0" y="0"/>
            <a:ext cx="0" cy="0"/>
          </xdr:xfrm>
          <a:graphic>
            <a:graphicData uri="http://schemas.microsoft.com/office/drawing/2010/slicer">
              <sle:slicer xmlns:sle="http://schemas.microsoft.com/office/drawing/2010/slicer" name="Positions 7"/>
            </a:graphicData>
          </a:graphic>
        </xdr:graphicFrame>
      </mc:Choice>
      <mc:Fallback xmlns="">
        <xdr:sp macro="" textlink="">
          <xdr:nvSpPr>
            <xdr:cNvPr id="0" name=""/>
            <xdr:cNvSpPr>
              <a:spLocks noTextEdit="1"/>
            </xdr:cNvSpPr>
          </xdr:nvSpPr>
          <xdr:spPr>
            <a:xfrm>
              <a:off x="21352330" y="14929016"/>
              <a:ext cx="4276967" cy="16815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34884</xdr:colOff>
      <xdr:row>68</xdr:row>
      <xdr:rowOff>187531</xdr:rowOff>
    </xdr:from>
    <xdr:to>
      <xdr:col>37</xdr:col>
      <xdr:colOff>299358</xdr:colOff>
      <xdr:row>85</xdr:row>
      <xdr:rowOff>176893</xdr:rowOff>
    </xdr:to>
    <mc:AlternateContent xmlns:mc="http://schemas.openxmlformats.org/markup-compatibility/2006" xmlns:a14="http://schemas.microsoft.com/office/drawing/2010/main">
      <mc:Choice Requires="a14">
        <xdr:graphicFrame macro="">
          <xdr:nvGraphicFramePr>
            <xdr:cNvPr id="97" name="N 3">
              <a:extLst>
                <a:ext uri="{FF2B5EF4-FFF2-40B4-BE49-F238E27FC236}">
                  <a16:creationId xmlns:a16="http://schemas.microsoft.com/office/drawing/2014/main" id="{613924BD-CF98-F37D-1BBF-8F87AEA5C45D}"/>
                </a:ext>
              </a:extLst>
            </xdr:cNvPr>
            <xdr:cNvGraphicFramePr/>
          </xdr:nvGraphicFramePr>
          <xdr:xfrm>
            <a:off x="0" y="0"/>
            <a:ext cx="0" cy="0"/>
          </xdr:xfrm>
          <a:graphic>
            <a:graphicData uri="http://schemas.microsoft.com/office/drawing/2010/slicer">
              <sle:slicer xmlns:sle="http://schemas.microsoft.com/office/drawing/2010/slicer" name="N 3"/>
            </a:graphicData>
          </a:graphic>
        </xdr:graphicFrame>
      </mc:Choice>
      <mc:Fallback xmlns="">
        <xdr:sp macro="" textlink="">
          <xdr:nvSpPr>
            <xdr:cNvPr id="0" name=""/>
            <xdr:cNvSpPr>
              <a:spLocks noTextEdit="1"/>
            </xdr:cNvSpPr>
          </xdr:nvSpPr>
          <xdr:spPr>
            <a:xfrm>
              <a:off x="18404527" y="13195960"/>
              <a:ext cx="2713760" cy="32278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22515</xdr:colOff>
      <xdr:row>56</xdr:row>
      <xdr:rowOff>188770</xdr:rowOff>
    </xdr:from>
    <xdr:to>
      <xdr:col>37</xdr:col>
      <xdr:colOff>316430</xdr:colOff>
      <xdr:row>64</xdr:row>
      <xdr:rowOff>68036</xdr:rowOff>
    </xdr:to>
    <mc:AlternateContent xmlns:mc="http://schemas.openxmlformats.org/markup-compatibility/2006" xmlns:a14="http://schemas.microsoft.com/office/drawing/2010/main">
      <mc:Choice Requires="a14">
        <xdr:graphicFrame macro="">
          <xdr:nvGraphicFramePr>
            <xdr:cNvPr id="98" name="Gender 6">
              <a:extLst>
                <a:ext uri="{FF2B5EF4-FFF2-40B4-BE49-F238E27FC236}">
                  <a16:creationId xmlns:a16="http://schemas.microsoft.com/office/drawing/2014/main" id="{A80A9444-2A8B-CF94-02F3-8CA06EC7639E}"/>
                </a:ext>
              </a:extLst>
            </xdr:cNvPr>
            <xdr:cNvGraphicFramePr/>
          </xdr:nvGraphicFramePr>
          <xdr:xfrm>
            <a:off x="0" y="0"/>
            <a:ext cx="0" cy="0"/>
          </xdr:xfrm>
          <a:graphic>
            <a:graphicData uri="http://schemas.microsoft.com/office/drawing/2010/slicer">
              <sle:slicer xmlns:sle="http://schemas.microsoft.com/office/drawing/2010/slicer" name="Gender 6"/>
            </a:graphicData>
          </a:graphic>
        </xdr:graphicFrame>
      </mc:Choice>
      <mc:Fallback xmlns="">
        <xdr:sp macro="" textlink="">
          <xdr:nvSpPr>
            <xdr:cNvPr id="0" name=""/>
            <xdr:cNvSpPr>
              <a:spLocks noTextEdit="1"/>
            </xdr:cNvSpPr>
          </xdr:nvSpPr>
          <xdr:spPr>
            <a:xfrm>
              <a:off x="18392158" y="10911199"/>
              <a:ext cx="2743201" cy="1403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42306</xdr:colOff>
      <xdr:row>63</xdr:row>
      <xdr:rowOff>157843</xdr:rowOff>
    </xdr:from>
    <xdr:to>
      <xdr:col>37</xdr:col>
      <xdr:colOff>336221</xdr:colOff>
      <xdr:row>69</xdr:row>
      <xdr:rowOff>40822</xdr:rowOff>
    </xdr:to>
    <mc:AlternateContent xmlns:mc="http://schemas.openxmlformats.org/markup-compatibility/2006" xmlns:a14="http://schemas.microsoft.com/office/drawing/2010/main">
      <mc:Choice Requires="a14">
        <xdr:graphicFrame macro="">
          <xdr:nvGraphicFramePr>
            <xdr:cNvPr id="99" name="Directon 4">
              <a:extLst>
                <a:ext uri="{FF2B5EF4-FFF2-40B4-BE49-F238E27FC236}">
                  <a16:creationId xmlns:a16="http://schemas.microsoft.com/office/drawing/2014/main" id="{0BF7188B-5E49-1669-7EDB-07CF9C546526}"/>
                </a:ext>
              </a:extLst>
            </xdr:cNvPr>
            <xdr:cNvGraphicFramePr/>
          </xdr:nvGraphicFramePr>
          <xdr:xfrm>
            <a:off x="0" y="0"/>
            <a:ext cx="0" cy="0"/>
          </xdr:xfrm>
          <a:graphic>
            <a:graphicData uri="http://schemas.microsoft.com/office/drawing/2010/slicer">
              <sle:slicer xmlns:sle="http://schemas.microsoft.com/office/drawing/2010/slicer" name="Directon 4"/>
            </a:graphicData>
          </a:graphic>
        </xdr:graphicFrame>
      </mc:Choice>
      <mc:Fallback xmlns="">
        <xdr:sp macro="" textlink="">
          <xdr:nvSpPr>
            <xdr:cNvPr id="0" name=""/>
            <xdr:cNvSpPr>
              <a:spLocks noTextEdit="1"/>
            </xdr:cNvSpPr>
          </xdr:nvSpPr>
          <xdr:spPr>
            <a:xfrm>
              <a:off x="18411949" y="12213772"/>
              <a:ext cx="2743201" cy="10259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55</xdr:col>
      <xdr:colOff>418359</xdr:colOff>
      <xdr:row>78</xdr:row>
      <xdr:rowOff>39091</xdr:rowOff>
    </xdr:from>
    <xdr:to>
      <xdr:col>58</xdr:col>
      <xdr:colOff>428748</xdr:colOff>
      <xdr:row>86</xdr:row>
      <xdr:rowOff>149679</xdr:rowOff>
    </xdr:to>
    <mc:AlternateContent xmlns:mc="http://schemas.openxmlformats.org/markup-compatibility/2006" xmlns:a14="http://schemas.microsoft.com/office/drawing/2010/main">
      <mc:Choice Requires="a14">
        <xdr:graphicFrame macro="">
          <xdr:nvGraphicFramePr>
            <xdr:cNvPr id="100" name="Machine Type 1">
              <a:extLst>
                <a:ext uri="{FF2B5EF4-FFF2-40B4-BE49-F238E27FC236}">
                  <a16:creationId xmlns:a16="http://schemas.microsoft.com/office/drawing/2014/main" id="{09664E60-8D45-2194-A71D-3AD54891C4C6}"/>
                </a:ext>
              </a:extLst>
            </xdr:cNvPr>
            <xdr:cNvGraphicFramePr/>
          </xdr:nvGraphicFramePr>
          <xdr:xfrm>
            <a:off x="0" y="0"/>
            <a:ext cx="0" cy="0"/>
          </xdr:xfrm>
          <a:graphic>
            <a:graphicData uri="http://schemas.microsoft.com/office/drawing/2010/slicer">
              <sle:slicer xmlns:sle="http://schemas.microsoft.com/office/drawing/2010/slicer" name="Machine Type 1"/>
            </a:graphicData>
          </a:graphic>
        </xdr:graphicFrame>
      </mc:Choice>
      <mc:Fallback xmlns="">
        <xdr:sp macro="" textlink="">
          <xdr:nvSpPr>
            <xdr:cNvPr id="0" name=""/>
            <xdr:cNvSpPr>
              <a:spLocks noTextEdit="1"/>
            </xdr:cNvSpPr>
          </xdr:nvSpPr>
          <xdr:spPr>
            <a:xfrm>
              <a:off x="32259073" y="14952520"/>
              <a:ext cx="1847354" cy="16345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52</xdr:col>
      <xdr:colOff>517072</xdr:colOff>
      <xdr:row>49</xdr:row>
      <xdr:rowOff>40327</xdr:rowOff>
    </xdr:from>
    <xdr:to>
      <xdr:col>57</xdr:col>
      <xdr:colOff>285750</xdr:colOff>
      <xdr:row>51</xdr:row>
      <xdr:rowOff>25087</xdr:rowOff>
    </xdr:to>
    <mc:AlternateContent xmlns:mc="http://schemas.openxmlformats.org/markup-compatibility/2006" xmlns:a14="http://schemas.microsoft.com/office/drawing/2010/main">
      <mc:Choice Requires="a14">
        <xdr:graphicFrame macro="">
          <xdr:nvGraphicFramePr>
            <xdr:cNvPr id="101" name="Units 2">
              <a:extLst>
                <a:ext uri="{FF2B5EF4-FFF2-40B4-BE49-F238E27FC236}">
                  <a16:creationId xmlns:a16="http://schemas.microsoft.com/office/drawing/2014/main" id="{A35A3D69-1211-B6F7-C28C-02BB86BB7F74}"/>
                </a:ext>
              </a:extLst>
            </xdr:cNvPr>
            <xdr:cNvGraphicFramePr/>
          </xdr:nvGraphicFramePr>
          <xdr:xfrm>
            <a:off x="0" y="0"/>
            <a:ext cx="0" cy="0"/>
          </xdr:xfrm>
          <a:graphic>
            <a:graphicData uri="http://schemas.microsoft.com/office/drawing/2010/slicer">
              <sle:slicer xmlns:sle="http://schemas.microsoft.com/office/drawing/2010/slicer" name="Units 2"/>
            </a:graphicData>
          </a:graphic>
        </xdr:graphicFrame>
      </mc:Choice>
      <mc:Fallback xmlns="">
        <xdr:sp macro="" textlink="">
          <xdr:nvSpPr>
            <xdr:cNvPr id="0" name=""/>
            <xdr:cNvSpPr>
              <a:spLocks noTextEdit="1"/>
            </xdr:cNvSpPr>
          </xdr:nvSpPr>
          <xdr:spPr>
            <a:xfrm>
              <a:off x="30520822" y="9429256"/>
              <a:ext cx="2830285"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52</xdr:col>
      <xdr:colOff>163286</xdr:colOff>
      <xdr:row>50</xdr:row>
      <xdr:rowOff>122464</xdr:rowOff>
    </xdr:from>
    <xdr:to>
      <xdr:col>58</xdr:col>
      <xdr:colOff>95250</xdr:colOff>
      <xdr:row>50</xdr:row>
      <xdr:rowOff>136071</xdr:rowOff>
    </xdr:to>
    <xdr:cxnSp macro="">
      <xdr:nvCxnSpPr>
        <xdr:cNvPr id="104" name="Straight Connector 103">
          <a:extLst>
            <a:ext uri="{FF2B5EF4-FFF2-40B4-BE49-F238E27FC236}">
              <a16:creationId xmlns:a16="http://schemas.microsoft.com/office/drawing/2014/main" id="{BB8ABAA5-3768-EDED-0F0E-CD0748D2AD71}"/>
            </a:ext>
          </a:extLst>
        </xdr:cNvPr>
        <xdr:cNvCxnSpPr/>
      </xdr:nvCxnSpPr>
      <xdr:spPr>
        <a:xfrm flipV="1">
          <a:off x="30167036" y="9701893"/>
          <a:ext cx="3605893" cy="13607"/>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190500</xdr:colOff>
      <xdr:row>11</xdr:row>
      <xdr:rowOff>134470</xdr:rowOff>
    </xdr:from>
    <xdr:to>
      <xdr:col>19</xdr:col>
      <xdr:colOff>67236</xdr:colOff>
      <xdr:row>11</xdr:row>
      <xdr:rowOff>149678</xdr:rowOff>
    </xdr:to>
    <xdr:cxnSp macro="">
      <xdr:nvCxnSpPr>
        <xdr:cNvPr id="106" name="Straight Connector 20">
          <a:extLst>
            <a:ext uri="{FF2B5EF4-FFF2-40B4-BE49-F238E27FC236}">
              <a16:creationId xmlns:a16="http://schemas.microsoft.com/office/drawing/2014/main" id="{D1D5521D-F466-A5EC-BBB0-70545B6E8C26}"/>
            </a:ext>
          </a:extLst>
        </xdr:cNvPr>
        <xdr:cNvCxnSpPr/>
      </xdr:nvCxnSpPr>
      <xdr:spPr>
        <a:xfrm flipV="1">
          <a:off x="8684559" y="2274794"/>
          <a:ext cx="2297206" cy="1520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editAs="oneCell">
    <xdr:from>
      <xdr:col>1</xdr:col>
      <xdr:colOff>2720</xdr:colOff>
      <xdr:row>111</xdr:row>
      <xdr:rowOff>89807</xdr:rowOff>
    </xdr:from>
    <xdr:to>
      <xdr:col>5</xdr:col>
      <xdr:colOff>217714</xdr:colOff>
      <xdr:row>125</xdr:row>
      <xdr:rowOff>122464</xdr:rowOff>
    </xdr:to>
    <mc:AlternateContent xmlns:mc="http://schemas.openxmlformats.org/markup-compatibility/2006" xmlns:a14="http://schemas.microsoft.com/office/drawing/2010/main">
      <mc:Choice Requires="a14">
        <xdr:graphicFrame macro="">
          <xdr:nvGraphicFramePr>
            <xdr:cNvPr id="109" name="N 4">
              <a:extLst>
                <a:ext uri="{FF2B5EF4-FFF2-40B4-BE49-F238E27FC236}">
                  <a16:creationId xmlns:a16="http://schemas.microsoft.com/office/drawing/2014/main" id="{7DED7290-1ED1-D2EE-48EC-06C0D842EF59}"/>
                </a:ext>
              </a:extLst>
            </xdr:cNvPr>
            <xdr:cNvGraphicFramePr/>
          </xdr:nvGraphicFramePr>
          <xdr:xfrm>
            <a:off x="0" y="0"/>
            <a:ext cx="0" cy="0"/>
          </xdr:xfrm>
          <a:graphic>
            <a:graphicData uri="http://schemas.microsoft.com/office/drawing/2010/slicer">
              <sle:slicer xmlns:sle="http://schemas.microsoft.com/office/drawing/2010/slicer" name="N 4"/>
            </a:graphicData>
          </a:graphic>
        </xdr:graphicFrame>
      </mc:Choice>
      <mc:Fallback xmlns="">
        <xdr:sp macro="" textlink="">
          <xdr:nvSpPr>
            <xdr:cNvPr id="0" name=""/>
            <xdr:cNvSpPr>
              <a:spLocks noTextEdit="1"/>
            </xdr:cNvSpPr>
          </xdr:nvSpPr>
          <xdr:spPr>
            <a:xfrm>
              <a:off x="370113" y="21289736"/>
              <a:ext cx="2664280" cy="26996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36739</xdr:colOff>
      <xdr:row>88</xdr:row>
      <xdr:rowOff>21771</xdr:rowOff>
    </xdr:from>
    <xdr:to>
      <xdr:col>37</xdr:col>
      <xdr:colOff>68035</xdr:colOff>
      <xdr:row>96</xdr:row>
      <xdr:rowOff>13607</xdr:rowOff>
    </xdr:to>
    <mc:AlternateContent xmlns:mc="http://schemas.openxmlformats.org/markup-compatibility/2006" xmlns:a14="http://schemas.microsoft.com/office/drawing/2010/main">
      <mc:Choice Requires="a14">
        <xdr:graphicFrame macro="">
          <xdr:nvGraphicFramePr>
            <xdr:cNvPr id="110" name="Degrees 7">
              <a:extLst>
                <a:ext uri="{FF2B5EF4-FFF2-40B4-BE49-F238E27FC236}">
                  <a16:creationId xmlns:a16="http://schemas.microsoft.com/office/drawing/2014/main" id="{1E8D295E-6E11-7F6E-6669-33B4FBE253F0}"/>
                </a:ext>
              </a:extLst>
            </xdr:cNvPr>
            <xdr:cNvGraphicFramePr/>
          </xdr:nvGraphicFramePr>
          <xdr:xfrm>
            <a:off x="0" y="0"/>
            <a:ext cx="0" cy="0"/>
          </xdr:xfrm>
          <a:graphic>
            <a:graphicData uri="http://schemas.microsoft.com/office/drawing/2010/slicer">
              <sle:slicer xmlns:sle="http://schemas.microsoft.com/office/drawing/2010/slicer" name="Degrees 7"/>
            </a:graphicData>
          </a:graphic>
        </xdr:graphicFrame>
      </mc:Choice>
      <mc:Fallback xmlns="">
        <xdr:sp macro="" textlink="">
          <xdr:nvSpPr>
            <xdr:cNvPr id="0" name=""/>
            <xdr:cNvSpPr>
              <a:spLocks noTextEdit="1"/>
            </xdr:cNvSpPr>
          </xdr:nvSpPr>
          <xdr:spPr>
            <a:xfrm>
              <a:off x="18406382" y="16840200"/>
              <a:ext cx="2480582" cy="15158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23131</xdr:colOff>
      <xdr:row>94</xdr:row>
      <xdr:rowOff>130628</xdr:rowOff>
    </xdr:from>
    <xdr:to>
      <xdr:col>36</xdr:col>
      <xdr:colOff>489856</xdr:colOff>
      <xdr:row>99</xdr:row>
      <xdr:rowOff>54428</xdr:rowOff>
    </xdr:to>
    <mc:AlternateContent xmlns:mc="http://schemas.openxmlformats.org/markup-compatibility/2006" xmlns:a14="http://schemas.microsoft.com/office/drawing/2010/main">
      <mc:Choice Requires="a14">
        <xdr:graphicFrame macro="">
          <xdr:nvGraphicFramePr>
            <xdr:cNvPr id="111" name="Gender 7">
              <a:extLst>
                <a:ext uri="{FF2B5EF4-FFF2-40B4-BE49-F238E27FC236}">
                  <a16:creationId xmlns:a16="http://schemas.microsoft.com/office/drawing/2014/main" id="{AD799F18-649C-B029-E893-94754D27A1F5}"/>
                </a:ext>
              </a:extLst>
            </xdr:cNvPr>
            <xdr:cNvGraphicFramePr/>
          </xdr:nvGraphicFramePr>
          <xdr:xfrm>
            <a:off x="0" y="0"/>
            <a:ext cx="0" cy="0"/>
          </xdr:xfrm>
          <a:graphic>
            <a:graphicData uri="http://schemas.microsoft.com/office/drawing/2010/slicer">
              <sle:slicer xmlns:sle="http://schemas.microsoft.com/office/drawing/2010/slicer" name="Gender 7"/>
            </a:graphicData>
          </a:graphic>
        </xdr:graphicFrame>
      </mc:Choice>
      <mc:Fallback xmlns="">
        <xdr:sp macro="" textlink="">
          <xdr:nvSpPr>
            <xdr:cNvPr id="0" name=""/>
            <xdr:cNvSpPr>
              <a:spLocks noTextEdit="1"/>
            </xdr:cNvSpPr>
          </xdr:nvSpPr>
          <xdr:spPr>
            <a:xfrm>
              <a:off x="18392774" y="18092057"/>
              <a:ext cx="2303689" cy="87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23132</xdr:colOff>
      <xdr:row>99</xdr:row>
      <xdr:rowOff>8164</xdr:rowOff>
    </xdr:from>
    <xdr:to>
      <xdr:col>36</xdr:col>
      <xdr:colOff>489858</xdr:colOff>
      <xdr:row>103</xdr:row>
      <xdr:rowOff>95250</xdr:rowOff>
    </xdr:to>
    <mc:AlternateContent xmlns:mc="http://schemas.openxmlformats.org/markup-compatibility/2006" xmlns:a14="http://schemas.microsoft.com/office/drawing/2010/main">
      <mc:Choice Requires="a14">
        <xdr:graphicFrame macro="">
          <xdr:nvGraphicFramePr>
            <xdr:cNvPr id="112" name="Directon 5">
              <a:extLst>
                <a:ext uri="{FF2B5EF4-FFF2-40B4-BE49-F238E27FC236}">
                  <a16:creationId xmlns:a16="http://schemas.microsoft.com/office/drawing/2014/main" id="{FAEBB8C9-C468-AAB0-2D9F-0184BD66F296}"/>
                </a:ext>
              </a:extLst>
            </xdr:cNvPr>
            <xdr:cNvGraphicFramePr/>
          </xdr:nvGraphicFramePr>
          <xdr:xfrm>
            <a:off x="0" y="0"/>
            <a:ext cx="0" cy="0"/>
          </xdr:xfrm>
          <a:graphic>
            <a:graphicData uri="http://schemas.microsoft.com/office/drawing/2010/slicer">
              <sle:slicer xmlns:sle="http://schemas.microsoft.com/office/drawing/2010/slicer" name="Directon 5"/>
            </a:graphicData>
          </a:graphic>
        </xdr:graphicFrame>
      </mc:Choice>
      <mc:Fallback xmlns="">
        <xdr:sp macro="" textlink="">
          <xdr:nvSpPr>
            <xdr:cNvPr id="0" name=""/>
            <xdr:cNvSpPr>
              <a:spLocks noTextEdit="1"/>
            </xdr:cNvSpPr>
          </xdr:nvSpPr>
          <xdr:spPr>
            <a:xfrm>
              <a:off x="18392775" y="18922093"/>
              <a:ext cx="2303690" cy="8490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95249</xdr:colOff>
      <xdr:row>102</xdr:row>
      <xdr:rowOff>171450</xdr:rowOff>
    </xdr:from>
    <xdr:to>
      <xdr:col>37</xdr:col>
      <xdr:colOff>13606</xdr:colOff>
      <xdr:row>116</xdr:row>
      <xdr:rowOff>171450</xdr:rowOff>
    </xdr:to>
    <mc:AlternateContent xmlns:mc="http://schemas.openxmlformats.org/markup-compatibility/2006" xmlns:a14="http://schemas.microsoft.com/office/drawing/2010/main">
      <mc:Choice Requires="a14">
        <xdr:graphicFrame macro="">
          <xdr:nvGraphicFramePr>
            <xdr:cNvPr id="113" name="N 5">
              <a:extLst>
                <a:ext uri="{FF2B5EF4-FFF2-40B4-BE49-F238E27FC236}">
                  <a16:creationId xmlns:a16="http://schemas.microsoft.com/office/drawing/2014/main" id="{7637A520-1BC1-A6AB-8C37-9F603D8032A3}"/>
                </a:ext>
              </a:extLst>
            </xdr:cNvPr>
            <xdr:cNvGraphicFramePr/>
          </xdr:nvGraphicFramePr>
          <xdr:xfrm>
            <a:off x="0" y="0"/>
            <a:ext cx="0" cy="0"/>
          </xdr:xfrm>
          <a:graphic>
            <a:graphicData uri="http://schemas.microsoft.com/office/drawing/2010/slicer">
              <sle:slicer xmlns:sle="http://schemas.microsoft.com/office/drawing/2010/slicer" name="N 5"/>
            </a:graphicData>
          </a:graphic>
        </xdr:graphicFrame>
      </mc:Choice>
      <mc:Fallback xmlns="">
        <xdr:sp macro="" textlink="">
          <xdr:nvSpPr>
            <xdr:cNvPr id="0" name=""/>
            <xdr:cNvSpPr>
              <a:spLocks noTextEdit="1"/>
            </xdr:cNvSpPr>
          </xdr:nvSpPr>
          <xdr:spPr>
            <a:xfrm>
              <a:off x="18464892" y="19656879"/>
              <a:ext cx="2367643"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46</xdr:col>
      <xdr:colOff>519792</xdr:colOff>
      <xdr:row>116</xdr:row>
      <xdr:rowOff>54427</xdr:rowOff>
    </xdr:from>
    <xdr:to>
      <xdr:col>52</xdr:col>
      <xdr:colOff>122463</xdr:colOff>
      <xdr:row>125</xdr:row>
      <xdr:rowOff>81642</xdr:rowOff>
    </xdr:to>
    <mc:AlternateContent xmlns:mc="http://schemas.openxmlformats.org/markup-compatibility/2006" xmlns:a14="http://schemas.microsoft.com/office/drawing/2010/main">
      <mc:Choice Requires="a14">
        <xdr:graphicFrame macro="">
          <xdr:nvGraphicFramePr>
            <xdr:cNvPr id="114" name="Sport 8">
              <a:extLst>
                <a:ext uri="{FF2B5EF4-FFF2-40B4-BE49-F238E27FC236}">
                  <a16:creationId xmlns:a16="http://schemas.microsoft.com/office/drawing/2014/main" id="{1EF5F880-43D9-B9A4-AF2D-5382D46ACDF0}"/>
                </a:ext>
              </a:extLst>
            </xdr:cNvPr>
            <xdr:cNvGraphicFramePr/>
          </xdr:nvGraphicFramePr>
          <xdr:xfrm>
            <a:off x="0" y="0"/>
            <a:ext cx="0" cy="0"/>
          </xdr:xfrm>
          <a:graphic>
            <a:graphicData uri="http://schemas.microsoft.com/office/drawing/2010/slicer">
              <sle:slicer xmlns:sle="http://schemas.microsoft.com/office/drawing/2010/slicer" name="Sport 8"/>
            </a:graphicData>
          </a:graphic>
        </xdr:graphicFrame>
      </mc:Choice>
      <mc:Fallback xmlns="">
        <xdr:sp macro="" textlink="">
          <xdr:nvSpPr>
            <xdr:cNvPr id="0" name=""/>
            <xdr:cNvSpPr>
              <a:spLocks noTextEdit="1"/>
            </xdr:cNvSpPr>
          </xdr:nvSpPr>
          <xdr:spPr>
            <a:xfrm>
              <a:off x="26849613" y="22206856"/>
              <a:ext cx="3276600" cy="17417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574220</xdr:colOff>
      <xdr:row>116</xdr:row>
      <xdr:rowOff>42181</xdr:rowOff>
    </xdr:from>
    <xdr:to>
      <xdr:col>46</xdr:col>
      <xdr:colOff>557892</xdr:colOff>
      <xdr:row>125</xdr:row>
      <xdr:rowOff>122464</xdr:rowOff>
    </xdr:to>
    <mc:AlternateContent xmlns:mc="http://schemas.openxmlformats.org/markup-compatibility/2006" xmlns:a14="http://schemas.microsoft.com/office/drawing/2010/main">
      <mc:Choice Requires="a14">
        <xdr:graphicFrame macro="">
          <xdr:nvGraphicFramePr>
            <xdr:cNvPr id="115" name="Group 8">
              <a:extLst>
                <a:ext uri="{FF2B5EF4-FFF2-40B4-BE49-F238E27FC236}">
                  <a16:creationId xmlns:a16="http://schemas.microsoft.com/office/drawing/2014/main" id="{5E9353CE-E47A-8B2C-8F0A-44F9445C5714}"/>
                </a:ext>
              </a:extLst>
            </xdr:cNvPr>
            <xdr:cNvGraphicFramePr/>
          </xdr:nvGraphicFramePr>
          <xdr:xfrm>
            <a:off x="0" y="0"/>
            <a:ext cx="0" cy="0"/>
          </xdr:xfrm>
          <a:graphic>
            <a:graphicData uri="http://schemas.microsoft.com/office/drawing/2010/slicer">
              <sle:slicer xmlns:sle="http://schemas.microsoft.com/office/drawing/2010/slicer" name="Group 8"/>
            </a:graphicData>
          </a:graphic>
        </xdr:graphicFrame>
      </mc:Choice>
      <mc:Fallback xmlns="">
        <xdr:sp macro="" textlink="">
          <xdr:nvSpPr>
            <xdr:cNvPr id="0" name=""/>
            <xdr:cNvSpPr>
              <a:spLocks noTextEdit="1"/>
            </xdr:cNvSpPr>
          </xdr:nvSpPr>
          <xdr:spPr>
            <a:xfrm>
              <a:off x="24454756" y="22194610"/>
              <a:ext cx="2432957" cy="17947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166007</xdr:colOff>
      <xdr:row>116</xdr:row>
      <xdr:rowOff>55788</xdr:rowOff>
    </xdr:from>
    <xdr:to>
      <xdr:col>42</xdr:col>
      <xdr:colOff>408214</xdr:colOff>
      <xdr:row>125</xdr:row>
      <xdr:rowOff>122463</xdr:rowOff>
    </xdr:to>
    <mc:AlternateContent xmlns:mc="http://schemas.openxmlformats.org/markup-compatibility/2006" xmlns:a14="http://schemas.microsoft.com/office/drawing/2010/main">
      <mc:Choice Requires="a14">
        <xdr:graphicFrame macro="">
          <xdr:nvGraphicFramePr>
            <xdr:cNvPr id="116" name="Positions 8">
              <a:extLst>
                <a:ext uri="{FF2B5EF4-FFF2-40B4-BE49-F238E27FC236}">
                  <a16:creationId xmlns:a16="http://schemas.microsoft.com/office/drawing/2014/main" id="{B295737B-8993-2E1F-7D40-9BB7225A7363}"/>
                </a:ext>
              </a:extLst>
            </xdr:cNvPr>
            <xdr:cNvGraphicFramePr/>
          </xdr:nvGraphicFramePr>
          <xdr:xfrm>
            <a:off x="0" y="0"/>
            <a:ext cx="0" cy="0"/>
          </xdr:xfrm>
          <a:graphic>
            <a:graphicData uri="http://schemas.microsoft.com/office/drawing/2010/slicer">
              <sle:slicer xmlns:sle="http://schemas.microsoft.com/office/drawing/2010/slicer" name="Positions 8"/>
            </a:graphicData>
          </a:graphic>
        </xdr:graphicFrame>
      </mc:Choice>
      <mc:Fallback xmlns="">
        <xdr:sp macro="" textlink="">
          <xdr:nvSpPr>
            <xdr:cNvPr id="0" name=""/>
            <xdr:cNvSpPr>
              <a:spLocks noTextEdit="1"/>
            </xdr:cNvSpPr>
          </xdr:nvSpPr>
          <xdr:spPr>
            <a:xfrm>
              <a:off x="20984936" y="22208217"/>
              <a:ext cx="3303814" cy="1781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52</xdr:col>
      <xdr:colOff>166006</xdr:colOff>
      <xdr:row>116</xdr:row>
      <xdr:rowOff>55788</xdr:rowOff>
    </xdr:from>
    <xdr:to>
      <xdr:col>55</xdr:col>
      <xdr:colOff>157842</xdr:colOff>
      <xdr:row>125</xdr:row>
      <xdr:rowOff>95249</xdr:rowOff>
    </xdr:to>
    <mc:AlternateContent xmlns:mc="http://schemas.openxmlformats.org/markup-compatibility/2006" xmlns:a14="http://schemas.microsoft.com/office/drawing/2010/main">
      <mc:Choice Requires="a14">
        <xdr:graphicFrame macro="">
          <xdr:nvGraphicFramePr>
            <xdr:cNvPr id="117" name="Machine Type 5">
              <a:extLst>
                <a:ext uri="{FF2B5EF4-FFF2-40B4-BE49-F238E27FC236}">
                  <a16:creationId xmlns:a16="http://schemas.microsoft.com/office/drawing/2014/main" id="{BA5AABF0-B137-CCDA-8C14-BE2D3EC1D786}"/>
                </a:ext>
              </a:extLst>
            </xdr:cNvPr>
            <xdr:cNvGraphicFramePr/>
          </xdr:nvGraphicFramePr>
          <xdr:xfrm>
            <a:off x="0" y="0"/>
            <a:ext cx="0" cy="0"/>
          </xdr:xfrm>
          <a:graphic>
            <a:graphicData uri="http://schemas.microsoft.com/office/drawing/2010/slicer">
              <sle:slicer xmlns:sle="http://schemas.microsoft.com/office/drawing/2010/slicer" name="Machine Type 5"/>
            </a:graphicData>
          </a:graphic>
        </xdr:graphicFrame>
      </mc:Choice>
      <mc:Fallback xmlns="">
        <xdr:sp macro="" textlink="">
          <xdr:nvSpPr>
            <xdr:cNvPr id="0" name=""/>
            <xdr:cNvSpPr>
              <a:spLocks noTextEdit="1"/>
            </xdr:cNvSpPr>
          </xdr:nvSpPr>
          <xdr:spPr>
            <a:xfrm>
              <a:off x="30169756" y="22208217"/>
              <a:ext cx="1828800" cy="17539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52</xdr:col>
      <xdr:colOff>138793</xdr:colOff>
      <xdr:row>11</xdr:row>
      <xdr:rowOff>152399</xdr:rowOff>
    </xdr:from>
    <xdr:to>
      <xdr:col>58</xdr:col>
      <xdr:colOff>70757</xdr:colOff>
      <xdr:row>11</xdr:row>
      <xdr:rowOff>166006</xdr:rowOff>
    </xdr:to>
    <xdr:cxnSp macro="">
      <xdr:nvCxnSpPr>
        <xdr:cNvPr id="46" name="Straight Connector 45">
          <a:extLst>
            <a:ext uri="{FF2B5EF4-FFF2-40B4-BE49-F238E27FC236}">
              <a16:creationId xmlns:a16="http://schemas.microsoft.com/office/drawing/2014/main" id="{C7805585-69B0-4309-BAA4-CA14B39220FD}"/>
            </a:ext>
          </a:extLst>
        </xdr:cNvPr>
        <xdr:cNvCxnSpPr/>
      </xdr:nvCxnSpPr>
      <xdr:spPr>
        <a:xfrm flipV="1">
          <a:off x="30142543" y="2302328"/>
          <a:ext cx="3605893" cy="13607"/>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504824</xdr:colOff>
      <xdr:row>3</xdr:row>
      <xdr:rowOff>0</xdr:rowOff>
    </xdr:from>
    <xdr:to>
      <xdr:col>16</xdr:col>
      <xdr:colOff>552449</xdr:colOff>
      <xdr:row>7</xdr:row>
      <xdr:rowOff>0</xdr:rowOff>
    </xdr:to>
    <xdr:sp macro="" textlink="">
      <xdr:nvSpPr>
        <xdr:cNvPr id="2" name="Rectangle 1">
          <a:extLst>
            <a:ext uri="{FF2B5EF4-FFF2-40B4-BE49-F238E27FC236}">
              <a16:creationId xmlns:a16="http://schemas.microsoft.com/office/drawing/2014/main" id="{1D668B0F-5F83-6EF4-E236-84A3A9036DF8}"/>
            </a:ext>
          </a:extLst>
        </xdr:cNvPr>
        <xdr:cNvSpPr/>
      </xdr:nvSpPr>
      <xdr:spPr>
        <a:xfrm>
          <a:off x="4772024" y="571500"/>
          <a:ext cx="5534025" cy="76200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2800" b="1" u="sng">
              <a:solidFill>
                <a:schemeClr val="tx1"/>
              </a:solidFill>
            </a:rPr>
            <a:t>Contact Information</a:t>
          </a:r>
        </a:p>
      </xdr:txBody>
    </xdr:sp>
    <xdr:clientData/>
  </xdr:twoCellAnchor>
  <xdr:twoCellAnchor>
    <xdr:from>
      <xdr:col>18</xdr:col>
      <xdr:colOff>0</xdr:colOff>
      <xdr:row>11</xdr:row>
      <xdr:rowOff>171450</xdr:rowOff>
    </xdr:from>
    <xdr:to>
      <xdr:col>24</xdr:col>
      <xdr:colOff>238125</xdr:colOff>
      <xdr:row>33</xdr:row>
      <xdr:rowOff>0</xdr:rowOff>
    </xdr:to>
    <xdr:sp macro="" textlink="">
      <xdr:nvSpPr>
        <xdr:cNvPr id="16" name="Rectangle: Rounded Corners 15">
          <a:extLst>
            <a:ext uri="{FF2B5EF4-FFF2-40B4-BE49-F238E27FC236}">
              <a16:creationId xmlns:a16="http://schemas.microsoft.com/office/drawing/2014/main" id="{7149770F-0CB8-0DA0-FFAF-DED9A5BC9A64}"/>
            </a:ext>
          </a:extLst>
        </xdr:cNvPr>
        <xdr:cNvSpPr/>
      </xdr:nvSpPr>
      <xdr:spPr>
        <a:xfrm>
          <a:off x="10972800" y="2266950"/>
          <a:ext cx="3895725" cy="4019550"/>
        </a:xfrm>
        <a:prstGeom prst="roundRect">
          <a:avLst>
            <a:gd name="adj" fmla="val 24980"/>
          </a:avLst>
        </a:prstGeom>
        <a:solidFill>
          <a:schemeClr val="bg2"/>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561975</xdr:colOff>
      <xdr:row>10</xdr:row>
      <xdr:rowOff>0</xdr:rowOff>
    </xdr:from>
    <xdr:to>
      <xdr:col>11</xdr:col>
      <xdr:colOff>333375</xdr:colOff>
      <xdr:row>21</xdr:row>
      <xdr:rowOff>57150</xdr:rowOff>
    </xdr:to>
    <xdr:sp macro="" textlink="">
      <xdr:nvSpPr>
        <xdr:cNvPr id="17" name="Frame 16">
          <a:extLst>
            <a:ext uri="{FF2B5EF4-FFF2-40B4-BE49-F238E27FC236}">
              <a16:creationId xmlns:a16="http://schemas.microsoft.com/office/drawing/2014/main" id="{6976AD93-1405-9D63-3441-68049E456FA7}"/>
            </a:ext>
          </a:extLst>
        </xdr:cNvPr>
        <xdr:cNvSpPr>
          <a:spLocks noChangeAspect="1"/>
        </xdr:cNvSpPr>
      </xdr:nvSpPr>
      <xdr:spPr>
        <a:xfrm>
          <a:off x="4829175" y="1905000"/>
          <a:ext cx="2209800" cy="2152650"/>
        </a:xfrm>
        <a:prstGeom prst="frame">
          <a:avLst/>
        </a:prstGeom>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8</xdr:col>
      <xdr:colOff>228600</xdr:colOff>
      <xdr:row>11</xdr:row>
      <xdr:rowOff>85725</xdr:rowOff>
    </xdr:from>
    <xdr:to>
      <xdr:col>11</xdr:col>
      <xdr:colOff>66675</xdr:colOff>
      <xdr:row>19</xdr:row>
      <xdr:rowOff>180975</xdr:rowOff>
    </xdr:to>
    <xdr:sp macro="" textlink="">
      <xdr:nvSpPr>
        <xdr:cNvPr id="24" name="Rectangle 23">
          <a:hlinkClick xmlns:r="http://schemas.openxmlformats.org/officeDocument/2006/relationships" r:id="rId1"/>
          <a:extLst>
            <a:ext uri="{FF2B5EF4-FFF2-40B4-BE49-F238E27FC236}">
              <a16:creationId xmlns:a16="http://schemas.microsoft.com/office/drawing/2014/main" id="{E70BAE44-0338-86E1-45F5-3D628C27D0B4}"/>
            </a:ext>
          </a:extLst>
        </xdr:cNvPr>
        <xdr:cNvSpPr>
          <a:spLocks noChangeAspect="1"/>
        </xdr:cNvSpPr>
      </xdr:nvSpPr>
      <xdr:spPr>
        <a:xfrm>
          <a:off x="5105400" y="2181225"/>
          <a:ext cx="1666875" cy="1619250"/>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35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228600</xdr:colOff>
      <xdr:row>10</xdr:row>
      <xdr:rowOff>0</xdr:rowOff>
    </xdr:from>
    <xdr:to>
      <xdr:col>17</xdr:col>
      <xdr:colOff>0</xdr:colOff>
      <xdr:row>21</xdr:row>
      <xdr:rowOff>57150</xdr:rowOff>
    </xdr:to>
    <xdr:sp macro="" textlink="">
      <xdr:nvSpPr>
        <xdr:cNvPr id="30" name="Frame 29">
          <a:extLst>
            <a:ext uri="{FF2B5EF4-FFF2-40B4-BE49-F238E27FC236}">
              <a16:creationId xmlns:a16="http://schemas.microsoft.com/office/drawing/2014/main" id="{ED54A998-F214-4BD2-A7E0-7C197E3E5DDE}"/>
            </a:ext>
          </a:extLst>
        </xdr:cNvPr>
        <xdr:cNvSpPr>
          <a:spLocks noChangeAspect="1"/>
        </xdr:cNvSpPr>
      </xdr:nvSpPr>
      <xdr:spPr>
        <a:xfrm>
          <a:off x="8153400" y="1905000"/>
          <a:ext cx="2209800" cy="2152650"/>
        </a:xfrm>
        <a:prstGeom prst="frame">
          <a:avLst/>
        </a:prstGeom>
        <a:gradFill flip="none" rotWithShape="1">
          <a:gsLst>
            <a:gs pos="0">
              <a:schemeClr val="accent1">
                <a:shade val="30000"/>
                <a:satMod val="115000"/>
              </a:schemeClr>
            </a:gs>
            <a:gs pos="13000">
              <a:schemeClr val="accent1">
                <a:shade val="67500"/>
                <a:satMod val="115000"/>
              </a:schemeClr>
            </a:gs>
            <a:gs pos="100000">
              <a:schemeClr val="accent1">
                <a:shade val="100000"/>
                <a:satMod val="115000"/>
              </a:schemeClr>
            </a:gs>
          </a:gsLst>
          <a:path path="circle">
            <a:fillToRect t="100000" r="100000"/>
          </a:path>
          <a:tileRect l="-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504825</xdr:colOff>
      <xdr:row>11</xdr:row>
      <xdr:rowOff>85725</xdr:rowOff>
    </xdr:from>
    <xdr:to>
      <xdr:col>16</xdr:col>
      <xdr:colOff>342900</xdr:colOff>
      <xdr:row>19</xdr:row>
      <xdr:rowOff>180975</xdr:rowOff>
    </xdr:to>
    <xdr:sp macro="" textlink="">
      <xdr:nvSpPr>
        <xdr:cNvPr id="31" name="Rectangle 30">
          <a:extLst>
            <a:ext uri="{FF2B5EF4-FFF2-40B4-BE49-F238E27FC236}">
              <a16:creationId xmlns:a16="http://schemas.microsoft.com/office/drawing/2014/main" id="{295101E3-FF96-4CB9-8E60-4AD87441A1B4}"/>
            </a:ext>
          </a:extLst>
        </xdr:cNvPr>
        <xdr:cNvSpPr>
          <a:spLocks noChangeAspect="1"/>
        </xdr:cNvSpPr>
      </xdr:nvSpPr>
      <xdr:spPr>
        <a:xfrm>
          <a:off x="8429625" y="2181225"/>
          <a:ext cx="1666875" cy="1619250"/>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r="100000" b="100000"/>
          </a:path>
          <a:tileRect l="-100000" t="-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228600</xdr:colOff>
      <xdr:row>23</xdr:row>
      <xdr:rowOff>133350</xdr:rowOff>
    </xdr:from>
    <xdr:to>
      <xdr:col>17</xdr:col>
      <xdr:colOff>0</xdr:colOff>
      <xdr:row>35</xdr:row>
      <xdr:rowOff>0</xdr:rowOff>
    </xdr:to>
    <xdr:sp macro="" textlink="">
      <xdr:nvSpPr>
        <xdr:cNvPr id="32" name="Frame 31">
          <a:extLst>
            <a:ext uri="{FF2B5EF4-FFF2-40B4-BE49-F238E27FC236}">
              <a16:creationId xmlns:a16="http://schemas.microsoft.com/office/drawing/2014/main" id="{7BEE527A-DA24-423B-97FD-8C168B3A812B}"/>
            </a:ext>
          </a:extLst>
        </xdr:cNvPr>
        <xdr:cNvSpPr>
          <a:spLocks noChangeAspect="1"/>
        </xdr:cNvSpPr>
      </xdr:nvSpPr>
      <xdr:spPr>
        <a:xfrm>
          <a:off x="8153400" y="4514850"/>
          <a:ext cx="2209800" cy="2152650"/>
        </a:xfrm>
        <a:prstGeom prst="frame">
          <a:avLst/>
        </a:prstGeom>
        <a:gradFill flip="none" rotWithShape="1">
          <a:gsLst>
            <a:gs pos="0">
              <a:schemeClr val="tx2">
                <a:lumMod val="25000"/>
                <a:lumOff val="75000"/>
                <a:shade val="30000"/>
                <a:satMod val="115000"/>
              </a:schemeClr>
            </a:gs>
            <a:gs pos="50000">
              <a:schemeClr val="tx2">
                <a:lumMod val="25000"/>
                <a:lumOff val="75000"/>
                <a:shade val="67500"/>
                <a:satMod val="115000"/>
              </a:schemeClr>
            </a:gs>
            <a:gs pos="100000">
              <a:schemeClr val="tx2">
                <a:lumMod val="25000"/>
                <a:lumOff val="75000"/>
                <a:shade val="100000"/>
                <a:satMod val="115000"/>
              </a:schemeClr>
            </a:gs>
          </a:gsLst>
          <a:path path="circle">
            <a:fillToRect r="100000" b="100000"/>
          </a:path>
          <a:tileRect l="-100000" t="-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504825</xdr:colOff>
      <xdr:row>25</xdr:row>
      <xdr:rowOff>28575</xdr:rowOff>
    </xdr:from>
    <xdr:to>
      <xdr:col>16</xdr:col>
      <xdr:colOff>342900</xdr:colOff>
      <xdr:row>33</xdr:row>
      <xdr:rowOff>123825</xdr:rowOff>
    </xdr:to>
    <xdr:sp macro="" textlink="">
      <xdr:nvSpPr>
        <xdr:cNvPr id="33" name="Rectangle 32">
          <a:extLst>
            <a:ext uri="{FF2B5EF4-FFF2-40B4-BE49-F238E27FC236}">
              <a16:creationId xmlns:a16="http://schemas.microsoft.com/office/drawing/2014/main" id="{A36F6B52-1949-4C61-AA4B-9D9BBD25E548}"/>
            </a:ext>
          </a:extLst>
        </xdr:cNvPr>
        <xdr:cNvSpPr>
          <a:spLocks noChangeAspect="1"/>
        </xdr:cNvSpPr>
      </xdr:nvSpPr>
      <xdr:spPr>
        <a:xfrm>
          <a:off x="8429625" y="4791075"/>
          <a:ext cx="1666875" cy="1619250"/>
        </a:xfrm>
        <a:prstGeom prst="rect">
          <a:avLst/>
        </a:prstGeom>
        <a:gradFill flip="none" rotWithShape="1">
          <a:gsLst>
            <a:gs pos="0">
              <a:schemeClr val="accent1">
                <a:lumMod val="40000"/>
                <a:lumOff val="60000"/>
                <a:shade val="30000"/>
                <a:satMod val="115000"/>
              </a:schemeClr>
            </a:gs>
            <a:gs pos="50000">
              <a:schemeClr val="accent1">
                <a:lumMod val="40000"/>
                <a:lumOff val="60000"/>
                <a:shade val="67500"/>
                <a:satMod val="115000"/>
              </a:schemeClr>
            </a:gs>
            <a:gs pos="100000">
              <a:schemeClr val="accent1">
                <a:lumMod val="40000"/>
                <a:lumOff val="60000"/>
                <a:shade val="100000"/>
                <a:satMod val="115000"/>
              </a:schemeClr>
            </a:gs>
          </a:gsLst>
          <a:lin ang="81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571500</xdr:colOff>
      <xdr:row>23</xdr:row>
      <xdr:rowOff>133350</xdr:rowOff>
    </xdr:from>
    <xdr:to>
      <xdr:col>11</xdr:col>
      <xdr:colOff>342900</xdr:colOff>
      <xdr:row>35</xdr:row>
      <xdr:rowOff>0</xdr:rowOff>
    </xdr:to>
    <xdr:sp macro="" textlink="">
      <xdr:nvSpPr>
        <xdr:cNvPr id="34" name="Frame 33">
          <a:extLst>
            <a:ext uri="{FF2B5EF4-FFF2-40B4-BE49-F238E27FC236}">
              <a16:creationId xmlns:a16="http://schemas.microsoft.com/office/drawing/2014/main" id="{030B28B3-BDE6-4C21-A189-20EAE8B47DCB}"/>
            </a:ext>
          </a:extLst>
        </xdr:cNvPr>
        <xdr:cNvSpPr>
          <a:spLocks noChangeAspect="1"/>
        </xdr:cNvSpPr>
      </xdr:nvSpPr>
      <xdr:spPr>
        <a:xfrm>
          <a:off x="4838700" y="4514850"/>
          <a:ext cx="2209800" cy="2152650"/>
        </a:xfrm>
        <a:prstGeom prst="frame">
          <a:avLst/>
        </a:prstGeom>
        <a:gradFill flip="none" rotWithShape="1">
          <a:gsLst>
            <a:gs pos="0">
              <a:schemeClr val="tx2">
                <a:lumMod val="90000"/>
                <a:lumOff val="10000"/>
                <a:shade val="30000"/>
                <a:satMod val="115000"/>
              </a:schemeClr>
            </a:gs>
            <a:gs pos="50000">
              <a:schemeClr val="tx2">
                <a:lumMod val="90000"/>
                <a:lumOff val="10000"/>
                <a:shade val="67500"/>
                <a:satMod val="115000"/>
              </a:schemeClr>
            </a:gs>
            <a:gs pos="100000">
              <a:schemeClr val="tx2">
                <a:lumMod val="90000"/>
                <a:lumOff val="10000"/>
                <a:shade val="100000"/>
                <a:satMod val="115000"/>
              </a:scheme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8</xdr:col>
      <xdr:colOff>238125</xdr:colOff>
      <xdr:row>25</xdr:row>
      <xdr:rowOff>28575</xdr:rowOff>
    </xdr:from>
    <xdr:to>
      <xdr:col>11</xdr:col>
      <xdr:colOff>76200</xdr:colOff>
      <xdr:row>33</xdr:row>
      <xdr:rowOff>123825</xdr:rowOff>
    </xdr:to>
    <xdr:sp macro="" textlink="">
      <xdr:nvSpPr>
        <xdr:cNvPr id="35" name="Rectangle 34">
          <a:extLst>
            <a:ext uri="{FF2B5EF4-FFF2-40B4-BE49-F238E27FC236}">
              <a16:creationId xmlns:a16="http://schemas.microsoft.com/office/drawing/2014/main" id="{DF558957-8080-4092-B5FE-84F2EF45A9E9}"/>
            </a:ext>
          </a:extLst>
        </xdr:cNvPr>
        <xdr:cNvSpPr>
          <a:spLocks noChangeAspect="1"/>
        </xdr:cNvSpPr>
      </xdr:nvSpPr>
      <xdr:spPr>
        <a:xfrm>
          <a:off x="5114925" y="4791075"/>
          <a:ext cx="1666875" cy="16192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466725</xdr:colOff>
      <xdr:row>12</xdr:row>
      <xdr:rowOff>114300</xdr:rowOff>
    </xdr:from>
    <xdr:to>
      <xdr:col>10</xdr:col>
      <xdr:colOff>371475</xdr:colOff>
      <xdr:row>18</xdr:row>
      <xdr:rowOff>95250</xdr:rowOff>
    </xdr:to>
    <xdr:pic>
      <xdr:nvPicPr>
        <xdr:cNvPr id="39" name="Graphic 38" descr="Address Book with solid fill">
          <a:extLst>
            <a:ext uri="{FF2B5EF4-FFF2-40B4-BE49-F238E27FC236}">
              <a16:creationId xmlns:a16="http://schemas.microsoft.com/office/drawing/2014/main" id="{28C0D6DD-791C-101E-3CD6-955AA4078CDA}"/>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343525" y="2400300"/>
          <a:ext cx="1123950" cy="1123950"/>
        </a:xfrm>
        <a:prstGeom prst="rect">
          <a:avLst/>
        </a:prstGeom>
      </xdr:spPr>
    </xdr:pic>
    <xdr:clientData/>
  </xdr:twoCellAnchor>
  <xdr:twoCellAnchor>
    <xdr:from>
      <xdr:col>8</xdr:col>
      <xdr:colOff>476250</xdr:colOff>
      <xdr:row>18</xdr:row>
      <xdr:rowOff>9525</xdr:rowOff>
    </xdr:from>
    <xdr:to>
      <xdr:col>10</xdr:col>
      <xdr:colOff>352425</xdr:colOff>
      <xdr:row>19</xdr:row>
      <xdr:rowOff>152400</xdr:rowOff>
    </xdr:to>
    <xdr:sp macro="" textlink="">
      <xdr:nvSpPr>
        <xdr:cNvPr id="41" name="TextBox 40">
          <a:hlinkClick xmlns:r="http://schemas.openxmlformats.org/officeDocument/2006/relationships" r:id="rId1"/>
          <a:extLst>
            <a:ext uri="{FF2B5EF4-FFF2-40B4-BE49-F238E27FC236}">
              <a16:creationId xmlns:a16="http://schemas.microsoft.com/office/drawing/2014/main" id="{D5270326-ED4F-8490-8370-3F5C09020E76}"/>
            </a:ext>
          </a:extLst>
        </xdr:cNvPr>
        <xdr:cNvSpPr txBox="1"/>
      </xdr:nvSpPr>
      <xdr:spPr>
        <a:xfrm>
          <a:off x="5353050" y="3438525"/>
          <a:ext cx="10953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u="sng">
              <a:solidFill>
                <a:schemeClr val="bg1"/>
              </a:solidFill>
            </a:rPr>
            <a:t>Linkedin</a:t>
          </a:r>
        </a:p>
      </xdr:txBody>
    </xdr:sp>
    <xdr:clientData/>
  </xdr:twoCellAnchor>
  <xdr:twoCellAnchor editAs="oneCell">
    <xdr:from>
      <xdr:col>14</xdr:col>
      <xdr:colOff>247650</xdr:colOff>
      <xdr:row>13</xdr:row>
      <xdr:rowOff>38100</xdr:rowOff>
    </xdr:from>
    <xdr:to>
      <xdr:col>16</xdr:col>
      <xdr:colOff>0</xdr:colOff>
      <xdr:row>18</xdr:row>
      <xdr:rowOff>0</xdr:rowOff>
    </xdr:to>
    <xdr:pic>
      <xdr:nvPicPr>
        <xdr:cNvPr id="43" name="Graphic 42" descr="Camera with solid fill">
          <a:extLst>
            <a:ext uri="{FF2B5EF4-FFF2-40B4-BE49-F238E27FC236}">
              <a16:creationId xmlns:a16="http://schemas.microsoft.com/office/drawing/2014/main" id="{B13F662E-E23D-7C80-750A-93E2BD12AAD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782050" y="2514600"/>
          <a:ext cx="971550" cy="914400"/>
        </a:xfrm>
        <a:prstGeom prst="rect">
          <a:avLst/>
        </a:prstGeom>
      </xdr:spPr>
    </xdr:pic>
    <xdr:clientData/>
  </xdr:twoCellAnchor>
  <xdr:twoCellAnchor>
    <xdr:from>
      <xdr:col>14</xdr:col>
      <xdr:colOff>85725</xdr:colOff>
      <xdr:row>31</xdr:row>
      <xdr:rowOff>85725</xdr:rowOff>
    </xdr:from>
    <xdr:to>
      <xdr:col>16</xdr:col>
      <xdr:colOff>47625</xdr:colOff>
      <xdr:row>33</xdr:row>
      <xdr:rowOff>38100</xdr:rowOff>
    </xdr:to>
    <xdr:sp macro="" textlink="">
      <xdr:nvSpPr>
        <xdr:cNvPr id="44" name="TextBox 43">
          <a:hlinkClick xmlns:r="http://schemas.openxmlformats.org/officeDocument/2006/relationships" r:id="rId6"/>
          <a:extLst>
            <a:ext uri="{FF2B5EF4-FFF2-40B4-BE49-F238E27FC236}">
              <a16:creationId xmlns:a16="http://schemas.microsoft.com/office/drawing/2014/main" id="{FED672DD-CBDC-4785-B978-375A92B2EB70}"/>
            </a:ext>
          </a:extLst>
        </xdr:cNvPr>
        <xdr:cNvSpPr txBox="1"/>
      </xdr:nvSpPr>
      <xdr:spPr>
        <a:xfrm>
          <a:off x="8620125" y="5991225"/>
          <a:ext cx="11811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u="sng">
              <a:solidFill>
                <a:schemeClr val="bg1"/>
              </a:solidFill>
            </a:rPr>
            <a:t>Email</a:t>
          </a:r>
        </a:p>
        <a:p>
          <a:pPr algn="ctr"/>
          <a:endParaRPr lang="en-US" sz="1800" b="1" u="sng">
            <a:solidFill>
              <a:schemeClr val="bg1"/>
            </a:solidFill>
          </a:endParaRPr>
        </a:p>
      </xdr:txBody>
    </xdr:sp>
    <xdr:clientData/>
  </xdr:twoCellAnchor>
  <xdr:twoCellAnchor editAs="oneCell">
    <xdr:from>
      <xdr:col>9</xdr:col>
      <xdr:colOff>0</xdr:colOff>
      <xdr:row>27</xdr:row>
      <xdr:rowOff>0</xdr:rowOff>
    </xdr:from>
    <xdr:to>
      <xdr:col>10</xdr:col>
      <xdr:colOff>304800</xdr:colOff>
      <xdr:row>31</xdr:row>
      <xdr:rowOff>152400</xdr:rowOff>
    </xdr:to>
    <xdr:pic>
      <xdr:nvPicPr>
        <xdr:cNvPr id="46" name="Graphic 45" descr="Open folder with solid fill">
          <a:extLst>
            <a:ext uri="{FF2B5EF4-FFF2-40B4-BE49-F238E27FC236}">
              <a16:creationId xmlns:a16="http://schemas.microsoft.com/office/drawing/2014/main" id="{F1109880-9BC2-D803-2770-75606AF450A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486400" y="5143500"/>
          <a:ext cx="914400" cy="914400"/>
        </a:xfrm>
        <a:prstGeom prst="rect">
          <a:avLst/>
        </a:prstGeom>
      </xdr:spPr>
    </xdr:pic>
    <xdr:clientData/>
  </xdr:twoCellAnchor>
  <xdr:twoCellAnchor editAs="oneCell">
    <xdr:from>
      <xdr:col>14</xdr:col>
      <xdr:colOff>95250</xdr:colOff>
      <xdr:row>17</xdr:row>
      <xdr:rowOff>123825</xdr:rowOff>
    </xdr:from>
    <xdr:to>
      <xdr:col>16</xdr:col>
      <xdr:colOff>138031</xdr:colOff>
      <xdr:row>20</xdr:row>
      <xdr:rowOff>58337</xdr:rowOff>
    </xdr:to>
    <xdr:pic>
      <xdr:nvPicPr>
        <xdr:cNvPr id="48" name="Picture 47">
          <a:extLst>
            <a:ext uri="{FF2B5EF4-FFF2-40B4-BE49-F238E27FC236}">
              <a16:creationId xmlns:a16="http://schemas.microsoft.com/office/drawing/2014/main" id="{47109642-68DC-313F-C758-767D2A962A96}"/>
            </a:ext>
          </a:extLst>
        </xdr:cNvPr>
        <xdr:cNvPicPr>
          <a:picLocks noChangeAspect="1"/>
        </xdr:cNvPicPr>
      </xdr:nvPicPr>
      <xdr:blipFill>
        <a:blip xmlns:r="http://schemas.openxmlformats.org/officeDocument/2006/relationships" r:embed="rId9"/>
        <a:stretch>
          <a:fillRect/>
        </a:stretch>
      </xdr:blipFill>
      <xdr:spPr>
        <a:xfrm>
          <a:off x="8629650" y="3362325"/>
          <a:ext cx="1261981" cy="506012"/>
        </a:xfrm>
        <a:prstGeom prst="rect">
          <a:avLst/>
        </a:prstGeom>
      </xdr:spPr>
    </xdr:pic>
    <xdr:clientData/>
  </xdr:twoCellAnchor>
  <xdr:twoCellAnchor editAs="oneCell">
    <xdr:from>
      <xdr:col>14</xdr:col>
      <xdr:colOff>219075</xdr:colOff>
      <xdr:row>26</xdr:row>
      <xdr:rowOff>95250</xdr:rowOff>
    </xdr:from>
    <xdr:to>
      <xdr:col>15</xdr:col>
      <xdr:colOff>523875</xdr:colOff>
      <xdr:row>31</xdr:row>
      <xdr:rowOff>57150</xdr:rowOff>
    </xdr:to>
    <xdr:pic>
      <xdr:nvPicPr>
        <xdr:cNvPr id="50" name="Graphic 49" descr="Email with solid fill">
          <a:extLst>
            <a:ext uri="{FF2B5EF4-FFF2-40B4-BE49-F238E27FC236}">
              <a16:creationId xmlns:a16="http://schemas.microsoft.com/office/drawing/2014/main" id="{767634DE-FF04-0901-B941-4BEA58E3B7F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8753475" y="5048250"/>
          <a:ext cx="914400" cy="914400"/>
        </a:xfrm>
        <a:prstGeom prst="rect">
          <a:avLst/>
        </a:prstGeom>
      </xdr:spPr>
    </xdr:pic>
    <xdr:clientData/>
  </xdr:twoCellAnchor>
  <xdr:twoCellAnchor editAs="oneCell">
    <xdr:from>
      <xdr:col>8</xdr:col>
      <xdr:colOff>495300</xdr:colOff>
      <xdr:row>31</xdr:row>
      <xdr:rowOff>47625</xdr:rowOff>
    </xdr:from>
    <xdr:to>
      <xdr:col>10</xdr:col>
      <xdr:colOff>403958</xdr:colOff>
      <xdr:row>33</xdr:row>
      <xdr:rowOff>172637</xdr:rowOff>
    </xdr:to>
    <xdr:pic>
      <xdr:nvPicPr>
        <xdr:cNvPr id="52" name="Picture 51">
          <a:extLst>
            <a:ext uri="{FF2B5EF4-FFF2-40B4-BE49-F238E27FC236}">
              <a16:creationId xmlns:a16="http://schemas.microsoft.com/office/drawing/2014/main" id="{B1F677EC-0030-204B-6316-577E7EE4E1D8}"/>
            </a:ext>
          </a:extLst>
        </xdr:cNvPr>
        <xdr:cNvPicPr>
          <a:picLocks noChangeAspect="1"/>
        </xdr:cNvPicPr>
      </xdr:nvPicPr>
      <xdr:blipFill>
        <a:blip xmlns:r="http://schemas.openxmlformats.org/officeDocument/2006/relationships" r:embed="rId12"/>
        <a:stretch>
          <a:fillRect/>
        </a:stretch>
      </xdr:blipFill>
      <xdr:spPr>
        <a:xfrm>
          <a:off x="5372100" y="5953125"/>
          <a:ext cx="1127858" cy="506012"/>
        </a:xfrm>
        <a:prstGeom prst="rect">
          <a:avLst/>
        </a:prstGeom>
      </xdr:spPr>
    </xdr:pic>
    <xdr:clientData/>
  </xdr:twoCellAnchor>
  <xdr:twoCellAnchor>
    <xdr:from>
      <xdr:col>18</xdr:col>
      <xdr:colOff>200025</xdr:colOff>
      <xdr:row>12</xdr:row>
      <xdr:rowOff>57149</xdr:rowOff>
    </xdr:from>
    <xdr:to>
      <xdr:col>24</xdr:col>
      <xdr:colOff>95250</xdr:colOff>
      <xdr:row>31</xdr:row>
      <xdr:rowOff>123825</xdr:rowOff>
    </xdr:to>
    <xdr:sp macro="" textlink="">
      <xdr:nvSpPr>
        <xdr:cNvPr id="53" name="TextBox 52">
          <a:extLst>
            <a:ext uri="{FF2B5EF4-FFF2-40B4-BE49-F238E27FC236}">
              <a16:creationId xmlns:a16="http://schemas.microsoft.com/office/drawing/2014/main" id="{5B4FF52F-788F-C573-43F9-4957CF26419A}"/>
            </a:ext>
          </a:extLst>
        </xdr:cNvPr>
        <xdr:cNvSpPr txBox="1"/>
      </xdr:nvSpPr>
      <xdr:spPr>
        <a:xfrm>
          <a:off x="11172825" y="2343149"/>
          <a:ext cx="3552825" cy="3686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latin typeface="Abadi" panose="020F0502020204030204" pitchFamily="34" charset="0"/>
            </a:rPr>
            <a:t>Notes</a:t>
          </a:r>
        </a:p>
        <a:p>
          <a:pPr algn="l"/>
          <a:endParaRPr lang="en-US" sz="1200" b="1" u="sng">
            <a:latin typeface="Abadi" panose="020F0502020204030204" pitchFamily="34" charset="0"/>
          </a:endParaRPr>
        </a:p>
        <a:p>
          <a:pPr algn="ctr"/>
          <a:r>
            <a:rPr lang="en-US" sz="1200"/>
            <a:t>Feel free to reach out with any suggestions, concerns, or comments</a:t>
          </a:r>
          <a:r>
            <a:rPr lang="en-US" sz="1200" baseline="0"/>
            <a:t>, </a:t>
          </a:r>
          <a:r>
            <a:rPr lang="en-US" sz="1200"/>
            <a:t>I’ll be happy to listen and respond thoughtfully.</a:t>
          </a:r>
        </a:p>
        <a:p>
          <a:pPr algn="ctr"/>
          <a:endParaRPr lang="en-US" sz="1200"/>
        </a:p>
        <a:p>
          <a:pPr algn="ctr"/>
          <a:endParaRPr lang="en-US" sz="1200"/>
        </a:p>
        <a:p>
          <a:pPr algn="ctr"/>
          <a:endParaRPr lang="en-US" sz="1200"/>
        </a:p>
        <a:p>
          <a:pPr algn="ctr"/>
          <a:endParaRPr lang="en-US" sz="1200"/>
        </a:p>
        <a:p>
          <a:pPr algn="ctr"/>
          <a:r>
            <a:rPr lang="en-US" sz="1200"/>
            <a:t>This is my first Normative Database, and I already have ideas for many more to come. Stay tuned if you found this one helpful, I will be sharing more soon.</a:t>
          </a:r>
          <a:endParaRPr lang="en-US" sz="1200" b="0" u="none">
            <a:latin typeface="Abadi" panose="020F0502020204030204" pitchFamily="34" charset="0"/>
          </a:endParaRPr>
        </a:p>
        <a:p>
          <a:pPr algn="ctr"/>
          <a:endParaRPr lang="en-US" sz="1200" b="0" u="none">
            <a:latin typeface="Abadi" panose="020F0502020204030204" pitchFamily="34" charset="0"/>
          </a:endParaRPr>
        </a:p>
        <a:p>
          <a:pPr algn="ctr"/>
          <a:endParaRPr lang="en-US" sz="1200" b="0" u="none">
            <a:latin typeface="Abadi" panose="020F0502020204030204" pitchFamily="34" charset="0"/>
          </a:endParaRPr>
        </a:p>
        <a:p>
          <a:pPr algn="ctr"/>
          <a:r>
            <a:rPr lang="en-US" sz="1200" b="0" u="none">
              <a:latin typeface="Abadi" panose="020F0502020204030204" pitchFamily="34" charset="0"/>
            </a:rPr>
            <a:t>Email:</a:t>
          </a:r>
          <a:r>
            <a:rPr lang="en-US" sz="1200" b="0" u="none" baseline="0">
              <a:latin typeface="Abadi" panose="020F0502020204030204" pitchFamily="34" charset="0"/>
            </a:rPr>
            <a:t> Ianquinton502@gmail.com</a:t>
          </a:r>
          <a:endParaRPr lang="en-US" sz="1200" b="0" u="none">
            <a:latin typeface="Abadi" panose="020F0502020204030204" pitchFamily="34" charset="0"/>
          </a:endParaRPr>
        </a:p>
      </xdr:txBody>
    </xdr:sp>
    <xdr:clientData/>
  </xdr:twoCellAnchor>
  <xdr:twoCellAnchor editAs="oneCell">
    <xdr:from>
      <xdr:col>4</xdr:col>
      <xdr:colOff>0</xdr:colOff>
      <xdr:row>0</xdr:row>
      <xdr:rowOff>0</xdr:rowOff>
    </xdr:from>
    <xdr:to>
      <xdr:col>5</xdr:col>
      <xdr:colOff>306161</xdr:colOff>
      <xdr:row>4</xdr:row>
      <xdr:rowOff>158003</xdr:rowOff>
    </xdr:to>
    <xdr:pic>
      <xdr:nvPicPr>
        <xdr:cNvPr id="3" name="Graphic 2" descr="Arrow: Horizontal U-turn with solid fill">
          <a:hlinkClick xmlns:r="http://schemas.openxmlformats.org/officeDocument/2006/relationships" r:id="rId13"/>
          <a:extLst>
            <a:ext uri="{FF2B5EF4-FFF2-40B4-BE49-F238E27FC236}">
              <a16:creationId xmlns:a16="http://schemas.microsoft.com/office/drawing/2014/main" id="{3AFB9E36-4F0C-40C0-AFAB-0D2A88AB2E9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438400" y="0"/>
          <a:ext cx="915761" cy="92000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an Quinton" id="{FB5D25D0-FDF8-4ED8-97DD-1220F0068CB7}" userId="S::quinton@pt.usc.edu::5485817a-b9ac-4dfe-a1ef-aa825caf61df"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an Quinton" refreshedDate="45991.753948726851" createdVersion="8" refreshedVersion="8" minRefreshableVersion="3" recordCount="105" xr:uid="{93F20EEE-7706-4603-B53C-A5CBE17807A1}">
  <cacheSource type="worksheet">
    <worksheetSource name="Table3"/>
  </cacheSource>
  <cacheFields count="44">
    <cacheField name="Degrees" numFmtId="0">
      <sharedItems containsSemiMixedTypes="0" containsString="0" containsNumber="1" containsInteger="1" minValue="30" maxValue="300" count="7">
        <n v="30"/>
        <n v="120"/>
        <n v="60"/>
        <n v="180"/>
        <n v="300"/>
        <n v="150"/>
        <n v="90"/>
      </sharedItems>
    </cacheField>
    <cacheField name="Notes" numFmtId="0">
      <sharedItems containsBlank="1"/>
    </cacheField>
    <cacheField name="Source" numFmtId="0">
      <sharedItems containsBlank="1" count="13">
        <s v="Gonosova"/>
        <s v="Fousekis"/>
        <s v="Kai"/>
        <s v="Song"/>
        <s v="Bradic"/>
        <s v="Payne"/>
        <s v="Tuominen"/>
        <s v="Silva"/>
        <s v="Sekir"/>
        <s v="Gerodimos"/>
        <s v="Wang"/>
        <s v="Ordway"/>
        <m u="1"/>
      </sharedItems>
    </cacheField>
    <cacheField name="Year" numFmtId="0">
      <sharedItems containsString="0" containsBlank="1" containsNumber="1" containsInteger="1" minValue="1994" maxValue="2024" count="9">
        <n v="2018"/>
        <n v="2010"/>
        <n v="1994"/>
        <n v="2024"/>
        <m/>
        <n v="1997"/>
        <n v="2015"/>
        <n v="2007"/>
        <n v="2006"/>
      </sharedItems>
    </cacheField>
    <cacheField name="Sport" numFmtId="0">
      <sharedItems containsBlank="1" count="5">
        <s v="Gen Pop"/>
        <s v="Soccer"/>
        <s v="Track"/>
        <s v="Basketball"/>
        <m u="1"/>
      </sharedItems>
    </cacheField>
    <cacheField name="Group" numFmtId="0">
      <sharedItems containsBlank="1" count="7">
        <s v="Adults"/>
        <s v="Professional "/>
        <s v="Elite"/>
        <s v="Gen Pop"/>
        <s v="Youth"/>
        <s v="Eldery"/>
        <m u="1"/>
      </sharedItems>
    </cacheField>
    <cacheField name="Positions" numFmtId="0">
      <sharedItems containsBlank="1" count="13">
        <s v="N/A"/>
        <s v="Sprinters"/>
        <s v="B.Guards"/>
        <s v="B.Forwards"/>
        <s v="B.Centers"/>
        <s v="S.Defense"/>
        <s v="S.Midfield"/>
        <s v="S.Forwarders"/>
        <s v="B.Gaurds" u="1"/>
        <m u="1"/>
        <s v="Guards" u="1"/>
        <s v="Forwards" u="1"/>
        <s v="Center" u="1"/>
      </sharedItems>
    </cacheField>
    <cacheField name="Average Age" numFmtId="0">
      <sharedItems containsSemiMixedTypes="0" containsString="0" containsNumber="1" minValue="12" maxValue="72"/>
    </cacheField>
    <cacheField name="Age.SD" numFmtId="0">
      <sharedItems containsBlank="1" containsMixedTypes="1" containsNumber="1" minValue="1.1000000000000001" maxValue="10.5"/>
    </cacheField>
    <cacheField name="N" numFmtId="0">
      <sharedItems containsSemiMixedTypes="0" containsString="0" containsNumber="1" containsInteger="1" minValue="6" maxValue="100" count="20">
        <n v="20"/>
        <n v="100"/>
        <n v="10"/>
        <n v="25"/>
        <n v="15"/>
        <n v="14"/>
        <n v="31"/>
        <n v="11"/>
        <n v="22"/>
        <n v="24"/>
        <n v="30"/>
        <n v="18"/>
        <n v="66"/>
        <n v="16"/>
        <n v="17"/>
        <n v="21"/>
        <n v="6"/>
        <n v="7"/>
        <n v="8"/>
        <n v="12"/>
      </sharedItems>
    </cacheField>
    <cacheField name="Abbreviations Key" numFmtId="0">
      <sharedItems containsBlank="1"/>
    </cacheField>
    <cacheField name="Gender" numFmtId="0">
      <sharedItems containsBlank="1" count="5">
        <s v="Mixed"/>
        <s v="Male"/>
        <s v="Female"/>
        <s v="Women" u="1"/>
        <m u="1"/>
      </sharedItems>
    </cacheField>
    <cacheField name="Directon" numFmtId="0">
      <sharedItems containsBlank="1" count="3">
        <s v="Concentric"/>
        <s v="Eccentric"/>
        <m u="1"/>
      </sharedItems>
    </cacheField>
    <cacheField name="Machine Type" numFmtId="0">
      <sharedItems containsBlank="1" count="6">
        <s v="Isomed 2000"/>
        <s v="Biodex"/>
        <s v="Cybex"/>
        <s v="CSMI"/>
        <s v="Bodiex"/>
        <m u="1"/>
      </sharedItems>
    </cacheField>
    <cacheField name="Primary Units" numFmtId="0">
      <sharedItems containsBlank="1" count="2">
        <s v="Nm"/>
        <m u="1"/>
      </sharedItems>
    </cacheField>
    <cacheField name="Dorsal Flexion, Peak Torque" numFmtId="0">
      <sharedItems containsBlank="1" containsMixedTypes="1" containsNumber="1" minValue="8.5" maxValue="55.2"/>
    </cacheField>
    <cacheField name="SD" numFmtId="0">
      <sharedItems containsString="0" containsBlank="1" containsNumber="1" minValue="3" maxValue="14.6"/>
    </cacheField>
    <cacheField name="Plantar Flexion, Peak Torque" numFmtId="0">
      <sharedItems containsString="0" containsBlank="1" containsNumber="1" minValue="23" maxValue="215"/>
    </cacheField>
    <cacheField name="PF.SD" numFmtId="0">
      <sharedItems containsString="0" containsBlank="1" containsNumber="1" minValue="5.5" maxValue="41.9"/>
    </cacheField>
    <cacheField name="Inversion, Peak Torque" numFmtId="0">
      <sharedItems containsString="0" containsBlank="1" containsNumber="1" minValue="10.4" maxValue="46.47"/>
    </cacheField>
    <cacheField name="IV.SD" numFmtId="0">
      <sharedItems containsString="0" containsBlank="1" containsNumber="1" minValue="1.56" maxValue="15.46"/>
    </cacheField>
    <cacheField name="Eversion, Peak Torque" numFmtId="0">
      <sharedItems containsString="0" containsBlank="1" containsNumber="1" minValue="10.3" maxValue="45.74"/>
    </cacheField>
    <cacheField name="EV.SD" numFmtId="0">
      <sharedItems containsString="0" containsBlank="1" containsNumber="1" minValue="1.8" maxValue="17.489999999999998"/>
    </cacheField>
    <cacheField name="Dorsi Flexion Pk Torque/BW" numFmtId="0">
      <sharedItems containsString="0" containsBlank="1" containsNumber="1" minValue="0.16" maxValue="0.34"/>
    </cacheField>
    <cacheField name="DF.BW.SD" numFmtId="0">
      <sharedItems containsString="0" containsBlank="1" containsNumber="1" minValue="0.04" maxValue="0.08"/>
    </cacheField>
    <cacheField name="Flex Pk Torque/BW" numFmtId="0">
      <sharedItems containsNonDate="0" containsString="0" containsBlank="1"/>
    </cacheField>
    <cacheField name="Inversion PkTorque/BW" numFmtId="0">
      <sharedItems containsString="0" containsBlank="1" containsNumber="1" minValue="0.3" maxValue="0.45"/>
    </cacheField>
    <cacheField name="SD2" numFmtId="0">
      <sharedItems containsString="0" containsBlank="1" containsNumber="1" minValue="6.0000000000000001E-3" maxValue="0.08"/>
    </cacheField>
    <cacheField name="Eversion PkTorque/BW" numFmtId="0">
      <sharedItems containsString="0" containsBlank="1" containsNumber="1" minValue="0.25" maxValue="0.36"/>
    </cacheField>
    <cacheField name="SD3" numFmtId="0">
      <sharedItems containsString="0" containsBlank="1" containsNumber="1" minValue="5.0000000000000001E-3" maxValue="7.0000000000000007E-2"/>
    </cacheField>
    <cacheField name="Fl.BW.SD" numFmtId="0">
      <sharedItems containsNonDate="0" containsString="0" containsBlank="1"/>
    </cacheField>
    <cacheField name="Power DF (Watt)" numFmtId="0">
      <sharedItems containsString="0" containsBlank="1" containsNumber="1" minValue="42.2" maxValue="123.5"/>
    </cacheField>
    <cacheField name="P.DF.SD" numFmtId="0">
      <sharedItems containsString="0" containsBlank="1" containsNumber="1" minValue="8.1999999999999993" maxValue="18.3"/>
    </cacheField>
    <cacheField name="Power PF (Watt)" numFmtId="0">
      <sharedItems containsString="0" containsBlank="1" containsNumber="1" minValue="82.6" maxValue="217.6"/>
    </cacheField>
    <cacheField name="P.PF.SD" numFmtId="0">
      <sharedItems containsString="0" containsBlank="1" containsNumber="1" minValue="10.3" maxValue="22.1"/>
    </cacheField>
    <cacheField name="Power Eve (Watt)2" numFmtId="0">
      <sharedItems containsNonDate="0" containsString="0" containsBlank="1"/>
    </cacheField>
    <cacheField name="P.E.SD" numFmtId="0">
      <sharedItems containsNonDate="0" containsString="0" containsBlank="1"/>
    </cacheField>
    <cacheField name="P.INV.SD" numFmtId="0">
      <sharedItems containsNonDate="0" containsString="0" containsBlank="1"/>
    </cacheField>
    <cacheField name="Dorsiflexion Work (Joule)" numFmtId="0">
      <sharedItems containsString="0" containsBlank="1" containsNumber="1" minValue="8" maxValue="173.8"/>
    </cacheField>
    <cacheField name="DF.W.SD" numFmtId="0">
      <sharedItems containsString="0" containsBlank="1" containsNumber="1" minValue="2" maxValue="36.9"/>
    </cacheField>
    <cacheField name="Plantar Flexion (Joule)" numFmtId="0">
      <sharedItems containsString="0" containsBlank="1" containsNumber="1" minValue="15" maxValue="356.9"/>
    </cacheField>
    <cacheField name="PF.W.SD" numFmtId="0">
      <sharedItems containsString="0" containsBlank="1" containsNumber="1" minValue="7" maxValue="61"/>
    </cacheField>
    <cacheField name="Ratio" numFmtId="0">
      <sharedItems containsString="0" containsBlank="1" containsNumber="1" minValue="0.89" maxValue="103.2"/>
    </cacheField>
    <cacheField name="Ratio.SD" numFmtId="0">
      <sharedItems containsString="0" containsBlank="1" containsNumber="1" minValue="0.14000000000000001" maxValue="22"/>
    </cacheField>
  </cacheFields>
  <extLst>
    <ext xmlns:x14="http://schemas.microsoft.com/office/spreadsheetml/2009/9/main" uri="{725AE2AE-9491-48be-B2B4-4EB974FC3084}">
      <x14:pivotCacheDefinition pivotCacheId="13818881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an Quinton" refreshedDate="45991.753949305552" createdVersion="8" refreshedVersion="8" minRefreshableVersion="3" recordCount="146" xr:uid="{7BABB2F6-6442-47F9-8CB5-3382E2895893}">
  <cacheSource type="worksheet">
    <worksheetSource name="Table1"/>
  </cacheSource>
  <cacheFields count="37">
    <cacheField name="Degrees" numFmtId="0">
      <sharedItems containsSemiMixedTypes="0" containsString="0" containsNumber="1" containsInteger="1" minValue="60" maxValue="300" count="7">
        <n v="90"/>
        <n v="210"/>
        <n v="300"/>
        <n v="60"/>
        <n v="180"/>
        <n v="120"/>
        <n v="240"/>
      </sharedItems>
    </cacheField>
    <cacheField name="Notes" numFmtId="0">
      <sharedItems containsBlank="1"/>
    </cacheField>
    <cacheField name="Source" numFmtId="0">
      <sharedItems count="16">
        <s v="Kuhlman"/>
        <s v="Ellenbecker"/>
        <s v=" Batalha"/>
        <s v="Clements"/>
        <s v="Lira"/>
        <s v="Dodds"/>
        <s v="Laudner"/>
        <s v="Brito"/>
        <s v="Tyler"/>
        <s v="Saccol"/>
        <s v="Andrade"/>
        <s v="Batalha"/>
        <s v="Mulligan"/>
        <s v="Dale"/>
        <s v="Wang"/>
        <s v="El-Ashker"/>
      </sharedItems>
    </cacheField>
    <cacheField name="Year" numFmtId="0">
      <sharedItems containsSemiMixedTypes="0" containsString="0" containsNumber="1" containsInteger="1" minValue="1992" maxValue="2022"/>
    </cacheField>
    <cacheField name="Sport" numFmtId="0">
      <sharedItems count="10">
        <s v="Gen Pop"/>
        <s v="Baseball"/>
        <s v="Swimming"/>
        <s v="Volleyball"/>
        <s v="Tennis"/>
        <s v="Handball"/>
        <s v="Karate"/>
        <s v="Judo"/>
        <s v="Boxing"/>
        <s v="Taekwondo"/>
      </sharedItems>
    </cacheField>
    <cacheField name="Group" numFmtId="0">
      <sharedItems count="5">
        <s v="Adults"/>
        <s v="Elderly "/>
        <s v="Professional"/>
        <s v="Adolescent"/>
        <s v="Elite"/>
      </sharedItems>
    </cacheField>
    <cacheField name="Positions" numFmtId="0">
      <sharedItems count="8">
        <s v="N/A"/>
        <s v="Pitchers"/>
        <s v="Fielders"/>
        <s v="Patients"/>
        <s v="Controls"/>
        <s v="Boys"/>
        <s v="Girls"/>
        <s v="Swimmers"/>
      </sharedItems>
    </cacheField>
    <cacheField name="Average Age" numFmtId="1">
      <sharedItems containsSemiMixedTypes="0" containsString="0" containsNumber="1" minValue="13.28" maxValue="58"/>
    </cacheField>
    <cacheField name="Age.SD" numFmtId="0">
      <sharedItems containsString="0" containsBlank="1" containsNumber="1" minValue="0.47299999999999998" maxValue="12"/>
    </cacheField>
    <cacheField name="N" numFmtId="0">
      <sharedItems containsSemiMixedTypes="0" containsString="0" containsNumber="1" containsInteger="1" minValue="9" maxValue="125" count="15">
        <n v="21"/>
        <n v="9"/>
        <n v="125"/>
        <n v="25"/>
        <n v="18"/>
        <n v="28"/>
        <n v="30"/>
        <n v="20"/>
        <n v="17"/>
        <n v="22"/>
        <n v="26"/>
        <n v="14"/>
        <n v="27"/>
        <n v="60"/>
        <n v="10"/>
      </sharedItems>
    </cacheField>
    <cacheField name="Abbreviations Key" numFmtId="0">
      <sharedItems/>
    </cacheField>
    <cacheField name="Gender" numFmtId="0">
      <sharedItems count="4">
        <s v="Male"/>
        <s v="Female"/>
        <s v="Mixed"/>
        <s v="Women" u="1"/>
      </sharedItems>
    </cacheField>
    <cacheField name="Directon" numFmtId="0">
      <sharedItems count="2">
        <s v="Concentric"/>
        <s v="Eccentric"/>
      </sharedItems>
    </cacheField>
    <cacheField name="Machine Type" numFmtId="0">
      <sharedItems count="4">
        <s v="Biodex"/>
        <s v="Cybex"/>
        <s v="CSMi"/>
        <s v="Kin-Com AP"/>
      </sharedItems>
    </cacheField>
    <cacheField name="Units" numFmtId="0">
      <sharedItems count="5">
        <s v="Nm"/>
        <s v="Nm/kg"/>
        <s v="ft-lb"/>
        <s v="Newtons"/>
        <s v="N'*m" u="1"/>
      </sharedItems>
    </cacheField>
    <cacheField name="External Rotation" numFmtId="0">
      <sharedItems containsString="0" containsBlank="1" containsNumber="1" minValue="6.97" maxValue="136.5"/>
    </cacheField>
    <cacheField name="Ext.SD" numFmtId="0">
      <sharedItems containsString="0" containsBlank="1" containsNumber="1" minValue="1.9" maxValue="31.4"/>
    </cacheField>
    <cacheField name="Internal Rotation" numFmtId="0">
      <sharedItems containsBlank="1" containsMixedTypes="1" containsNumber="1" minValue="11.03" maxValue="242.8"/>
    </cacheField>
    <cacheField name="Int.SD" numFmtId="0">
      <sharedItems containsString="0" containsBlank="1" containsNumber="1" minValue="2.6" maxValue="37"/>
    </cacheField>
    <cacheField name="Peak.TQBW _Ext.Rotation" numFmtId="0">
      <sharedItems containsBlank="1" containsMixedTypes="1" containsNumber="1" minValue="0.38" maxValue="43.2"/>
    </cacheField>
    <cacheField name="BW.EXT.SD" numFmtId="0">
      <sharedItems containsString="0" containsBlank="1" containsNumber="1" minValue="8.0000000000000002E-3" maxValue="12.5"/>
    </cacheField>
    <cacheField name="Peak.TQBW _Int.Rotation" numFmtId="0">
      <sharedItems containsBlank="1" containsMixedTypes="1" containsNumber="1" minValue="0.56999999999999995" maxValue="66.8"/>
    </cacheField>
    <cacheField name="BW.Int.SD" numFmtId="0">
      <sharedItems containsString="0" containsBlank="1" containsNumber="1" minValue="0.03" maxValue="17.7"/>
    </cacheField>
    <cacheField name="Flexion" numFmtId="0">
      <sharedItems containsString="0" containsBlank="1" containsNumber="1" minValue="31.9" maxValue="89.42"/>
    </cacheField>
    <cacheField name="Flex.SD" numFmtId="0">
      <sharedItems containsString="0" containsBlank="1" containsNumber="1" minValue="1.9" maxValue="14.17"/>
    </cacheField>
    <cacheField name="Extension" numFmtId="0">
      <sharedItems containsString="0" containsBlank="1" containsNumber="1" minValue="30.8" maxValue="96.23"/>
    </cacheField>
    <cacheField name="Ext.SD2" numFmtId="0">
      <sharedItems containsString="0" containsBlank="1" containsNumber="1" minValue="2.2000000000000002" maxValue="13.24"/>
    </cacheField>
    <cacheField name="Power Ext (Watt)" numFmtId="0">
      <sharedItems containsString="0" containsBlank="1" containsNumber="1" minValue="17" maxValue="25.4"/>
    </cacheField>
    <cacheField name="Pwr.Ext.SD" numFmtId="0">
      <sharedItems containsString="0" containsBlank="1" containsNumber="1" minValue="6.5" maxValue="9.6999999999999993"/>
    </cacheField>
    <cacheField name="Power Int (Watt)" numFmtId="0">
      <sharedItems containsString="0" containsBlank="1" containsNumber="1" minValue="27" maxValue="63.3"/>
    </cacheField>
    <cacheField name="Pwr.Int.SD" numFmtId="0">
      <sharedItems containsString="0" containsBlank="1" containsNumber="1" minValue="7.1" maxValue="33.200000000000003"/>
    </cacheField>
    <cacheField name="Work Ext (Joule)" numFmtId="0">
      <sharedItems containsString="0" containsBlank="1" containsNumber="1" minValue="33.4" maxValue="263.2"/>
    </cacheField>
    <cacheField name="Work.Ext.SD" numFmtId="0">
      <sharedItems containsString="0" containsBlank="1" containsNumber="1" minValue="9.9" maxValue="89"/>
    </cacheField>
    <cacheField name="Work  Int(Joule)" numFmtId="0">
      <sharedItems containsString="0" containsBlank="1" containsNumber="1" minValue="45.7" maxValue="541.6"/>
    </cacheField>
    <cacheField name="Work.Int.SD" numFmtId="0">
      <sharedItems containsString="0" containsBlank="1" containsNumber="1" minValue="13.9" maxValue="244.5"/>
    </cacheField>
    <cacheField name="ER/IR Ratio" numFmtId="0">
      <sharedItems containsBlank="1" containsMixedTypes="1" containsNumber="1" minValue="0.51" maxValue="92.81"/>
    </cacheField>
    <cacheField name="Ratio.SD" numFmtId="0">
      <sharedItems containsBlank="1" containsMixedTypes="1" containsNumber="1" minValue="0.12" maxValue="22.08"/>
    </cacheField>
  </cacheFields>
  <extLst>
    <ext xmlns:x14="http://schemas.microsoft.com/office/spreadsheetml/2009/9/main" uri="{725AE2AE-9491-48be-B2B4-4EB974FC3084}">
      <x14:pivotCacheDefinition pivotCacheId="135708368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an Quinton" refreshedDate="45991.753949768521" createdVersion="8" refreshedVersion="8" minRefreshableVersion="3" recordCount="250" xr:uid="{80112D61-2DBC-4EAB-894F-9EE84C549A4C}">
  <cacheSource type="worksheet">
    <worksheetSource name="KneeTable"/>
  </cacheSource>
  <cacheFields count="34">
    <cacheField name="Degrees" numFmtId="0">
      <sharedItems containsSemiMixedTypes="0" containsString="0" containsNumber="1" containsInteger="1" minValue="60" maxValue="300" count="5">
        <n v="60"/>
        <n v="300"/>
        <n v="180"/>
        <n v="240"/>
        <n v="120"/>
      </sharedItems>
    </cacheField>
    <cacheField name="Notes" numFmtId="0">
      <sharedItems containsBlank="1"/>
    </cacheField>
    <cacheField name="Source" numFmtId="0">
      <sharedItems containsBlank="1" count="35">
        <s v="Bamaç"/>
        <s v="Baumgart"/>
        <s v="Bonetti"/>
        <s v="Bradic"/>
        <s v="Cvjetovic"/>
        <s v="El-Ashker"/>
        <s v="Fenandez"/>
        <s v="Fousekis"/>
        <s v="Franca"/>
        <s v="Gorski"/>
        <s v="Henderson"/>
        <s v="Housh"/>
        <s v="Kabacinski"/>
        <s v="Lategan"/>
        <s v="Pekel"/>
        <s v="Perry"/>
        <s v="Rave"/>
        <s v="Read"/>
        <s v="Risberg"/>
        <s v="Rouis"/>
        <s v="Santos"/>
        <s v="Schlitz"/>
        <s v="Silva"/>
        <s v="Takey"/>
        <s v="Tatlıcıoğlu"/>
        <s v="Theoharopoulos"/>
        <s v="Tuominen"/>
        <s v="Wilk"/>
        <s v="Wilkosz"/>
        <s v="Wrzesień"/>
        <s v="Zvijac"/>
        <s v="Eischen" u="1"/>
        <s v="Iron" u="1"/>
        <s v="Taco" u="1"/>
        <m u="1"/>
      </sharedItems>
    </cacheField>
    <cacheField name="Year" numFmtId="0">
      <sharedItems containsSemiMixedTypes="0" containsString="0" containsNumber="1" containsInteger="1" minValue="1988" maxValue="2025"/>
    </cacheField>
    <cacheField name="Sport" numFmtId="0">
      <sharedItems containsBlank="1" count="15">
        <s v="Volleyball"/>
        <s v="Basketball"/>
        <s v="Gen Pop"/>
        <s v="Mixed Sport"/>
        <s v="Soccer"/>
        <s v="Karate"/>
        <s v="Judo"/>
        <s v="Boxing"/>
        <s v="Taekwondo"/>
        <s v="Football"/>
        <s v="Tennis"/>
        <s v="Handball"/>
        <s v="Mixed" u="1"/>
        <m u="1"/>
        <s v="Handball " u="1"/>
      </sharedItems>
    </cacheField>
    <cacheField name="Group" numFmtId="0">
      <sharedItems containsBlank="1" count="10">
        <s v="Elite"/>
        <s v="Adults"/>
        <s v="Youth"/>
        <s v="Professional"/>
        <s v="Elderly"/>
        <s v="Junior"/>
        <s v="Gen Pop" u="1"/>
        <s v="Professional " u="1"/>
        <m u="1"/>
        <s v="l" u="1"/>
      </sharedItems>
    </cacheField>
    <cacheField name="Positions" numFmtId="0">
      <sharedItems containsBlank="1" count="34">
        <s v="N/A"/>
        <s v="S.Defense"/>
        <s v="S.Midfield"/>
        <s v="S.Forwarders"/>
        <s v="B.Guards"/>
        <s v="B.Forwards"/>
        <s v="B.Centers"/>
        <s v="S.Goalkeeper"/>
        <s v="S.Striker"/>
        <s v="F.Offensive Back"/>
        <s v="F.Offensive Line"/>
        <s v="F.Defensive Back"/>
        <s v="Defensive Line"/>
        <s v="F.Defensive Line"/>
        <s v="F.Punters"/>
        <s v="F.Linebackers"/>
        <s v="F.Quarterbacks"/>
        <s v="F.Running Backs"/>
        <s v="F.Tight ends"/>
        <s v="F.Wide Recievers"/>
        <s v="Defensive Back" u="1"/>
        <s v="Punters" u="1"/>
        <s v="Linebackers" u="1"/>
        <s v="Offensive Line" u="1"/>
        <s v="Quarterbacks" u="1"/>
        <s v="Running Backs" u="1"/>
        <s v="Tight ends" u="1"/>
        <s v="Wide Recievers" u="1"/>
        <s v="Offensive Back" u="1"/>
        <m u="1"/>
        <s v="Defense" u="1"/>
        <s v="Midfield" u="1"/>
        <s v="Fowarders" u="1"/>
        <s v="NA" u="1"/>
      </sharedItems>
    </cacheField>
    <cacheField name="Average Age" numFmtId="0">
      <sharedItems containsBlank="1" containsMixedTypes="1" containsNumber="1" minValue="14.2" maxValue="68.8"/>
    </cacheField>
    <cacheField name="Age.SD" numFmtId="0">
      <sharedItems containsBlank="1" containsMixedTypes="1" containsNumber="1" minValue="0.26" maxValue="10.5"/>
    </cacheField>
    <cacheField name="N" numFmtId="0">
      <sharedItems containsSemiMixedTypes="0" containsString="0" containsNumber="1" containsInteger="1" minValue="6" maxValue="1252" count="40">
        <n v="20"/>
        <n v="38"/>
        <n v="9"/>
        <n v="14"/>
        <n v="15"/>
        <n v="43"/>
        <n v="10"/>
        <n v="68"/>
        <n v="115"/>
        <n v="104"/>
        <n v="6"/>
        <n v="17"/>
        <n v="11"/>
        <n v="36"/>
        <n v="13"/>
        <n v="21"/>
        <n v="438"/>
        <n v="23"/>
        <n v="33"/>
        <n v="12"/>
        <n v="65"/>
        <n v="150"/>
        <n v="200"/>
        <n v="18"/>
        <n v="80"/>
        <n v="7"/>
        <n v="8"/>
        <n v="60"/>
        <n v="26"/>
        <n v="1252"/>
        <n v="222"/>
        <n v="218"/>
        <n v="37"/>
        <n v="123"/>
        <n v="204"/>
        <n v="73"/>
        <n v="118"/>
        <n v="59"/>
        <n v="198"/>
        <n v="27" u="1"/>
      </sharedItems>
    </cacheField>
    <cacheField name="Abbreviations Key" numFmtId="0">
      <sharedItems count="15">
        <s v="N/A"/>
        <s v="Operated ACL"/>
        <s v="Non-Operated ACL"/>
        <s v="Dominant"/>
        <s v="Non-Dominant"/>
        <s v="Experimentals"/>
        <s v="Controls"/>
        <s v="Right"/>
        <s v="Left"/>
        <s v="PL"/>
        <s v="NPL"/>
        <s v="Q-H Involved"/>
        <s v="Q-H, Non-Invovled"/>
        <s v="Uninvolved"/>
        <s v="Involved"/>
      </sharedItems>
    </cacheField>
    <cacheField name="Gender" numFmtId="0">
      <sharedItems containsBlank="1" count="4">
        <s v="Male"/>
        <s v="Mixed"/>
        <s v="Female"/>
        <m u="1"/>
      </sharedItems>
    </cacheField>
    <cacheField name="Directon" numFmtId="0">
      <sharedItems containsBlank="1" count="3">
        <s v="Concentric"/>
        <s v="Eccentric"/>
        <m u="1"/>
      </sharedItems>
    </cacheField>
    <cacheField name="Machine Type" numFmtId="0">
      <sharedItems count="5">
        <s v="Biodex"/>
        <s v="Cybex"/>
        <s v="ISOMED 2000"/>
        <s v="TechnoGym Rev 9000"/>
        <s v="Humac"/>
      </sharedItems>
    </cacheField>
    <cacheField name="Absolute Units" numFmtId="0">
      <sharedItems containsBlank="1"/>
    </cacheField>
    <cacheField name="Relative Units" numFmtId="0">
      <sharedItems containsBlank="1"/>
    </cacheField>
    <cacheField name="Extension Peak Force" numFmtId="0">
      <sharedItems containsBlank="1" containsMixedTypes="1" containsNumber="1" minValue="45" maxValue="348.6"/>
    </cacheField>
    <cacheField name="Ext SD." numFmtId="0">
      <sharedItems containsBlank="1" containsMixedTypes="1" containsNumber="1" minValue="0.2" maxValue="72.7"/>
    </cacheField>
    <cacheField name="Flexion Peak Force" numFmtId="0">
      <sharedItems containsString="0" containsBlank="1" containsNumber="1" minValue="41.11" maxValue="235.3"/>
    </cacheField>
    <cacheField name="Flexion SD." numFmtId="0">
      <sharedItems containsString="0" containsBlank="1" containsNumber="1" minValue="0.2" maxValue="142.93"/>
    </cacheField>
    <cacheField name="Ext Pk Torque/BW" numFmtId="0">
      <sharedItems containsString="0" containsBlank="1" containsNumber="1" minValue="1.35" maxValue="3.52"/>
    </cacheField>
    <cacheField name="Ext BW SD" numFmtId="0">
      <sharedItems containsString="0" containsBlank="1" containsNumber="1" minValue="0.04" maxValue="0.69"/>
    </cacheField>
    <cacheField name="Flex Pk Torque/BW" numFmtId="0">
      <sharedItems containsBlank="1" containsMixedTypes="1" containsNumber="1" minValue="0.84" maxValue="2.23"/>
    </cacheField>
    <cacheField name="Flex BW SD" numFmtId="0">
      <sharedItems containsString="0" containsBlank="1" containsNumber="1" minValue="0.03" maxValue="0.55000000000000004"/>
    </cacheField>
    <cacheField name="Power Ext (Watt)" numFmtId="0">
      <sharedItems containsString="0" containsBlank="1" containsNumber="1" minValue="1.7" maxValue="284.60000000000002"/>
    </cacheField>
    <cacheField name="Power.Ext.SD" numFmtId="0">
      <sharedItems containsString="0" containsBlank="1" containsNumber="1" minValue="0.21" maxValue="82"/>
    </cacheField>
    <cacheField name="Power Flex (Watt)" numFmtId="0">
      <sharedItems containsString="0" containsBlank="1" containsNumber="1" minValue="0.99" maxValue="182.9"/>
    </cacheField>
    <cacheField name="Power.Flex.SD" numFmtId="0">
      <sharedItems containsString="0" containsBlank="1" containsNumber="1" minValue="0.13" maxValue="54"/>
    </cacheField>
    <cacheField name="Work Ext (Joule)" numFmtId="0">
      <sharedItems containsString="0" containsBlank="1" containsNumber="1" minValue="4.2300000000000004" maxValue="562"/>
    </cacheField>
    <cacheField name="Work.EXT.SD" numFmtId="0">
      <sharedItems containsString="0" containsBlank="1" containsNumber="1" minValue="0.59" maxValue="138"/>
    </cacheField>
    <cacheField name="Work Flex (Joule)" numFmtId="0">
      <sharedItems containsString="0" containsBlank="1" containsNumber="1" minValue="1.71" maxValue="386"/>
    </cacheField>
    <cacheField name="Work.Flex.SD" numFmtId="0">
      <sharedItems containsString="0" containsBlank="1" containsNumber="1" minValue="0.64" maxValue="136"/>
    </cacheField>
    <cacheField name="QHS Ratio" numFmtId="0">
      <sharedItems containsString="0" containsBlank="1" containsNumber="1" minValue="0.45" maxValue="84.66"/>
    </cacheField>
    <cacheField name="QHS.SD" numFmtId="0">
      <sharedItems containsString="0" containsBlank="1" containsNumber="1" minValue="0.05" maxValue="17.899999999999999"/>
    </cacheField>
  </cacheFields>
  <extLst>
    <ext xmlns:x14="http://schemas.microsoft.com/office/spreadsheetml/2009/9/main" uri="{725AE2AE-9491-48be-B2B4-4EB974FC3084}">
      <x14:pivotCacheDefinition pivotCacheId="3179771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x v="0"/>
    <m/>
    <x v="0"/>
    <x v="0"/>
    <x v="0"/>
    <x v="0"/>
    <x v="0"/>
    <n v="23.1"/>
    <n v="3.1"/>
    <x v="0"/>
    <s v="Dominant"/>
    <x v="0"/>
    <x v="0"/>
    <x v="0"/>
    <x v="0"/>
    <n v="28"/>
    <n v="6.9"/>
    <n v="113"/>
    <n v="30.2"/>
    <n v="39.1"/>
    <n v="9.3000000000000007"/>
    <n v="33.200000000000003"/>
    <n v="7.4"/>
    <m/>
    <m/>
    <m/>
    <m/>
    <m/>
    <m/>
    <m/>
    <m/>
    <m/>
    <m/>
    <m/>
    <m/>
    <m/>
    <m/>
    <m/>
    <n v="14.6"/>
    <n v="3.5"/>
    <n v="78.900000000000006"/>
    <n v="30"/>
    <m/>
    <m/>
  </r>
  <r>
    <x v="0"/>
    <m/>
    <x v="0"/>
    <x v="0"/>
    <x v="0"/>
    <x v="0"/>
    <x v="0"/>
    <n v="23.1"/>
    <n v="3.1"/>
    <x v="0"/>
    <s v="Non Domiannt"/>
    <x v="0"/>
    <x v="0"/>
    <x v="0"/>
    <x v="0"/>
    <n v="33.200000000000003"/>
    <n v="7.9"/>
    <n v="115.9"/>
    <n v="27"/>
    <n v="42.6"/>
    <n v="8.6999999999999993"/>
    <n v="34.5"/>
    <n v="6.9"/>
    <m/>
    <m/>
    <m/>
    <m/>
    <m/>
    <m/>
    <m/>
    <m/>
    <m/>
    <m/>
    <m/>
    <m/>
    <m/>
    <m/>
    <m/>
    <n v="17.399999999999999"/>
    <n v="4.2"/>
    <n v="79.2"/>
    <n v="26.1"/>
    <m/>
    <m/>
  </r>
  <r>
    <x v="0"/>
    <m/>
    <x v="0"/>
    <x v="0"/>
    <x v="0"/>
    <x v="0"/>
    <x v="0"/>
    <n v="23.1"/>
    <n v="3.1"/>
    <x v="0"/>
    <s v="Dominant"/>
    <x v="0"/>
    <x v="1"/>
    <x v="0"/>
    <x v="0"/>
    <n v="42.4"/>
    <n v="9.6999999999999993"/>
    <n v="127.4"/>
    <n v="31"/>
    <m/>
    <m/>
    <m/>
    <m/>
    <m/>
    <m/>
    <m/>
    <m/>
    <m/>
    <m/>
    <m/>
    <m/>
    <m/>
    <m/>
    <m/>
    <m/>
    <m/>
    <m/>
    <m/>
    <n v="31.1"/>
    <n v="6.5"/>
    <n v="94.7"/>
    <n v="28"/>
    <m/>
    <m/>
  </r>
  <r>
    <x v="1"/>
    <m/>
    <x v="0"/>
    <x v="0"/>
    <x v="0"/>
    <x v="0"/>
    <x v="0"/>
    <n v="23.1"/>
    <n v="3.1"/>
    <x v="0"/>
    <s v="Dominant"/>
    <x v="0"/>
    <x v="0"/>
    <x v="0"/>
    <x v="0"/>
    <n v="23.1"/>
    <n v="6.1"/>
    <n v="97.3"/>
    <n v="24.5"/>
    <n v="34.200000000000003"/>
    <n v="8.1999999999999993"/>
    <n v="29.3"/>
    <n v="6.7"/>
    <m/>
    <m/>
    <m/>
    <m/>
    <m/>
    <m/>
    <m/>
    <m/>
    <m/>
    <m/>
    <m/>
    <m/>
    <m/>
    <m/>
    <m/>
    <m/>
    <m/>
    <m/>
    <m/>
    <m/>
    <m/>
  </r>
  <r>
    <x v="1"/>
    <m/>
    <x v="0"/>
    <x v="0"/>
    <x v="0"/>
    <x v="0"/>
    <x v="0"/>
    <n v="23.1"/>
    <n v="3.1"/>
    <x v="0"/>
    <s v="Non Domiannt"/>
    <x v="0"/>
    <x v="0"/>
    <x v="0"/>
    <x v="0"/>
    <n v="27.4"/>
    <n v="7.5"/>
    <n v="100.5"/>
    <n v="22.7"/>
    <n v="36.1"/>
    <n v="7.5"/>
    <n v="30.1"/>
    <n v="6.5"/>
    <m/>
    <m/>
    <m/>
    <m/>
    <m/>
    <m/>
    <m/>
    <m/>
    <m/>
    <m/>
    <m/>
    <m/>
    <m/>
    <m/>
    <m/>
    <m/>
    <m/>
    <m/>
    <m/>
    <m/>
    <m/>
  </r>
  <r>
    <x v="2"/>
    <m/>
    <x v="1"/>
    <x v="1"/>
    <x v="1"/>
    <x v="1"/>
    <x v="0"/>
    <n v="23.6"/>
    <n v="4.2"/>
    <x v="1"/>
    <s v="Right"/>
    <x v="1"/>
    <x v="0"/>
    <x v="1"/>
    <x v="0"/>
    <n v="23.4"/>
    <n v="5.4"/>
    <n v="117.6"/>
    <n v="23.1"/>
    <m/>
    <m/>
    <m/>
    <m/>
    <m/>
    <m/>
    <m/>
    <m/>
    <m/>
    <m/>
    <m/>
    <m/>
    <n v="48.1"/>
    <n v="9.5"/>
    <n v="95.3"/>
    <n v="12.9"/>
    <m/>
    <m/>
    <m/>
    <n v="173.8"/>
    <n v="36.9"/>
    <n v="356.9"/>
    <n v="61"/>
    <m/>
    <m/>
  </r>
  <r>
    <x v="2"/>
    <m/>
    <x v="1"/>
    <x v="1"/>
    <x v="1"/>
    <x v="1"/>
    <x v="0"/>
    <n v="23.6"/>
    <n v="4.2"/>
    <x v="1"/>
    <s v="Left"/>
    <x v="1"/>
    <x v="0"/>
    <x v="1"/>
    <x v="0"/>
    <n v="23.2"/>
    <n v="5"/>
    <n v="115.4"/>
    <n v="22"/>
    <m/>
    <m/>
    <m/>
    <m/>
    <m/>
    <m/>
    <m/>
    <m/>
    <m/>
    <m/>
    <m/>
    <m/>
    <n v="42.2"/>
    <n v="8.1999999999999993"/>
    <n v="82.6"/>
    <n v="10.3"/>
    <m/>
    <m/>
    <m/>
    <n v="150.30000000000001"/>
    <n v="28.7"/>
    <n v="302.5"/>
    <n v="50.4"/>
    <m/>
    <m/>
  </r>
  <r>
    <x v="2"/>
    <m/>
    <x v="1"/>
    <x v="1"/>
    <x v="1"/>
    <x v="1"/>
    <x v="0"/>
    <n v="23.6"/>
    <n v="4.2"/>
    <x v="1"/>
    <s v="Right"/>
    <x v="1"/>
    <x v="1"/>
    <x v="1"/>
    <x v="0"/>
    <n v="49.3"/>
    <n v="8"/>
    <n v="215"/>
    <n v="41.9"/>
    <m/>
    <m/>
    <m/>
    <m/>
    <m/>
    <m/>
    <m/>
    <m/>
    <m/>
    <m/>
    <m/>
    <m/>
    <n v="93.7"/>
    <n v="14.4"/>
    <n v="170.2"/>
    <n v="17.600000000000001"/>
    <m/>
    <m/>
    <m/>
    <n v="169.1"/>
    <n v="33.200000000000003"/>
    <n v="341.5"/>
    <n v="58.9"/>
    <m/>
    <m/>
  </r>
  <r>
    <x v="2"/>
    <m/>
    <x v="1"/>
    <x v="1"/>
    <x v="1"/>
    <x v="1"/>
    <x v="0"/>
    <n v="23.6"/>
    <n v="4.2"/>
    <x v="1"/>
    <s v="Left"/>
    <x v="1"/>
    <x v="1"/>
    <x v="1"/>
    <x v="0"/>
    <n v="49.6"/>
    <n v="9.1999999999999993"/>
    <n v="208.4"/>
    <n v="36.700000000000003"/>
    <m/>
    <m/>
    <m/>
    <m/>
    <m/>
    <m/>
    <m/>
    <m/>
    <m/>
    <m/>
    <m/>
    <m/>
    <n v="83.2"/>
    <n v="13.2"/>
    <n v="148.69999999999999"/>
    <n v="16.8"/>
    <m/>
    <m/>
    <m/>
    <n v="142.5"/>
    <n v="30.1"/>
    <n v="289.39999999999998"/>
    <n v="45.6"/>
    <m/>
    <m/>
  </r>
  <r>
    <x v="2"/>
    <s v="Right leg only was assessed; left leg values not reported."/>
    <x v="2"/>
    <x v="2"/>
    <x v="2"/>
    <x v="2"/>
    <x v="1"/>
    <n v="21.2"/>
    <n v="1.9"/>
    <x v="2"/>
    <m/>
    <x v="1"/>
    <x v="0"/>
    <x v="2"/>
    <x v="0"/>
    <n v="33.5"/>
    <n v="6"/>
    <n v="75.2"/>
    <n v="11.7"/>
    <m/>
    <m/>
    <m/>
    <m/>
    <m/>
    <m/>
    <m/>
    <m/>
    <m/>
    <m/>
    <m/>
    <m/>
    <n v="123.5"/>
    <n v="18.3"/>
    <n v="217.6"/>
    <n v="22.1"/>
    <m/>
    <m/>
    <m/>
    <n v="154.69999999999999"/>
    <n v="30.6"/>
    <n v="314.60000000000002"/>
    <n v="53.2"/>
    <m/>
    <m/>
  </r>
  <r>
    <x v="2"/>
    <s v="Right leg only was assessed; left leg values not reported."/>
    <x v="2"/>
    <x v="2"/>
    <x v="0"/>
    <x v="3"/>
    <x v="0"/>
    <n v="22.2"/>
    <n v="2.2999999999999998"/>
    <x v="2"/>
    <m/>
    <x v="1"/>
    <x v="0"/>
    <x v="2"/>
    <x v="0"/>
    <n v="30.1"/>
    <n v="5.4"/>
    <n v="61.7"/>
    <n v="9.9"/>
    <m/>
    <m/>
    <m/>
    <m/>
    <m/>
    <m/>
    <m/>
    <m/>
    <m/>
    <m/>
    <m/>
    <m/>
    <n v="112.8"/>
    <n v="15.7"/>
    <n v="193.8"/>
    <n v="19.5"/>
    <m/>
    <m/>
    <m/>
    <n v="131.1"/>
    <n v="25.4"/>
    <n v="268.89999999999998"/>
    <n v="42.3"/>
    <m/>
    <m/>
  </r>
  <r>
    <x v="3"/>
    <s v="Right leg only was assessed; left leg values not reported."/>
    <x v="2"/>
    <x v="2"/>
    <x v="2"/>
    <x v="2"/>
    <x v="1"/>
    <n v="21.2"/>
    <n v="1.9"/>
    <x v="2"/>
    <m/>
    <x v="1"/>
    <x v="0"/>
    <x v="2"/>
    <x v="0"/>
    <n v="30.6"/>
    <n v="5.3"/>
    <n v="63"/>
    <n v="10.3"/>
    <m/>
    <m/>
    <m/>
    <m/>
    <m/>
    <m/>
    <m/>
    <m/>
    <m/>
    <m/>
    <m/>
    <m/>
    <m/>
    <m/>
    <m/>
    <m/>
    <m/>
    <m/>
    <m/>
    <m/>
    <m/>
    <m/>
    <m/>
    <m/>
    <m/>
  </r>
  <r>
    <x v="3"/>
    <s v="Right leg only was assessed; left leg values not reported."/>
    <x v="2"/>
    <x v="2"/>
    <x v="0"/>
    <x v="3"/>
    <x v="0"/>
    <n v="22.2"/>
    <n v="2.2999999999999998"/>
    <x v="2"/>
    <m/>
    <x v="1"/>
    <x v="0"/>
    <x v="2"/>
    <x v="0"/>
    <n v="27.3"/>
    <n v="5.0999999999999996"/>
    <n v="56.3"/>
    <n v="9"/>
    <m/>
    <m/>
    <m/>
    <m/>
    <m/>
    <m/>
    <m/>
    <m/>
    <m/>
    <m/>
    <m/>
    <m/>
    <m/>
    <m/>
    <m/>
    <m/>
    <m/>
    <m/>
    <m/>
    <m/>
    <m/>
    <m/>
    <m/>
    <m/>
    <m/>
  </r>
  <r>
    <x v="4"/>
    <s v="Right leg only was assessed; left leg values not reported."/>
    <x v="2"/>
    <x v="2"/>
    <x v="2"/>
    <x v="2"/>
    <x v="1"/>
    <n v="21.2"/>
    <n v="1.9"/>
    <x v="2"/>
    <m/>
    <x v="1"/>
    <x v="0"/>
    <x v="2"/>
    <x v="0"/>
    <n v="26.2"/>
    <n v="4.8"/>
    <n v="54.9"/>
    <n v="8.6999999999999993"/>
    <m/>
    <m/>
    <m/>
    <m/>
    <m/>
    <m/>
    <m/>
    <m/>
    <m/>
    <m/>
    <m/>
    <m/>
    <m/>
    <m/>
    <m/>
    <m/>
    <m/>
    <m/>
    <m/>
    <m/>
    <m/>
    <m/>
    <m/>
    <m/>
    <m/>
  </r>
  <r>
    <x v="4"/>
    <s v="Right leg only was assessed; left leg values not reported."/>
    <x v="2"/>
    <x v="2"/>
    <x v="0"/>
    <x v="3"/>
    <x v="0"/>
    <n v="22.2"/>
    <n v="2.2999999999999998"/>
    <x v="2"/>
    <m/>
    <x v="1"/>
    <x v="0"/>
    <x v="2"/>
    <x v="0"/>
    <n v="23.8"/>
    <n v="4.3"/>
    <n v="49.5"/>
    <n v="7.6"/>
    <m/>
    <m/>
    <m/>
    <m/>
    <m/>
    <m/>
    <m/>
    <m/>
    <m/>
    <m/>
    <m/>
    <m/>
    <m/>
    <m/>
    <m/>
    <m/>
    <m/>
    <m/>
    <m/>
    <m/>
    <m/>
    <m/>
    <m/>
    <m/>
    <m/>
  </r>
  <r>
    <x v="2"/>
    <s v="Korean League, 12 Guards, 11 Forwards, 2 Centers, Guards showed greater inversion strength than forwards at higher velocity (150°/s)."/>
    <x v="3"/>
    <x v="3"/>
    <x v="3"/>
    <x v="1"/>
    <x v="0"/>
    <n v="27.8"/>
    <n v="5.3"/>
    <x v="3"/>
    <s v="Dominant"/>
    <x v="1"/>
    <x v="0"/>
    <x v="3"/>
    <x v="0"/>
    <m/>
    <m/>
    <m/>
    <m/>
    <n v="39.299999999999997"/>
    <n v="5.5"/>
    <n v="32.5"/>
    <n v="6.8"/>
    <m/>
    <m/>
    <m/>
    <n v="0.44"/>
    <n v="8.0000000000000002E-3"/>
    <n v="0.36"/>
    <n v="6.0000000000000001E-3"/>
    <m/>
    <m/>
    <m/>
    <m/>
    <m/>
    <m/>
    <m/>
    <m/>
    <m/>
    <m/>
    <m/>
    <m/>
    <m/>
    <m/>
  </r>
  <r>
    <x v="2"/>
    <s v="Korean League, 12 Guards, 11 Forwards, 2 Centers, Guards showed greater inversion strength than forwards at higher velocity (150°/s)."/>
    <x v="3"/>
    <x v="3"/>
    <x v="3"/>
    <x v="1"/>
    <x v="0"/>
    <n v="27.8"/>
    <n v="5.3"/>
    <x v="3"/>
    <s v="Non Domiannt"/>
    <x v="1"/>
    <x v="0"/>
    <x v="3"/>
    <x v="0"/>
    <m/>
    <m/>
    <m/>
    <m/>
    <n v="39.700000000000003"/>
    <n v="6.3"/>
    <n v="31.5"/>
    <n v="5"/>
    <m/>
    <m/>
    <m/>
    <n v="0.44"/>
    <n v="8.0000000000000002E-3"/>
    <n v="0.35"/>
    <n v="6.0000000000000001E-3"/>
    <m/>
    <m/>
    <m/>
    <m/>
    <m/>
    <m/>
    <m/>
    <m/>
    <m/>
    <m/>
    <m/>
    <m/>
    <m/>
    <m/>
  </r>
  <r>
    <x v="5"/>
    <s v="Korean League, 12 Guards, 11 Forwards, 2 Centers, Guards showed greater inversion strength than forwards at higher velocity (150°/s)."/>
    <x v="3"/>
    <x v="3"/>
    <x v="3"/>
    <x v="1"/>
    <x v="0"/>
    <n v="27.8"/>
    <n v="5.3"/>
    <x v="3"/>
    <s v="Dominant"/>
    <x v="1"/>
    <x v="0"/>
    <x v="3"/>
    <x v="0"/>
    <m/>
    <m/>
    <m/>
    <m/>
    <n v="29.8"/>
    <n v="3.8"/>
    <n v="23.3"/>
    <n v="4"/>
    <m/>
    <m/>
    <m/>
    <n v="0.33"/>
    <n v="6.0000000000000001E-3"/>
    <n v="0.34"/>
    <n v="5.0000000000000001E-3"/>
    <m/>
    <m/>
    <m/>
    <m/>
    <m/>
    <m/>
    <m/>
    <m/>
    <m/>
    <m/>
    <m/>
    <m/>
    <m/>
    <m/>
  </r>
  <r>
    <x v="5"/>
    <s v="Korean League, 12 Guards, 11 Forwards, 2 Centers, Guards showed greater inversion strength than forwards at higher velocity (150°/s)."/>
    <x v="3"/>
    <x v="3"/>
    <x v="3"/>
    <x v="1"/>
    <x v="0"/>
    <n v="27.8"/>
    <n v="5.3"/>
    <x v="3"/>
    <s v="Non Domiannt"/>
    <x v="1"/>
    <x v="0"/>
    <x v="3"/>
    <x v="0"/>
    <m/>
    <m/>
    <m/>
    <m/>
    <n v="30.5"/>
    <n v="4"/>
    <n v="23.8"/>
    <n v="3.6"/>
    <m/>
    <m/>
    <m/>
    <m/>
    <m/>
    <m/>
    <m/>
    <m/>
    <m/>
    <m/>
    <m/>
    <m/>
    <m/>
    <m/>
    <m/>
    <m/>
    <m/>
    <m/>
    <m/>
    <m/>
    <m/>
  </r>
  <r>
    <x v="0"/>
    <m/>
    <x v="4"/>
    <x v="4"/>
    <x v="3"/>
    <x v="1"/>
    <x v="2"/>
    <n v="23.2"/>
    <n v="2.7"/>
    <x v="4"/>
    <s v="Left"/>
    <x v="1"/>
    <x v="0"/>
    <x v="1"/>
    <x v="0"/>
    <n v="17"/>
    <n v="3.9"/>
    <n v="113.4"/>
    <n v="15.9"/>
    <m/>
    <m/>
    <m/>
    <m/>
    <n v="0.19"/>
    <n v="0.04"/>
    <m/>
    <m/>
    <m/>
    <m/>
    <m/>
    <m/>
    <m/>
    <m/>
    <m/>
    <m/>
    <m/>
    <m/>
    <m/>
    <m/>
    <m/>
    <m/>
    <m/>
    <m/>
    <m/>
  </r>
  <r>
    <x v="2"/>
    <m/>
    <x v="4"/>
    <x v="4"/>
    <x v="3"/>
    <x v="1"/>
    <x v="2"/>
    <n v="23.2"/>
    <n v="2.7"/>
    <x v="4"/>
    <s v="Right"/>
    <x v="1"/>
    <x v="0"/>
    <x v="1"/>
    <x v="0"/>
    <s v="13,7"/>
    <n v="3.9"/>
    <n v="98.8"/>
    <n v="13.3"/>
    <m/>
    <m/>
    <m/>
    <m/>
    <n v="0.16"/>
    <n v="0.04"/>
    <m/>
    <m/>
    <m/>
    <m/>
    <m/>
    <m/>
    <m/>
    <m/>
    <m/>
    <m/>
    <m/>
    <m/>
    <m/>
    <m/>
    <m/>
    <m/>
    <m/>
    <m/>
    <m/>
  </r>
  <r>
    <x v="0"/>
    <m/>
    <x v="4"/>
    <x v="4"/>
    <x v="3"/>
    <x v="1"/>
    <x v="3"/>
    <n v="23.9"/>
    <n v="4.2"/>
    <x v="5"/>
    <s v="Left"/>
    <x v="1"/>
    <x v="0"/>
    <x v="1"/>
    <x v="0"/>
    <n v="31"/>
    <n v="8.3000000000000007"/>
    <n v="140.1"/>
    <n v="12.9"/>
    <m/>
    <m/>
    <m/>
    <m/>
    <n v="0.3"/>
    <n v="0.08"/>
    <m/>
    <m/>
    <m/>
    <m/>
    <m/>
    <m/>
    <m/>
    <m/>
    <m/>
    <m/>
    <m/>
    <m/>
    <m/>
    <m/>
    <m/>
    <m/>
    <m/>
    <m/>
    <m/>
  </r>
  <r>
    <x v="2"/>
    <m/>
    <x v="4"/>
    <x v="4"/>
    <x v="3"/>
    <x v="1"/>
    <x v="3"/>
    <n v="23.9"/>
    <n v="4.2"/>
    <x v="5"/>
    <s v="Right"/>
    <x v="1"/>
    <x v="0"/>
    <x v="1"/>
    <x v="0"/>
    <n v="21.8"/>
    <n v="5.8"/>
    <n v="125"/>
    <n v="11.3"/>
    <m/>
    <m/>
    <m/>
    <m/>
    <n v="0.21"/>
    <n v="0.05"/>
    <m/>
    <m/>
    <m/>
    <m/>
    <m/>
    <m/>
    <m/>
    <m/>
    <m/>
    <m/>
    <m/>
    <m/>
    <m/>
    <m/>
    <m/>
    <m/>
    <m/>
    <m/>
    <m/>
  </r>
  <r>
    <x v="0"/>
    <m/>
    <x v="4"/>
    <x v="4"/>
    <x v="3"/>
    <x v="1"/>
    <x v="4"/>
    <n v="25.2"/>
    <n v="2.8"/>
    <x v="5"/>
    <s v="Left"/>
    <x v="1"/>
    <x v="0"/>
    <x v="1"/>
    <x v="0"/>
    <n v="35.5"/>
    <n v="7.4"/>
    <n v="155.80000000000001"/>
    <n v="15.5"/>
    <m/>
    <m/>
    <m/>
    <m/>
    <n v="0.34"/>
    <n v="0.06"/>
    <m/>
    <m/>
    <m/>
    <m/>
    <m/>
    <m/>
    <m/>
    <m/>
    <m/>
    <m/>
    <m/>
    <m/>
    <m/>
    <m/>
    <m/>
    <m/>
    <m/>
    <m/>
    <m/>
  </r>
  <r>
    <x v="2"/>
    <m/>
    <x v="4"/>
    <x v="4"/>
    <x v="3"/>
    <x v="1"/>
    <x v="4"/>
    <n v="25.2"/>
    <n v="2.8"/>
    <x v="5"/>
    <s v="Right"/>
    <x v="1"/>
    <x v="0"/>
    <x v="1"/>
    <x v="0"/>
    <n v="29"/>
    <n v="7.3"/>
    <n v="129.69999999999999"/>
    <n v="14.2"/>
    <m/>
    <m/>
    <m/>
    <m/>
    <n v="0.28000000000000003"/>
    <n v="0.06"/>
    <m/>
    <m/>
    <m/>
    <m/>
    <m/>
    <m/>
    <m/>
    <m/>
    <m/>
    <m/>
    <m/>
    <m/>
    <m/>
    <m/>
    <m/>
    <m/>
    <m/>
    <m/>
    <m/>
  </r>
  <r>
    <x v="0"/>
    <s v="Not broken down by playing position (general team-level sample)"/>
    <x v="5"/>
    <x v="5"/>
    <x v="3"/>
    <x v="2"/>
    <x v="0"/>
    <n v="20"/>
    <n v="1.3"/>
    <x v="6"/>
    <s v="Left"/>
    <x v="2"/>
    <x v="0"/>
    <x v="4"/>
    <x v="0"/>
    <n v="30.2"/>
    <n v="5.6"/>
    <n v="59.5"/>
    <n v="12.7"/>
    <n v="23.2"/>
    <n v="6.1"/>
    <n v="25.5"/>
    <n v="4.5999999999999996"/>
    <m/>
    <m/>
    <m/>
    <m/>
    <m/>
    <m/>
    <m/>
    <m/>
    <m/>
    <m/>
    <m/>
    <m/>
    <m/>
    <m/>
    <m/>
    <m/>
    <m/>
    <m/>
    <m/>
    <m/>
    <m/>
  </r>
  <r>
    <x v="0"/>
    <s v="Not broken down by playing position (general team-level sample)"/>
    <x v="5"/>
    <x v="5"/>
    <x v="3"/>
    <x v="2"/>
    <x v="0"/>
    <n v="20"/>
    <n v="1.3"/>
    <x v="6"/>
    <s v="Right"/>
    <x v="2"/>
    <x v="0"/>
    <x v="4"/>
    <x v="0"/>
    <n v="32.4"/>
    <n v="4.7"/>
    <n v="64.8"/>
    <n v="11.7"/>
    <n v="24.9"/>
    <n v="5.6"/>
    <n v="26"/>
    <n v="4.5"/>
    <m/>
    <m/>
    <m/>
    <m/>
    <m/>
    <m/>
    <m/>
    <m/>
    <m/>
    <m/>
    <m/>
    <m/>
    <m/>
    <m/>
    <m/>
    <m/>
    <m/>
    <m/>
    <m/>
    <m/>
    <m/>
  </r>
  <r>
    <x v="3"/>
    <s v="Not broken down by playing position (general team-level sample)"/>
    <x v="5"/>
    <x v="5"/>
    <x v="3"/>
    <x v="2"/>
    <x v="0"/>
    <n v="20"/>
    <n v="1.3"/>
    <x v="6"/>
    <s v="Left"/>
    <x v="2"/>
    <x v="0"/>
    <x v="4"/>
    <x v="0"/>
    <n v="14.4"/>
    <n v="4.5"/>
    <n v="25.1"/>
    <n v="8.6999999999999993"/>
    <n v="12.1"/>
    <n v="3.8"/>
    <n v="14.9"/>
    <n v="2.2000000000000002"/>
    <m/>
    <m/>
    <m/>
    <m/>
    <m/>
    <m/>
    <m/>
    <m/>
    <m/>
    <m/>
    <m/>
    <m/>
    <m/>
    <m/>
    <m/>
    <m/>
    <m/>
    <m/>
    <m/>
    <m/>
    <m/>
  </r>
  <r>
    <x v="3"/>
    <s v="Not broken down by playing position (general team-level sample)"/>
    <x v="5"/>
    <x v="5"/>
    <x v="3"/>
    <x v="2"/>
    <x v="0"/>
    <n v="20"/>
    <n v="1.3"/>
    <x v="6"/>
    <s v="Right"/>
    <x v="2"/>
    <x v="0"/>
    <x v="4"/>
    <x v="0"/>
    <n v="13.8"/>
    <n v="3"/>
    <n v="24.2"/>
    <n v="5.5"/>
    <n v="20"/>
    <n v="3"/>
    <n v="15.3"/>
    <n v="2.4"/>
    <m/>
    <m/>
    <m/>
    <m/>
    <m/>
    <m/>
    <m/>
    <m/>
    <m/>
    <m/>
    <m/>
    <m/>
    <m/>
    <m/>
    <m/>
    <m/>
    <m/>
    <m/>
    <m/>
    <m/>
    <m/>
  </r>
  <r>
    <x v="0"/>
    <s v="Not broken down by playing position (general team-level sample)"/>
    <x v="5"/>
    <x v="5"/>
    <x v="3"/>
    <x v="2"/>
    <x v="0"/>
    <n v="20"/>
    <n v="1.3"/>
    <x v="6"/>
    <s v="Left"/>
    <x v="1"/>
    <x v="0"/>
    <x v="4"/>
    <x v="0"/>
    <n v="38.6"/>
    <n v="5.4"/>
    <n v="74"/>
    <n v="24.5"/>
    <n v="30.2"/>
    <n v="8.1"/>
    <n v="29"/>
    <n v="3.3"/>
    <m/>
    <m/>
    <m/>
    <m/>
    <m/>
    <m/>
    <m/>
    <m/>
    <m/>
    <m/>
    <m/>
    <m/>
    <m/>
    <m/>
    <m/>
    <m/>
    <m/>
    <m/>
    <m/>
    <m/>
    <m/>
  </r>
  <r>
    <x v="0"/>
    <s v="Not broken down by playing position (general team-level sample)"/>
    <x v="5"/>
    <x v="5"/>
    <x v="3"/>
    <x v="2"/>
    <x v="0"/>
    <n v="20"/>
    <n v="1.1000000000000001"/>
    <x v="7"/>
    <s v="Right"/>
    <x v="1"/>
    <x v="0"/>
    <x v="4"/>
    <x v="0"/>
    <n v="41.3"/>
    <n v="6.5"/>
    <n v="76"/>
    <n v="28.2"/>
    <n v="31.4"/>
    <n v="6"/>
    <n v="31.4"/>
    <n v="6"/>
    <m/>
    <m/>
    <m/>
    <m/>
    <m/>
    <m/>
    <m/>
    <m/>
    <m/>
    <m/>
    <m/>
    <m/>
    <m/>
    <m/>
    <m/>
    <m/>
    <m/>
    <m/>
    <m/>
    <m/>
    <m/>
  </r>
  <r>
    <x v="3"/>
    <s v="Not broken down by playing position (general team-level sample)"/>
    <x v="5"/>
    <x v="5"/>
    <x v="3"/>
    <x v="2"/>
    <x v="0"/>
    <n v="20"/>
    <n v="1.1000000000000001"/>
    <x v="7"/>
    <s v="Left"/>
    <x v="1"/>
    <x v="0"/>
    <x v="4"/>
    <x v="0"/>
    <n v="18.2"/>
    <n v="3.9"/>
    <n v="27.5"/>
    <n v="13"/>
    <n v="15.2"/>
    <n v="4.2"/>
    <n v="18.8"/>
    <n v="3.9"/>
    <m/>
    <m/>
    <m/>
    <m/>
    <m/>
    <m/>
    <m/>
    <m/>
    <m/>
    <m/>
    <m/>
    <m/>
    <m/>
    <m/>
    <m/>
    <m/>
    <m/>
    <m/>
    <m/>
    <m/>
    <m/>
  </r>
  <r>
    <x v="3"/>
    <s v="Not broken down by playing position (general team-level sample)"/>
    <x v="5"/>
    <x v="5"/>
    <x v="3"/>
    <x v="2"/>
    <x v="0"/>
    <n v="20"/>
    <n v="1.1000000000000001"/>
    <x v="7"/>
    <s v="Right"/>
    <x v="1"/>
    <x v="0"/>
    <x v="4"/>
    <x v="0"/>
    <n v="17.100000000000001"/>
    <n v="4.0999999999999996"/>
    <n v="26"/>
    <n v="10.199999999999999"/>
    <n v="14.8"/>
    <n v="6.4"/>
    <n v="19"/>
    <n v="5.0999999999999996"/>
    <m/>
    <m/>
    <m/>
    <m/>
    <m/>
    <m/>
    <m/>
    <m/>
    <m/>
    <m/>
    <m/>
    <m/>
    <m/>
    <m/>
    <m/>
    <m/>
    <m/>
    <m/>
    <m/>
    <m/>
    <m/>
  </r>
  <r>
    <x v="0"/>
    <s v="Pre-Test Only, Dominant limb consistently showed more reliable results."/>
    <x v="6"/>
    <x v="4"/>
    <x v="0"/>
    <x v="0"/>
    <x v="0"/>
    <n v="35.5"/>
    <n v="10.5"/>
    <x v="2"/>
    <s v="Dominant"/>
    <x v="0"/>
    <x v="0"/>
    <x v="1"/>
    <x v="0"/>
    <n v="27.8"/>
    <n v="8.3000000000000007"/>
    <n v="98.7"/>
    <n v="30.7"/>
    <n v="31.9"/>
    <n v="8.4"/>
    <n v="23.6"/>
    <n v="6.8"/>
    <m/>
    <m/>
    <m/>
    <m/>
    <m/>
    <m/>
    <m/>
    <m/>
    <m/>
    <m/>
    <m/>
    <m/>
    <m/>
    <m/>
    <m/>
    <m/>
    <m/>
    <m/>
    <m/>
    <m/>
    <m/>
  </r>
  <r>
    <x v="0"/>
    <s v="Pre-Test Only, Dominant limb consistently showed more reliable results."/>
    <x v="6"/>
    <x v="4"/>
    <x v="0"/>
    <x v="0"/>
    <x v="0"/>
    <n v="35.5"/>
    <n v="10.5"/>
    <x v="2"/>
    <s v="Non Domiannt"/>
    <x v="0"/>
    <x v="0"/>
    <x v="1"/>
    <x v="0"/>
    <n v="28.4"/>
    <n v="7.4"/>
    <n v="97.5"/>
    <n v="38.9"/>
    <n v="31.9"/>
    <n v="8.4"/>
    <n v="22.2"/>
    <n v="6.6"/>
    <m/>
    <m/>
    <m/>
    <m/>
    <m/>
    <m/>
    <m/>
    <m/>
    <m/>
    <m/>
    <m/>
    <m/>
    <m/>
    <m/>
    <m/>
    <m/>
    <m/>
    <m/>
    <m/>
    <m/>
    <m/>
  </r>
  <r>
    <x v="1"/>
    <s v="No Age Specific, Grouped of Defenders (n=6), Midfielders (n=7), Forwards (n=8)"/>
    <x v="7"/>
    <x v="6"/>
    <x v="1"/>
    <x v="2"/>
    <x v="0"/>
    <n v="18"/>
    <m/>
    <x v="8"/>
    <s v="Dominant"/>
    <x v="1"/>
    <x v="0"/>
    <x v="1"/>
    <x v="0"/>
    <m/>
    <m/>
    <m/>
    <m/>
    <m/>
    <m/>
    <n v="38.06"/>
    <n v="9.42"/>
    <m/>
    <m/>
    <m/>
    <m/>
    <m/>
    <m/>
    <m/>
    <m/>
    <m/>
    <m/>
    <m/>
    <m/>
    <m/>
    <m/>
    <m/>
    <m/>
    <m/>
    <m/>
    <m/>
    <m/>
    <m/>
  </r>
  <r>
    <x v="1"/>
    <s v="No Age Specific, Grouped of Defenders (n=6), Midfielders (n=7), Forwards (n=8)"/>
    <x v="7"/>
    <x v="6"/>
    <x v="1"/>
    <x v="2"/>
    <x v="0"/>
    <n v="18"/>
    <m/>
    <x v="8"/>
    <s v="Non Domiannt"/>
    <x v="1"/>
    <x v="0"/>
    <x v="1"/>
    <x v="0"/>
    <m/>
    <m/>
    <m/>
    <m/>
    <m/>
    <m/>
    <n v="38.93"/>
    <n v="11.58"/>
    <m/>
    <m/>
    <m/>
    <m/>
    <m/>
    <m/>
    <m/>
    <m/>
    <m/>
    <m/>
    <m/>
    <m/>
    <m/>
    <m/>
    <m/>
    <m/>
    <m/>
    <m/>
    <m/>
    <m/>
    <m/>
  </r>
  <r>
    <x v="1"/>
    <s v="No Age Specific, Grouped of Defenders (n=6), Midfielders (n=7), Forwards (n=8)"/>
    <x v="7"/>
    <x v="6"/>
    <x v="1"/>
    <x v="2"/>
    <x v="0"/>
    <n v="18"/>
    <m/>
    <x v="8"/>
    <s v="Dominant"/>
    <x v="1"/>
    <x v="0"/>
    <x v="1"/>
    <x v="0"/>
    <m/>
    <m/>
    <m/>
    <m/>
    <m/>
    <m/>
    <n v="41.8"/>
    <n v="12.01"/>
    <m/>
    <m/>
    <m/>
    <m/>
    <m/>
    <m/>
    <m/>
    <m/>
    <m/>
    <m/>
    <m/>
    <m/>
    <m/>
    <m/>
    <m/>
    <m/>
    <m/>
    <m/>
    <m/>
    <m/>
    <m/>
  </r>
  <r>
    <x v="1"/>
    <s v="No Age Specific, Grouped of Defenders (n=6), Midfielders (n=7), Forwards (n=8)"/>
    <x v="7"/>
    <x v="6"/>
    <x v="1"/>
    <x v="2"/>
    <x v="0"/>
    <n v="18"/>
    <m/>
    <x v="8"/>
    <s v="Non Domiannt"/>
    <x v="1"/>
    <x v="0"/>
    <x v="1"/>
    <x v="0"/>
    <m/>
    <m/>
    <m/>
    <m/>
    <m/>
    <m/>
    <n v="43.26"/>
    <n v="10.06"/>
    <m/>
    <m/>
    <m/>
    <m/>
    <m/>
    <m/>
    <m/>
    <m/>
    <m/>
    <m/>
    <m/>
    <m/>
    <m/>
    <m/>
    <m/>
    <m/>
    <m/>
    <m/>
    <m/>
    <m/>
    <m/>
  </r>
  <r>
    <x v="1"/>
    <s v="No Age Specific, Grouped of Defenders (n=6), Midfielders (n=7), Forwards (n=8)"/>
    <x v="7"/>
    <x v="6"/>
    <x v="1"/>
    <x v="2"/>
    <x v="0"/>
    <n v="18"/>
    <m/>
    <x v="8"/>
    <s v="Dominant"/>
    <x v="1"/>
    <x v="1"/>
    <x v="1"/>
    <x v="0"/>
    <m/>
    <m/>
    <m/>
    <m/>
    <m/>
    <m/>
    <n v="40.03"/>
    <n v="13.15"/>
    <m/>
    <m/>
    <m/>
    <m/>
    <m/>
    <m/>
    <m/>
    <m/>
    <m/>
    <m/>
    <m/>
    <m/>
    <m/>
    <m/>
    <m/>
    <m/>
    <m/>
    <m/>
    <m/>
    <m/>
    <m/>
  </r>
  <r>
    <x v="1"/>
    <s v="No Age Specific, Grouped of Defenders (n=6), Midfielders (n=7), Forwards (n=8)"/>
    <x v="7"/>
    <x v="6"/>
    <x v="1"/>
    <x v="2"/>
    <x v="0"/>
    <n v="18"/>
    <m/>
    <x v="8"/>
    <s v="Non Domiannt"/>
    <x v="1"/>
    <x v="1"/>
    <x v="1"/>
    <x v="0"/>
    <m/>
    <m/>
    <m/>
    <m/>
    <m/>
    <m/>
    <n v="39.479999999999997"/>
    <n v="12.89"/>
    <m/>
    <m/>
    <m/>
    <m/>
    <m/>
    <m/>
    <m/>
    <m/>
    <m/>
    <m/>
    <m/>
    <m/>
    <m/>
    <m/>
    <m/>
    <m/>
    <m/>
    <m/>
    <m/>
    <m/>
    <m/>
  </r>
  <r>
    <x v="1"/>
    <s v="No Age Specific, Grouped of Defenders (n=6), Midfielders (n=7), Forwards (n=8)"/>
    <x v="7"/>
    <x v="6"/>
    <x v="1"/>
    <x v="2"/>
    <x v="0"/>
    <n v="18"/>
    <m/>
    <x v="8"/>
    <s v="Dominant"/>
    <x v="1"/>
    <x v="1"/>
    <x v="1"/>
    <x v="0"/>
    <m/>
    <m/>
    <m/>
    <m/>
    <m/>
    <m/>
    <n v="41.4"/>
    <n v="9.49"/>
    <m/>
    <m/>
    <m/>
    <m/>
    <m/>
    <m/>
    <m/>
    <m/>
    <m/>
    <m/>
    <m/>
    <m/>
    <m/>
    <m/>
    <m/>
    <m/>
    <m/>
    <m/>
    <m/>
    <m/>
    <m/>
  </r>
  <r>
    <x v="1"/>
    <s v="No Age Specific, Grouped of Defenders (n=6), Midfielders (n=7), Forwards (n=8)"/>
    <x v="7"/>
    <x v="6"/>
    <x v="1"/>
    <x v="2"/>
    <x v="0"/>
    <n v="18"/>
    <m/>
    <x v="8"/>
    <s v="Non Domiannt"/>
    <x v="1"/>
    <x v="1"/>
    <x v="1"/>
    <x v="0"/>
    <m/>
    <m/>
    <m/>
    <m/>
    <m/>
    <m/>
    <n v="39.93"/>
    <n v="11.58"/>
    <m/>
    <m/>
    <m/>
    <m/>
    <m/>
    <m/>
    <m/>
    <m/>
    <m/>
    <m/>
    <m/>
    <m/>
    <m/>
    <m/>
    <m/>
    <m/>
    <m/>
    <m/>
    <m/>
    <m/>
    <m/>
  </r>
  <r>
    <x v="1"/>
    <s v="Concentric, 3 × 15 reps at 120°·s⁻¹,"/>
    <x v="8"/>
    <x v="7"/>
    <x v="0"/>
    <x v="0"/>
    <x v="0"/>
    <n v="21"/>
    <n v="2"/>
    <x v="9"/>
    <s v="Injured, Pre"/>
    <x v="1"/>
    <x v="0"/>
    <x v="2"/>
    <x v="0"/>
    <m/>
    <m/>
    <m/>
    <m/>
    <n v="14.79"/>
    <n v="1.56"/>
    <n v="14.41"/>
    <n v="3.13"/>
    <m/>
    <m/>
    <m/>
    <m/>
    <m/>
    <m/>
    <m/>
    <m/>
    <m/>
    <m/>
    <m/>
    <m/>
    <m/>
    <m/>
    <m/>
    <m/>
    <m/>
    <m/>
    <m/>
    <m/>
    <m/>
  </r>
  <r>
    <x v="1"/>
    <s v="Concentric, 3 × 15 reps at 120°·s⁻¹,"/>
    <x v="8"/>
    <x v="7"/>
    <x v="0"/>
    <x v="0"/>
    <x v="0"/>
    <n v="21"/>
    <n v="2"/>
    <x v="9"/>
    <s v="Healthy, Pre"/>
    <x v="1"/>
    <x v="0"/>
    <x v="2"/>
    <x v="0"/>
    <m/>
    <m/>
    <m/>
    <m/>
    <n v="17.46"/>
    <n v="1.59"/>
    <n v="16.920000000000002"/>
    <n v="2.68"/>
    <m/>
    <m/>
    <m/>
    <m/>
    <m/>
    <m/>
    <m/>
    <m/>
    <m/>
    <m/>
    <m/>
    <m/>
    <m/>
    <m/>
    <m/>
    <m/>
    <m/>
    <m/>
    <m/>
    <m/>
    <m/>
  </r>
  <r>
    <x v="1"/>
    <s v="Concentric, 3 × 15 reps at 120°·s⁻¹,"/>
    <x v="8"/>
    <x v="7"/>
    <x v="0"/>
    <x v="0"/>
    <x v="0"/>
    <n v="21"/>
    <n v="2"/>
    <x v="9"/>
    <s v="Injured, Post"/>
    <x v="1"/>
    <x v="0"/>
    <x v="2"/>
    <x v="0"/>
    <m/>
    <m/>
    <m/>
    <m/>
    <n v="16.5"/>
    <n v="2.38"/>
    <n v="17.21"/>
    <n v="3.36"/>
    <m/>
    <m/>
    <m/>
    <m/>
    <m/>
    <m/>
    <m/>
    <m/>
    <m/>
    <m/>
    <m/>
    <m/>
    <m/>
    <m/>
    <m/>
    <m/>
    <m/>
    <m/>
    <m/>
    <m/>
    <m/>
  </r>
  <r>
    <x v="1"/>
    <s v="Concentric, 3 × 15 reps at 120°·s⁻¹,"/>
    <x v="8"/>
    <x v="7"/>
    <x v="0"/>
    <x v="0"/>
    <x v="0"/>
    <n v="21"/>
    <n v="2"/>
    <x v="9"/>
    <s v="Healthy, Post"/>
    <x v="1"/>
    <x v="0"/>
    <x v="2"/>
    <x v="0"/>
    <m/>
    <m/>
    <m/>
    <m/>
    <n v="16.920000000000002"/>
    <n v="2.12"/>
    <n v="17.38"/>
    <n v="3.56"/>
    <m/>
    <m/>
    <m/>
    <m/>
    <m/>
    <m/>
    <m/>
    <m/>
    <m/>
    <m/>
    <m/>
    <m/>
    <m/>
    <m/>
    <m/>
    <m/>
    <m/>
    <m/>
    <m/>
    <m/>
    <m/>
  </r>
  <r>
    <x v="1"/>
    <s v="Concentric, 3 × 15 reps at 120°·s⁻¹,"/>
    <x v="8"/>
    <x v="7"/>
    <x v="0"/>
    <x v="0"/>
    <x v="0"/>
    <n v="21"/>
    <n v="2"/>
    <x v="9"/>
    <s v="Injured, Pre"/>
    <x v="1"/>
    <x v="1"/>
    <x v="2"/>
    <x v="0"/>
    <m/>
    <m/>
    <m/>
    <m/>
    <n v="27.42"/>
    <n v="5.26"/>
    <n v="25.17"/>
    <n v="2.2999999999999998"/>
    <m/>
    <m/>
    <m/>
    <m/>
    <m/>
    <m/>
    <m/>
    <m/>
    <m/>
    <m/>
    <m/>
    <m/>
    <m/>
    <m/>
    <m/>
    <m/>
    <m/>
    <m/>
    <m/>
    <m/>
    <m/>
  </r>
  <r>
    <x v="1"/>
    <s v="Concentric, 3 × 15 reps at 120°·s⁻¹,"/>
    <x v="8"/>
    <x v="7"/>
    <x v="0"/>
    <x v="0"/>
    <x v="0"/>
    <n v="21"/>
    <n v="2"/>
    <x v="9"/>
    <s v="Healthy, Pre"/>
    <x v="1"/>
    <x v="1"/>
    <x v="2"/>
    <x v="0"/>
    <m/>
    <m/>
    <m/>
    <m/>
    <n v="29.33"/>
    <n v="5.47"/>
    <n v="26.25"/>
    <n v="2.89"/>
    <m/>
    <m/>
    <m/>
    <m/>
    <m/>
    <m/>
    <m/>
    <m/>
    <m/>
    <m/>
    <m/>
    <m/>
    <m/>
    <m/>
    <m/>
    <m/>
    <m/>
    <m/>
    <m/>
    <m/>
    <m/>
  </r>
  <r>
    <x v="1"/>
    <s v="Concentric, 3 × 15 reps at 120°·s⁻¹,"/>
    <x v="8"/>
    <x v="7"/>
    <x v="0"/>
    <x v="0"/>
    <x v="0"/>
    <n v="21"/>
    <n v="2"/>
    <x v="9"/>
    <s v="Injured, Post"/>
    <x v="1"/>
    <x v="1"/>
    <x v="2"/>
    <x v="0"/>
    <m/>
    <m/>
    <m/>
    <m/>
    <n v="28.17"/>
    <n v="5.09"/>
    <n v="26.17"/>
    <n v="3.78"/>
    <m/>
    <m/>
    <m/>
    <m/>
    <m/>
    <m/>
    <m/>
    <m/>
    <m/>
    <m/>
    <m/>
    <m/>
    <m/>
    <m/>
    <m/>
    <m/>
    <m/>
    <m/>
    <m/>
    <m/>
    <m/>
  </r>
  <r>
    <x v="1"/>
    <s v="Concentric, 3 × 15 reps at 120°·s⁻¹,"/>
    <x v="8"/>
    <x v="7"/>
    <x v="0"/>
    <x v="0"/>
    <x v="0"/>
    <n v="21"/>
    <n v="2"/>
    <x v="9"/>
    <s v="Healthy, Post"/>
    <x v="1"/>
    <x v="1"/>
    <x v="2"/>
    <x v="0"/>
    <m/>
    <m/>
    <m/>
    <m/>
    <n v="28.96"/>
    <n v="4.76"/>
    <n v="26.96"/>
    <n v="3.61"/>
    <m/>
    <m/>
    <m/>
    <m/>
    <m/>
    <m/>
    <m/>
    <m/>
    <m/>
    <m/>
    <m/>
    <m/>
    <m/>
    <m/>
    <m/>
    <m/>
    <m/>
    <m/>
    <m/>
    <m/>
    <m/>
  </r>
  <r>
    <x v="0"/>
    <s v="U12–U17 basketball players, plantarflexor torque was 2–4× higher than dorsiflexor torque"/>
    <x v="9"/>
    <x v="8"/>
    <x v="3"/>
    <x v="4"/>
    <x v="0"/>
    <n v="12"/>
    <s v="N/A"/>
    <x v="10"/>
    <s v="N/A"/>
    <x v="1"/>
    <x v="0"/>
    <x v="2"/>
    <x v="0"/>
    <n v="14.8"/>
    <n v="4.5"/>
    <n v="53.9"/>
    <n v="11"/>
    <m/>
    <m/>
    <m/>
    <m/>
    <m/>
    <m/>
    <m/>
    <m/>
    <m/>
    <m/>
    <m/>
    <m/>
    <m/>
    <m/>
    <m/>
    <m/>
    <m/>
    <m/>
    <m/>
    <m/>
    <m/>
    <m/>
    <m/>
    <m/>
    <m/>
  </r>
  <r>
    <x v="0"/>
    <s v="U12–U17 basketball players, plantarflexor torque was 2–4× higher than dorsiflexor torque"/>
    <x v="9"/>
    <x v="8"/>
    <x v="3"/>
    <x v="4"/>
    <x v="0"/>
    <n v="13"/>
    <s v="N/A"/>
    <x v="10"/>
    <s v="N/A"/>
    <x v="1"/>
    <x v="0"/>
    <x v="2"/>
    <x v="0"/>
    <n v="17.5"/>
    <n v="6"/>
    <n v="68.2"/>
    <n v="18.399999999999999"/>
    <m/>
    <m/>
    <m/>
    <m/>
    <m/>
    <m/>
    <m/>
    <m/>
    <m/>
    <m/>
    <m/>
    <m/>
    <m/>
    <m/>
    <m/>
    <m/>
    <m/>
    <m/>
    <m/>
    <m/>
    <m/>
    <m/>
    <m/>
    <m/>
    <m/>
  </r>
  <r>
    <x v="0"/>
    <s v="U12–U17 basketball players, plantarflexor torque was 2–4× higher than dorsiflexor torque"/>
    <x v="9"/>
    <x v="8"/>
    <x v="3"/>
    <x v="4"/>
    <x v="0"/>
    <n v="14"/>
    <s v="N/A"/>
    <x v="10"/>
    <s v="N/A"/>
    <x v="1"/>
    <x v="0"/>
    <x v="2"/>
    <x v="0"/>
    <n v="23"/>
    <n v="7.1"/>
    <n v="79.400000000000006"/>
    <n v="16.8"/>
    <m/>
    <m/>
    <m/>
    <m/>
    <m/>
    <m/>
    <m/>
    <m/>
    <m/>
    <m/>
    <m/>
    <m/>
    <m/>
    <m/>
    <m/>
    <m/>
    <m/>
    <m/>
    <m/>
    <m/>
    <m/>
    <m/>
    <m/>
    <m/>
    <m/>
  </r>
  <r>
    <x v="0"/>
    <s v="U12–U17 basketball players, plantarflexor torque was 2–4× higher than dorsiflexor torque"/>
    <x v="9"/>
    <x v="8"/>
    <x v="3"/>
    <x v="4"/>
    <x v="0"/>
    <n v="15"/>
    <s v="N/A"/>
    <x v="10"/>
    <s v="N/A"/>
    <x v="1"/>
    <x v="0"/>
    <x v="2"/>
    <x v="0"/>
    <n v="27.9"/>
    <n v="7.2"/>
    <n v="89.8"/>
    <n v="22.8"/>
    <m/>
    <m/>
    <m/>
    <m/>
    <m/>
    <m/>
    <m/>
    <m/>
    <m/>
    <m/>
    <m/>
    <m/>
    <m/>
    <m/>
    <m/>
    <m/>
    <m/>
    <m/>
    <m/>
    <m/>
    <m/>
    <m/>
    <m/>
    <m/>
    <m/>
  </r>
  <r>
    <x v="0"/>
    <s v="U12–U17 basketball players, plantarflexor torque was 2–4× higher than dorsiflexor torque"/>
    <x v="9"/>
    <x v="8"/>
    <x v="3"/>
    <x v="4"/>
    <x v="0"/>
    <n v="16"/>
    <s v="N/A"/>
    <x v="10"/>
    <s v="N/A"/>
    <x v="1"/>
    <x v="0"/>
    <x v="2"/>
    <x v="0"/>
    <n v="28.2"/>
    <n v="3.6"/>
    <n v="104.9"/>
    <n v="16.899999999999999"/>
    <m/>
    <m/>
    <m/>
    <m/>
    <m/>
    <m/>
    <m/>
    <m/>
    <m/>
    <m/>
    <m/>
    <m/>
    <m/>
    <m/>
    <m/>
    <m/>
    <m/>
    <m/>
    <m/>
    <m/>
    <m/>
    <m/>
    <m/>
    <m/>
    <m/>
  </r>
  <r>
    <x v="0"/>
    <s v="U12–U17 basketball players, plantarflexor torque was 2–4× higher than dorsiflexor torque"/>
    <x v="9"/>
    <x v="8"/>
    <x v="3"/>
    <x v="4"/>
    <x v="0"/>
    <n v="17"/>
    <s v="N/A"/>
    <x v="10"/>
    <s v="N/A"/>
    <x v="1"/>
    <x v="0"/>
    <x v="2"/>
    <x v="0"/>
    <n v="28.9"/>
    <n v="5.5"/>
    <n v="110.3"/>
    <n v="19.5"/>
    <m/>
    <m/>
    <m/>
    <m/>
    <m/>
    <m/>
    <m/>
    <m/>
    <m/>
    <m/>
    <m/>
    <m/>
    <m/>
    <m/>
    <m/>
    <m/>
    <m/>
    <m/>
    <m/>
    <m/>
    <m/>
    <m/>
    <m/>
    <m/>
    <m/>
  </r>
  <r>
    <x v="0"/>
    <s v="U12–U17 basketball players, plantarflexor torque was 2–4× higher than dorsiflexor torque"/>
    <x v="9"/>
    <x v="8"/>
    <x v="3"/>
    <x v="4"/>
    <x v="0"/>
    <n v="12"/>
    <s v="N/A"/>
    <x v="10"/>
    <s v="N/A"/>
    <x v="1"/>
    <x v="1"/>
    <x v="2"/>
    <x v="0"/>
    <n v="29.8"/>
    <n v="6.7"/>
    <n v="74.3"/>
    <n v="16.600000000000001"/>
    <m/>
    <m/>
    <m/>
    <m/>
    <m/>
    <m/>
    <m/>
    <m/>
    <m/>
    <m/>
    <m/>
    <m/>
    <m/>
    <m/>
    <m/>
    <m/>
    <m/>
    <m/>
    <m/>
    <m/>
    <m/>
    <m/>
    <m/>
    <m/>
    <m/>
  </r>
  <r>
    <x v="0"/>
    <s v="U12–U17 basketball players, plantarflexor torque was 2–4× higher than dorsiflexor torque"/>
    <x v="9"/>
    <x v="8"/>
    <x v="3"/>
    <x v="4"/>
    <x v="0"/>
    <n v="13"/>
    <s v="N/A"/>
    <x v="10"/>
    <s v="N/A"/>
    <x v="1"/>
    <x v="1"/>
    <x v="2"/>
    <x v="0"/>
    <n v="35.6"/>
    <n v="11"/>
    <n v="91.9"/>
    <n v="21.9"/>
    <m/>
    <m/>
    <m/>
    <m/>
    <m/>
    <m/>
    <m/>
    <m/>
    <m/>
    <m/>
    <m/>
    <m/>
    <m/>
    <m/>
    <m/>
    <m/>
    <m/>
    <m/>
    <m/>
    <m/>
    <m/>
    <m/>
    <m/>
    <m/>
    <m/>
  </r>
  <r>
    <x v="0"/>
    <s v="U12–U17 basketball players, plantarflexor torque was 2–4× higher than dorsiflexor torque"/>
    <x v="9"/>
    <x v="8"/>
    <x v="3"/>
    <x v="4"/>
    <x v="0"/>
    <n v="14"/>
    <s v="N/A"/>
    <x v="10"/>
    <s v="N/A"/>
    <x v="1"/>
    <x v="1"/>
    <x v="2"/>
    <x v="0"/>
    <n v="45.1"/>
    <n v="14.6"/>
    <n v="109.2"/>
    <n v="27.6"/>
    <m/>
    <m/>
    <m/>
    <m/>
    <m/>
    <m/>
    <m/>
    <m/>
    <m/>
    <m/>
    <m/>
    <m/>
    <m/>
    <m/>
    <m/>
    <m/>
    <m/>
    <m/>
    <m/>
    <m/>
    <m/>
    <m/>
    <m/>
    <m/>
    <m/>
  </r>
  <r>
    <x v="0"/>
    <s v="U12–U17 basketball players, plantarflexor torque was 2–4× higher than dorsiflexor torque"/>
    <x v="9"/>
    <x v="8"/>
    <x v="3"/>
    <x v="4"/>
    <x v="0"/>
    <n v="15"/>
    <s v="N/A"/>
    <x v="10"/>
    <s v="N/A"/>
    <x v="1"/>
    <x v="1"/>
    <x v="2"/>
    <x v="0"/>
    <n v="53.5"/>
    <n v="12.5"/>
    <n v="127.3"/>
    <n v="32.9"/>
    <m/>
    <m/>
    <m/>
    <m/>
    <m/>
    <m/>
    <m/>
    <m/>
    <m/>
    <m/>
    <m/>
    <m/>
    <m/>
    <m/>
    <m/>
    <m/>
    <m/>
    <m/>
    <m/>
    <m/>
    <m/>
    <m/>
    <m/>
    <m/>
    <m/>
  </r>
  <r>
    <x v="0"/>
    <s v="U12–U17 basketball players, plantarflexor torque was 2–4× higher than dorsiflexor torque"/>
    <x v="9"/>
    <x v="8"/>
    <x v="3"/>
    <x v="4"/>
    <x v="0"/>
    <n v="16"/>
    <s v="N/A"/>
    <x v="10"/>
    <s v="N/A"/>
    <x v="1"/>
    <x v="1"/>
    <x v="2"/>
    <x v="0"/>
    <n v="54"/>
    <n v="6"/>
    <n v="144.4"/>
    <n v="22.3"/>
    <m/>
    <m/>
    <m/>
    <m/>
    <m/>
    <m/>
    <m/>
    <m/>
    <m/>
    <m/>
    <m/>
    <m/>
    <m/>
    <m/>
    <m/>
    <m/>
    <m/>
    <m/>
    <m/>
    <m/>
    <m/>
    <m/>
    <m/>
    <m/>
    <m/>
  </r>
  <r>
    <x v="0"/>
    <s v="U12–U17 basketball players, plantarflexor torque was 2–4× higher than dorsiflexor torque"/>
    <x v="9"/>
    <x v="8"/>
    <x v="3"/>
    <x v="4"/>
    <x v="0"/>
    <n v="17"/>
    <s v="N/A"/>
    <x v="10"/>
    <s v="N/A"/>
    <x v="1"/>
    <x v="1"/>
    <x v="2"/>
    <x v="0"/>
    <n v="55"/>
    <n v="11.7"/>
    <n v="154.19999999999999"/>
    <n v="25.3"/>
    <m/>
    <m/>
    <m/>
    <m/>
    <m/>
    <m/>
    <m/>
    <m/>
    <m/>
    <m/>
    <m/>
    <m/>
    <m/>
    <m/>
    <m/>
    <m/>
    <m/>
    <m/>
    <m/>
    <m/>
    <m/>
    <m/>
    <m/>
    <m/>
    <m/>
  </r>
  <r>
    <x v="6"/>
    <s v="U12–U17 basketball players, plantarflexor torque was 2–4× higher than dorsiflexor torque"/>
    <x v="9"/>
    <x v="8"/>
    <x v="3"/>
    <x v="4"/>
    <x v="0"/>
    <n v="12"/>
    <s v="N/A"/>
    <x v="10"/>
    <s v="N/A"/>
    <x v="1"/>
    <x v="0"/>
    <x v="2"/>
    <x v="0"/>
    <n v="8.5"/>
    <n v="3.1"/>
    <n v="36.5"/>
    <n v="8.9"/>
    <m/>
    <m/>
    <m/>
    <m/>
    <m/>
    <m/>
    <m/>
    <m/>
    <m/>
    <m/>
    <m/>
    <m/>
    <m/>
    <m/>
    <m/>
    <m/>
    <m/>
    <m/>
    <m/>
    <m/>
    <m/>
    <m/>
    <m/>
    <m/>
    <m/>
  </r>
  <r>
    <x v="6"/>
    <s v="U12–U17 basketball players, plantarflexor torque was 2–4× higher than dorsiflexor torque"/>
    <x v="9"/>
    <x v="8"/>
    <x v="3"/>
    <x v="4"/>
    <x v="0"/>
    <n v="13"/>
    <s v="N/A"/>
    <x v="10"/>
    <s v="N/A"/>
    <x v="1"/>
    <x v="0"/>
    <x v="2"/>
    <x v="0"/>
    <n v="10.7"/>
    <n v="3.8"/>
    <n v="45.8"/>
    <n v="11.6"/>
    <m/>
    <m/>
    <m/>
    <m/>
    <m/>
    <m/>
    <m/>
    <m/>
    <m/>
    <m/>
    <m/>
    <m/>
    <m/>
    <m/>
    <m/>
    <m/>
    <m/>
    <m/>
    <m/>
    <m/>
    <m/>
    <m/>
    <m/>
    <m/>
    <m/>
  </r>
  <r>
    <x v="6"/>
    <s v="U12–U17 basketball players, plantarflexor torque was 2–4× higher than dorsiflexor torque"/>
    <x v="9"/>
    <x v="8"/>
    <x v="3"/>
    <x v="4"/>
    <x v="0"/>
    <n v="14"/>
    <s v="N/A"/>
    <x v="10"/>
    <s v="N/A"/>
    <x v="1"/>
    <x v="0"/>
    <x v="2"/>
    <x v="0"/>
    <n v="14.2"/>
    <n v="5.7"/>
    <n v="54.6"/>
    <n v="12.4"/>
    <m/>
    <m/>
    <m/>
    <m/>
    <m/>
    <m/>
    <m/>
    <m/>
    <m/>
    <m/>
    <m/>
    <m/>
    <m/>
    <m/>
    <m/>
    <m/>
    <m/>
    <m/>
    <m/>
    <m/>
    <m/>
    <m/>
    <m/>
    <m/>
    <m/>
  </r>
  <r>
    <x v="6"/>
    <s v="U12–U17 basketball players, plantarflexor torque was 2–4× higher than dorsiflexor torque"/>
    <x v="9"/>
    <x v="8"/>
    <x v="3"/>
    <x v="4"/>
    <x v="0"/>
    <n v="15"/>
    <s v="N/A"/>
    <x v="10"/>
    <s v="N/A"/>
    <x v="1"/>
    <x v="0"/>
    <x v="2"/>
    <x v="0"/>
    <n v="16.7"/>
    <n v="5.8"/>
    <n v="60.1"/>
    <n v="17"/>
    <m/>
    <m/>
    <m/>
    <m/>
    <m/>
    <m/>
    <m/>
    <m/>
    <m/>
    <m/>
    <m/>
    <m/>
    <m/>
    <m/>
    <m/>
    <m/>
    <m/>
    <m/>
    <m/>
    <m/>
    <m/>
    <m/>
    <m/>
    <m/>
    <m/>
  </r>
  <r>
    <x v="6"/>
    <s v="U12–U17 basketball players, plantarflexor torque was 2–4× higher than dorsiflexor torque"/>
    <x v="9"/>
    <x v="8"/>
    <x v="3"/>
    <x v="4"/>
    <x v="0"/>
    <n v="16"/>
    <s v="N/A"/>
    <x v="10"/>
    <s v="N/A"/>
    <x v="1"/>
    <x v="0"/>
    <x v="2"/>
    <x v="0"/>
    <n v="18"/>
    <n v="3.1"/>
    <n v="71.099999999999994"/>
    <n v="12"/>
    <m/>
    <m/>
    <m/>
    <m/>
    <m/>
    <m/>
    <m/>
    <m/>
    <m/>
    <m/>
    <m/>
    <m/>
    <m/>
    <m/>
    <m/>
    <m/>
    <m/>
    <m/>
    <m/>
    <m/>
    <m/>
    <m/>
    <m/>
    <m/>
    <m/>
  </r>
  <r>
    <x v="6"/>
    <s v="U12–U17 basketball players, plantarflexor torque was 2–4× higher than dorsiflexor torque"/>
    <x v="9"/>
    <x v="8"/>
    <x v="3"/>
    <x v="4"/>
    <x v="0"/>
    <n v="17"/>
    <s v="N/A"/>
    <x v="10"/>
    <s v="N/A"/>
    <x v="1"/>
    <x v="0"/>
    <x v="2"/>
    <x v="0"/>
    <n v="18.600000000000001"/>
    <n v="5"/>
    <n v="75.599999999999994"/>
    <n v="18.8"/>
    <m/>
    <m/>
    <m/>
    <m/>
    <m/>
    <m/>
    <m/>
    <m/>
    <m/>
    <m/>
    <m/>
    <m/>
    <m/>
    <m/>
    <m/>
    <m/>
    <m/>
    <m/>
    <m/>
    <m/>
    <m/>
    <m/>
    <m/>
    <m/>
    <m/>
  </r>
  <r>
    <x v="6"/>
    <s v="U12–U17 basketball players, plantarflexor torque was 2–4× higher than dorsiflexor torque"/>
    <x v="9"/>
    <x v="8"/>
    <x v="3"/>
    <x v="4"/>
    <x v="0"/>
    <n v="12"/>
    <s v="N/A"/>
    <x v="10"/>
    <s v="N/A"/>
    <x v="1"/>
    <x v="1"/>
    <x v="2"/>
    <x v="0"/>
    <n v="29.5"/>
    <n v="6.6"/>
    <n v="64.3"/>
    <n v="13.6"/>
    <m/>
    <m/>
    <m/>
    <m/>
    <m/>
    <m/>
    <m/>
    <m/>
    <m/>
    <m/>
    <m/>
    <m/>
    <m/>
    <m/>
    <m/>
    <m/>
    <m/>
    <m/>
    <m/>
    <m/>
    <m/>
    <m/>
    <m/>
    <m/>
    <m/>
  </r>
  <r>
    <x v="6"/>
    <s v="U12–U17 basketball players, plantarflexor torque was 2–4× higher than dorsiflexor torque"/>
    <x v="9"/>
    <x v="8"/>
    <x v="3"/>
    <x v="4"/>
    <x v="0"/>
    <n v="13"/>
    <s v="N/A"/>
    <x v="10"/>
    <s v="N/A"/>
    <x v="1"/>
    <x v="1"/>
    <x v="2"/>
    <x v="0"/>
    <n v="34.799999999999997"/>
    <n v="10.6"/>
    <n v="76.8"/>
    <n v="19.3"/>
    <m/>
    <m/>
    <m/>
    <m/>
    <m/>
    <m/>
    <m/>
    <m/>
    <m/>
    <m/>
    <m/>
    <m/>
    <m/>
    <m/>
    <m/>
    <m/>
    <m/>
    <m/>
    <m/>
    <m/>
    <m/>
    <m/>
    <m/>
    <m/>
    <m/>
  </r>
  <r>
    <x v="6"/>
    <s v="U12–U17 basketball players, plantarflexor torque was 2–4× higher than dorsiflexor torque"/>
    <x v="9"/>
    <x v="8"/>
    <x v="3"/>
    <x v="4"/>
    <x v="0"/>
    <n v="14"/>
    <s v="N/A"/>
    <x v="10"/>
    <s v="N/A"/>
    <x v="1"/>
    <x v="1"/>
    <x v="2"/>
    <x v="0"/>
    <n v="44.3"/>
    <n v="13.2"/>
    <n v="90.4"/>
    <n v="19.8"/>
    <m/>
    <m/>
    <m/>
    <m/>
    <m/>
    <m/>
    <m/>
    <m/>
    <m/>
    <m/>
    <m/>
    <m/>
    <m/>
    <m/>
    <m/>
    <m/>
    <m/>
    <m/>
    <m/>
    <m/>
    <m/>
    <m/>
    <m/>
    <m/>
    <m/>
  </r>
  <r>
    <x v="6"/>
    <s v="U12–U17 basketball players, plantarflexor torque was 2–4× higher than dorsiflexor torque"/>
    <x v="9"/>
    <x v="8"/>
    <x v="3"/>
    <x v="4"/>
    <x v="0"/>
    <n v="15"/>
    <s v="N/A"/>
    <x v="10"/>
    <s v="N/A"/>
    <x v="1"/>
    <x v="1"/>
    <x v="2"/>
    <x v="0"/>
    <n v="53.3"/>
    <n v="13.3"/>
    <n v="103.8"/>
    <n v="26.5"/>
    <m/>
    <m/>
    <m/>
    <m/>
    <m/>
    <m/>
    <m/>
    <m/>
    <m/>
    <m/>
    <m/>
    <m/>
    <m/>
    <m/>
    <m/>
    <m/>
    <m/>
    <m/>
    <m/>
    <m/>
    <m/>
    <m/>
    <m/>
    <m/>
    <m/>
  </r>
  <r>
    <x v="6"/>
    <s v="U12–U17 basketball players, plantarflexor torque was 2–4× higher than dorsiflexor torque"/>
    <x v="9"/>
    <x v="8"/>
    <x v="3"/>
    <x v="4"/>
    <x v="0"/>
    <n v="16"/>
    <s v="N/A"/>
    <x v="10"/>
    <s v="N/A"/>
    <x v="1"/>
    <x v="1"/>
    <x v="2"/>
    <x v="0"/>
    <n v="54.8"/>
    <n v="8.1999999999999993"/>
    <n v="122.3"/>
    <n v="22.6"/>
    <m/>
    <m/>
    <m/>
    <m/>
    <m/>
    <m/>
    <m/>
    <m/>
    <m/>
    <m/>
    <m/>
    <m/>
    <m/>
    <m/>
    <m/>
    <m/>
    <m/>
    <m/>
    <m/>
    <m/>
    <m/>
    <m/>
    <m/>
    <m/>
    <m/>
  </r>
  <r>
    <x v="6"/>
    <s v="U12–U17 basketball players, plantarflexor torque was 2–4× higher than dorsiflexor torque"/>
    <x v="9"/>
    <x v="8"/>
    <x v="3"/>
    <x v="4"/>
    <x v="0"/>
    <n v="17"/>
    <s v="N/A"/>
    <x v="10"/>
    <s v="N/A"/>
    <x v="1"/>
    <x v="1"/>
    <x v="2"/>
    <x v="0"/>
    <n v="55.2"/>
    <n v="13.4"/>
    <n v="128.69999999999999"/>
    <n v="23.7"/>
    <m/>
    <m/>
    <m/>
    <m/>
    <m/>
    <m/>
    <m/>
    <m/>
    <m/>
    <m/>
    <m/>
    <m/>
    <m/>
    <m/>
    <m/>
    <m/>
    <m/>
    <m/>
    <m/>
    <m/>
    <m/>
    <m/>
    <m/>
    <m/>
    <m/>
  </r>
  <r>
    <x v="2"/>
    <m/>
    <x v="10"/>
    <x v="8"/>
    <x v="3"/>
    <x v="4"/>
    <x v="0"/>
    <n v="16.5"/>
    <n v="1.1000000000000001"/>
    <x v="11"/>
    <s v="Injured"/>
    <x v="1"/>
    <x v="0"/>
    <x v="2"/>
    <x v="0"/>
    <m/>
    <m/>
    <m/>
    <m/>
    <n v="13.9"/>
    <n v="2.7"/>
    <n v="12.9"/>
    <n v="2.2999999999999998"/>
    <m/>
    <m/>
    <m/>
    <m/>
    <m/>
    <m/>
    <m/>
    <m/>
    <m/>
    <m/>
    <m/>
    <m/>
    <m/>
    <m/>
    <m/>
    <m/>
    <m/>
    <m/>
    <m/>
    <n v="93.2"/>
    <n v="14.5"/>
  </r>
  <r>
    <x v="2"/>
    <m/>
    <x v="10"/>
    <x v="8"/>
    <x v="3"/>
    <x v="4"/>
    <x v="0"/>
    <n v="16.5"/>
    <n v="1.1000000000000001"/>
    <x v="12"/>
    <s v="UnInjured"/>
    <x v="1"/>
    <x v="0"/>
    <x v="2"/>
    <x v="0"/>
    <m/>
    <m/>
    <m/>
    <m/>
    <n v="13.4"/>
    <n v="2.6"/>
    <n v="12.4"/>
    <n v="2.1"/>
    <m/>
    <m/>
    <m/>
    <m/>
    <m/>
    <m/>
    <m/>
    <m/>
    <m/>
    <m/>
    <m/>
    <m/>
    <m/>
    <m/>
    <m/>
    <m/>
    <m/>
    <m/>
    <m/>
    <n v="94.8"/>
    <n v="16.7"/>
  </r>
  <r>
    <x v="2"/>
    <m/>
    <x v="10"/>
    <x v="8"/>
    <x v="3"/>
    <x v="4"/>
    <x v="0"/>
    <n v="16.5"/>
    <n v="1.1000000000000001"/>
    <x v="11"/>
    <s v="Injured"/>
    <x v="1"/>
    <x v="1"/>
    <x v="2"/>
    <x v="0"/>
    <m/>
    <m/>
    <m/>
    <m/>
    <n v="13.7"/>
    <n v="4"/>
    <n v="14.2"/>
    <n v="3.1"/>
    <m/>
    <m/>
    <m/>
    <m/>
    <m/>
    <m/>
    <m/>
    <m/>
    <m/>
    <m/>
    <m/>
    <m/>
    <m/>
    <m/>
    <m/>
    <m/>
    <m/>
    <m/>
    <m/>
    <n v="102.1"/>
    <n v="17.899999999999999"/>
  </r>
  <r>
    <x v="2"/>
    <m/>
    <x v="10"/>
    <x v="8"/>
    <x v="3"/>
    <x v="4"/>
    <x v="0"/>
    <n v="16.5"/>
    <n v="1.1000000000000001"/>
    <x v="12"/>
    <s v="UnInjured"/>
    <x v="1"/>
    <x v="1"/>
    <x v="2"/>
    <x v="0"/>
    <m/>
    <m/>
    <m/>
    <m/>
    <n v="15"/>
    <n v="3.5"/>
    <n v="15"/>
    <n v="3.1"/>
    <m/>
    <m/>
    <m/>
    <m/>
    <m/>
    <m/>
    <m/>
    <m/>
    <m/>
    <m/>
    <m/>
    <m/>
    <m/>
    <m/>
    <m/>
    <m/>
    <m/>
    <m/>
    <m/>
    <n v="97.2"/>
    <n v="22"/>
  </r>
  <r>
    <x v="3"/>
    <m/>
    <x v="10"/>
    <x v="8"/>
    <x v="3"/>
    <x v="4"/>
    <x v="0"/>
    <n v="16.5"/>
    <n v="1.1000000000000001"/>
    <x v="11"/>
    <s v="Injured"/>
    <x v="1"/>
    <x v="0"/>
    <x v="2"/>
    <x v="0"/>
    <m/>
    <m/>
    <m/>
    <m/>
    <n v="11"/>
    <n v="2.1"/>
    <n v="10.4"/>
    <n v="2.2000000000000002"/>
    <m/>
    <m/>
    <m/>
    <m/>
    <m/>
    <m/>
    <m/>
    <m/>
    <m/>
    <m/>
    <m/>
    <m/>
    <m/>
    <m/>
    <m/>
    <m/>
    <m/>
    <m/>
    <m/>
    <n v="103.1"/>
    <n v="20.3"/>
  </r>
  <r>
    <x v="3"/>
    <m/>
    <x v="10"/>
    <x v="8"/>
    <x v="3"/>
    <x v="4"/>
    <x v="0"/>
    <n v="16.5"/>
    <n v="1.1000000000000001"/>
    <x v="12"/>
    <s v="UnInjured"/>
    <x v="1"/>
    <x v="0"/>
    <x v="2"/>
    <x v="0"/>
    <m/>
    <m/>
    <m/>
    <m/>
    <n v="10.4"/>
    <n v="2.2000000000000002"/>
    <n v="10.3"/>
    <n v="1.8"/>
    <m/>
    <m/>
    <m/>
    <m/>
    <m/>
    <m/>
    <m/>
    <m/>
    <m/>
    <m/>
    <m/>
    <m/>
    <m/>
    <m/>
    <m/>
    <m/>
    <m/>
    <m/>
    <m/>
    <n v="101.1"/>
    <n v="20"/>
  </r>
  <r>
    <x v="3"/>
    <m/>
    <x v="10"/>
    <x v="8"/>
    <x v="3"/>
    <x v="4"/>
    <x v="0"/>
    <n v="16.5"/>
    <n v="1.1000000000000001"/>
    <x v="11"/>
    <s v="Injured"/>
    <x v="1"/>
    <x v="1"/>
    <x v="2"/>
    <x v="0"/>
    <m/>
    <m/>
    <m/>
    <m/>
    <n v="14.2"/>
    <n v="3.7"/>
    <n v="14.2"/>
    <n v="3.4"/>
    <m/>
    <m/>
    <m/>
    <m/>
    <m/>
    <m/>
    <m/>
    <m/>
    <m/>
    <m/>
    <m/>
    <m/>
    <m/>
    <m/>
    <m/>
    <m/>
    <m/>
    <m/>
    <m/>
    <n v="100.7"/>
    <n v="21.6"/>
  </r>
  <r>
    <x v="3"/>
    <m/>
    <x v="10"/>
    <x v="8"/>
    <x v="3"/>
    <x v="4"/>
    <x v="0"/>
    <n v="16.5"/>
    <n v="1.1000000000000001"/>
    <x v="12"/>
    <s v="UnInjured"/>
    <x v="1"/>
    <x v="1"/>
    <x v="2"/>
    <x v="0"/>
    <m/>
    <m/>
    <m/>
    <m/>
    <n v="14.4"/>
    <n v="3.3"/>
    <n v="14.6"/>
    <n v="3"/>
    <m/>
    <m/>
    <m/>
    <m/>
    <m/>
    <m/>
    <m/>
    <m/>
    <m/>
    <m/>
    <m/>
    <m/>
    <m/>
    <m/>
    <m/>
    <m/>
    <m/>
    <m/>
    <m/>
    <n v="103.2"/>
    <n v="21.9"/>
  </r>
  <r>
    <x v="0"/>
    <s v="Both plantarflexion and dorsiflexion PT decreased as velocity increased (30°·s⁻¹ &gt; 120°·s⁻¹)."/>
    <x v="11"/>
    <x v="8"/>
    <x v="0"/>
    <x v="5"/>
    <x v="0"/>
    <n v="72"/>
    <n v="6"/>
    <x v="13"/>
    <s v="Men"/>
    <x v="1"/>
    <x v="0"/>
    <x v="1"/>
    <x v="0"/>
    <n v="27"/>
    <n v="7"/>
    <n v="54"/>
    <n v="25"/>
    <m/>
    <m/>
    <m/>
    <m/>
    <m/>
    <m/>
    <m/>
    <m/>
    <m/>
    <m/>
    <m/>
    <m/>
    <m/>
    <m/>
    <m/>
    <m/>
    <m/>
    <m/>
    <m/>
    <n v="11"/>
    <n v="4"/>
    <n v="16"/>
    <n v="12"/>
    <m/>
    <m/>
  </r>
  <r>
    <x v="0"/>
    <s v="Both plantarflexion and dorsiflexion PT decreased as velocity increased (30°·s⁻¹ &gt; 120°·s⁻¹)."/>
    <x v="11"/>
    <x v="8"/>
    <x v="0"/>
    <x v="5"/>
    <x v="0"/>
    <n v="72"/>
    <n v="6"/>
    <x v="14"/>
    <s v="Women"/>
    <x v="2"/>
    <x v="0"/>
    <x v="1"/>
    <x v="0"/>
    <n v="19"/>
    <n v="5"/>
    <n v="40"/>
    <n v="15"/>
    <m/>
    <m/>
    <m/>
    <m/>
    <m/>
    <m/>
    <m/>
    <m/>
    <m/>
    <m/>
    <m/>
    <m/>
    <m/>
    <m/>
    <m/>
    <m/>
    <m/>
    <m/>
    <m/>
    <n v="8"/>
    <n v="2"/>
    <n v="15"/>
    <n v="7"/>
    <m/>
    <m/>
  </r>
  <r>
    <x v="1"/>
    <s v="Both plantarflexion and dorsiflexion PT decreased as velocity increased (30°·s⁻¹ &gt; 120°·s⁻¹)."/>
    <x v="11"/>
    <x v="8"/>
    <x v="0"/>
    <x v="5"/>
    <x v="0"/>
    <n v="72"/>
    <n v="6"/>
    <x v="13"/>
    <s v="Men"/>
    <x v="1"/>
    <x v="0"/>
    <x v="1"/>
    <x v="0"/>
    <n v="16"/>
    <n v="4"/>
    <n v="28"/>
    <n v="18"/>
    <m/>
    <m/>
    <m/>
    <m/>
    <m/>
    <m/>
    <m/>
    <m/>
    <m/>
    <m/>
    <m/>
    <m/>
    <m/>
    <m/>
    <m/>
    <m/>
    <m/>
    <m/>
    <m/>
    <m/>
    <m/>
    <m/>
    <m/>
    <m/>
    <m/>
  </r>
  <r>
    <x v="1"/>
    <s v="Both plantarflexion and dorsiflexion PT decreased as velocity increased (30°·s⁻¹ &gt; 120°·s⁻¹)."/>
    <x v="11"/>
    <x v="8"/>
    <x v="0"/>
    <x v="5"/>
    <x v="0"/>
    <n v="72"/>
    <n v="6"/>
    <x v="14"/>
    <s v="Women"/>
    <x v="2"/>
    <x v="0"/>
    <x v="1"/>
    <x v="0"/>
    <n v="12"/>
    <n v="3"/>
    <n v="23"/>
    <n v="9"/>
    <m/>
    <m/>
    <m/>
    <m/>
    <m/>
    <m/>
    <m/>
    <m/>
    <m/>
    <m/>
    <m/>
    <m/>
    <m/>
    <m/>
    <m/>
    <m/>
    <m/>
    <m/>
    <m/>
    <m/>
    <m/>
    <m/>
    <m/>
    <m/>
    <m/>
  </r>
  <r>
    <x v="1"/>
    <m/>
    <x v="7"/>
    <x v="6"/>
    <x v="1"/>
    <x v="1"/>
    <x v="0"/>
    <n v="20"/>
    <m/>
    <x v="15"/>
    <s v="Dominant"/>
    <x v="1"/>
    <x v="0"/>
    <x v="1"/>
    <x v="0"/>
    <m/>
    <m/>
    <m/>
    <m/>
    <n v="41.8"/>
    <n v="12.01"/>
    <n v="38.06"/>
    <n v="9.42"/>
    <m/>
    <m/>
    <m/>
    <m/>
    <m/>
    <m/>
    <m/>
    <m/>
    <m/>
    <m/>
    <m/>
    <m/>
    <m/>
    <m/>
    <m/>
    <m/>
    <m/>
    <m/>
    <m/>
    <n v="0.94"/>
    <n v="0.19"/>
  </r>
  <r>
    <x v="1"/>
    <m/>
    <x v="7"/>
    <x v="6"/>
    <x v="1"/>
    <x v="1"/>
    <x v="0"/>
    <n v="20"/>
    <m/>
    <x v="15"/>
    <s v="Non-Dominant"/>
    <x v="1"/>
    <x v="0"/>
    <x v="1"/>
    <x v="0"/>
    <m/>
    <m/>
    <m/>
    <m/>
    <n v="41.8"/>
    <n v="12.01"/>
    <n v="38.93"/>
    <n v="11.58"/>
    <m/>
    <m/>
    <m/>
    <m/>
    <m/>
    <m/>
    <m/>
    <m/>
    <m/>
    <m/>
    <m/>
    <m/>
    <m/>
    <m/>
    <m/>
    <m/>
    <m/>
    <m/>
    <m/>
    <n v="0.92"/>
    <n v="0.24"/>
  </r>
  <r>
    <x v="1"/>
    <m/>
    <x v="7"/>
    <x v="6"/>
    <x v="1"/>
    <x v="1"/>
    <x v="0"/>
    <n v="20"/>
    <m/>
    <x v="15"/>
    <s v="Dominant"/>
    <x v="1"/>
    <x v="1"/>
    <x v="1"/>
    <x v="0"/>
    <m/>
    <m/>
    <m/>
    <m/>
    <n v="41.4"/>
    <n v="9.49"/>
    <n v="40.03"/>
    <n v="13.15"/>
    <m/>
    <m/>
    <m/>
    <m/>
    <m/>
    <m/>
    <m/>
    <m/>
    <m/>
    <m/>
    <m/>
    <m/>
    <m/>
    <m/>
    <m/>
    <m/>
    <m/>
    <m/>
    <m/>
    <n v="0.97"/>
    <n v="0.2"/>
  </r>
  <r>
    <x v="1"/>
    <m/>
    <x v="7"/>
    <x v="6"/>
    <x v="1"/>
    <x v="1"/>
    <x v="0"/>
    <n v="20"/>
    <m/>
    <x v="15"/>
    <s v="Non-Dominant"/>
    <x v="1"/>
    <x v="1"/>
    <x v="1"/>
    <x v="0"/>
    <m/>
    <m/>
    <m/>
    <m/>
    <n v="39.93"/>
    <n v="11.58"/>
    <n v="39.58"/>
    <n v="12.89"/>
    <m/>
    <m/>
    <m/>
    <m/>
    <m/>
    <m/>
    <m/>
    <m/>
    <m/>
    <m/>
    <m/>
    <m/>
    <m/>
    <m/>
    <m/>
    <m/>
    <m/>
    <m/>
    <m/>
    <n v="0.93"/>
    <n v="0.27"/>
  </r>
  <r>
    <x v="1"/>
    <m/>
    <x v="7"/>
    <x v="6"/>
    <x v="1"/>
    <x v="1"/>
    <x v="5"/>
    <n v="20"/>
    <m/>
    <x v="16"/>
    <s v="Dominant"/>
    <x v="1"/>
    <x v="0"/>
    <x v="1"/>
    <x v="0"/>
    <m/>
    <m/>
    <m/>
    <m/>
    <n v="40.15"/>
    <n v="6.25"/>
    <n v="40.25"/>
    <n v="7.01"/>
    <m/>
    <m/>
    <m/>
    <m/>
    <m/>
    <m/>
    <m/>
    <m/>
    <m/>
    <m/>
    <m/>
    <m/>
    <m/>
    <m/>
    <m/>
    <m/>
    <m/>
    <m/>
    <m/>
    <n v="1.01"/>
    <n v="0.16"/>
  </r>
  <r>
    <x v="1"/>
    <m/>
    <x v="7"/>
    <x v="6"/>
    <x v="1"/>
    <x v="1"/>
    <x v="6"/>
    <n v="20"/>
    <m/>
    <x v="17"/>
    <s v="Dominant"/>
    <x v="1"/>
    <x v="0"/>
    <x v="1"/>
    <x v="0"/>
    <m/>
    <m/>
    <m/>
    <m/>
    <n v="46.47"/>
    <n v="15.46"/>
    <n v="40.98"/>
    <n v="13.77"/>
    <m/>
    <m/>
    <m/>
    <m/>
    <m/>
    <m/>
    <m/>
    <m/>
    <m/>
    <m/>
    <m/>
    <m/>
    <m/>
    <m/>
    <m/>
    <m/>
    <m/>
    <m/>
    <m/>
    <n v="0.89"/>
    <n v="0.94"/>
  </r>
  <r>
    <x v="1"/>
    <m/>
    <x v="7"/>
    <x v="6"/>
    <x v="1"/>
    <x v="1"/>
    <x v="7"/>
    <n v="20"/>
    <m/>
    <x v="18"/>
    <s v="Dominant"/>
    <x v="1"/>
    <x v="0"/>
    <x v="1"/>
    <x v="0"/>
    <m/>
    <m/>
    <m/>
    <m/>
    <n v="38.950000000000003"/>
    <n v="12.09"/>
    <n v="33.86"/>
    <n v="4.82"/>
    <m/>
    <m/>
    <m/>
    <m/>
    <m/>
    <m/>
    <m/>
    <m/>
    <m/>
    <m/>
    <m/>
    <m/>
    <m/>
    <m/>
    <m/>
    <m/>
    <m/>
    <m/>
    <m/>
    <n v="0.93"/>
    <n v="0.27"/>
  </r>
  <r>
    <x v="1"/>
    <m/>
    <x v="7"/>
    <x v="6"/>
    <x v="1"/>
    <x v="1"/>
    <x v="5"/>
    <n v="20"/>
    <m/>
    <x v="16"/>
    <s v="Dominant"/>
    <x v="1"/>
    <x v="1"/>
    <x v="1"/>
    <x v="0"/>
    <m/>
    <m/>
    <m/>
    <m/>
    <n v="40.299999999999997"/>
    <n v="3.35"/>
    <n v="41.98"/>
    <n v="9.1300000000000008"/>
    <m/>
    <m/>
    <m/>
    <m/>
    <m/>
    <m/>
    <m/>
    <m/>
    <m/>
    <m/>
    <m/>
    <m/>
    <m/>
    <m/>
    <m/>
    <m/>
    <m/>
    <m/>
    <m/>
    <n v="1.05"/>
    <n v="0.19"/>
  </r>
  <r>
    <x v="1"/>
    <m/>
    <x v="7"/>
    <x v="6"/>
    <x v="1"/>
    <x v="1"/>
    <x v="6"/>
    <n v="20"/>
    <m/>
    <x v="17"/>
    <s v="Dominant"/>
    <x v="1"/>
    <x v="1"/>
    <x v="1"/>
    <x v="0"/>
    <m/>
    <m/>
    <m/>
    <m/>
    <n v="44.24"/>
    <n v="13.66"/>
    <n v="45.74"/>
    <n v="17.489999999999998"/>
    <m/>
    <m/>
    <m/>
    <m/>
    <m/>
    <m/>
    <m/>
    <m/>
    <m/>
    <m/>
    <m/>
    <m/>
    <m/>
    <m/>
    <m/>
    <m/>
    <m/>
    <m/>
    <m/>
    <n v="0.99"/>
    <n v="0.14000000000000001"/>
  </r>
  <r>
    <x v="1"/>
    <m/>
    <x v="7"/>
    <x v="6"/>
    <x v="1"/>
    <x v="1"/>
    <x v="7"/>
    <n v="20"/>
    <m/>
    <x v="18"/>
    <s v="Dominant"/>
    <x v="1"/>
    <x v="1"/>
    <x v="1"/>
    <x v="0"/>
    <m/>
    <m/>
    <m/>
    <m/>
    <n v="40.270000000000003"/>
    <n v="8.8800000000000008"/>
    <n v="33.58"/>
    <n v="9.44"/>
    <m/>
    <m/>
    <m/>
    <m/>
    <m/>
    <m/>
    <m/>
    <m/>
    <m/>
    <m/>
    <m/>
    <m/>
    <m/>
    <m/>
    <m/>
    <m/>
    <m/>
    <m/>
    <m/>
    <n v="0.9"/>
    <n v="0.25"/>
  </r>
  <r>
    <x v="2"/>
    <m/>
    <x v="3"/>
    <x v="3"/>
    <x v="3"/>
    <x v="1"/>
    <x v="0"/>
    <n v="27.8"/>
    <n v="5.3"/>
    <x v="3"/>
    <s v="Dominant"/>
    <x v="1"/>
    <x v="0"/>
    <x v="3"/>
    <x v="0"/>
    <m/>
    <m/>
    <m/>
    <m/>
    <n v="39.299999999999997"/>
    <n v="5.5"/>
    <n v="32.5"/>
    <n v="6.8"/>
    <m/>
    <m/>
    <m/>
    <n v="0.44"/>
    <n v="0.08"/>
    <n v="0.36"/>
    <n v="0.06"/>
    <m/>
    <m/>
    <m/>
    <m/>
    <m/>
    <m/>
    <m/>
    <m/>
    <m/>
    <m/>
    <m/>
    <m/>
    <n v="83.6"/>
    <n v="16"/>
  </r>
  <r>
    <x v="2"/>
    <m/>
    <x v="3"/>
    <x v="3"/>
    <x v="3"/>
    <x v="1"/>
    <x v="0"/>
    <n v="27.8"/>
    <n v="5.3"/>
    <x v="3"/>
    <s v="Non-Dominant"/>
    <x v="1"/>
    <x v="0"/>
    <x v="3"/>
    <x v="0"/>
    <m/>
    <m/>
    <m/>
    <m/>
    <n v="39.700000000000003"/>
    <n v="6.3"/>
    <n v="31.5"/>
    <n v="5"/>
    <m/>
    <m/>
    <m/>
    <n v="0.44"/>
    <n v="0.08"/>
    <n v="0.35"/>
    <n v="0.06"/>
    <m/>
    <m/>
    <m/>
    <m/>
    <m/>
    <m/>
    <m/>
    <m/>
    <m/>
    <m/>
    <m/>
    <m/>
    <n v="80.5"/>
    <n v="15.5"/>
  </r>
  <r>
    <x v="5"/>
    <s v="Provides reference values for ankle inversion/eversion in pro basketball; useful in rehab and RTP decisions."/>
    <x v="3"/>
    <x v="3"/>
    <x v="3"/>
    <x v="1"/>
    <x v="0"/>
    <n v="27.8"/>
    <n v="5.3"/>
    <x v="3"/>
    <s v="Dominant"/>
    <x v="1"/>
    <x v="0"/>
    <x v="3"/>
    <x v="0"/>
    <m/>
    <m/>
    <m/>
    <m/>
    <n v="29.8"/>
    <n v="3.8"/>
    <n v="23.3"/>
    <n v="4"/>
    <m/>
    <m/>
    <m/>
    <n v="0.33"/>
    <n v="0.06"/>
    <n v="0.26"/>
    <n v="0.04"/>
    <m/>
    <m/>
    <m/>
    <m/>
    <m/>
    <m/>
    <m/>
    <m/>
    <m/>
    <m/>
    <m/>
    <m/>
    <n v="79.3"/>
    <n v="15.2"/>
  </r>
  <r>
    <x v="5"/>
    <s v="Provides reference values for ankle inversion/eversion in pro basketball; useful in rehab and RTP decisions."/>
    <x v="3"/>
    <x v="3"/>
    <x v="3"/>
    <x v="1"/>
    <x v="0"/>
    <n v="27.8"/>
    <n v="5.3"/>
    <x v="3"/>
    <s v="Non-Dominant"/>
    <x v="1"/>
    <x v="0"/>
    <x v="3"/>
    <x v="0"/>
    <m/>
    <m/>
    <m/>
    <m/>
    <n v="30.5"/>
    <n v="4"/>
    <n v="23.8"/>
    <n v="3.6"/>
    <m/>
    <m/>
    <m/>
    <n v="0.34"/>
    <n v="0.05"/>
    <n v="0.27"/>
    <n v="0.04"/>
    <m/>
    <m/>
    <m/>
    <m/>
    <m/>
    <m/>
    <m/>
    <m/>
    <m/>
    <m/>
    <m/>
    <m/>
    <n v="78.900000000000006"/>
    <n v="16.3"/>
  </r>
  <r>
    <x v="2"/>
    <s v="Provides reference values for ankle inversion/eversion in pro basketball; useful in rehab and RTP decisions."/>
    <x v="3"/>
    <x v="3"/>
    <x v="3"/>
    <x v="1"/>
    <x v="2"/>
    <n v="27.8"/>
    <n v="5.3"/>
    <x v="19"/>
    <s v="N/A"/>
    <x v="1"/>
    <x v="0"/>
    <x v="3"/>
    <x v="0"/>
    <m/>
    <m/>
    <m/>
    <m/>
    <m/>
    <m/>
    <m/>
    <m/>
    <m/>
    <m/>
    <m/>
    <n v="0.45"/>
    <n v="0.06"/>
    <n v="0.36"/>
    <n v="0.06"/>
    <m/>
    <m/>
    <m/>
    <m/>
    <m/>
    <m/>
    <m/>
    <m/>
    <m/>
    <m/>
    <m/>
    <m/>
    <m/>
    <m/>
  </r>
  <r>
    <x v="2"/>
    <s v="Provides reference values for ankle inversion/eversion in pro basketball; useful in rehab and RTP decisions."/>
    <x v="3"/>
    <x v="3"/>
    <x v="3"/>
    <x v="1"/>
    <x v="3"/>
    <n v="27.8"/>
    <n v="5.3"/>
    <x v="7"/>
    <s v="N/A"/>
    <x v="1"/>
    <x v="0"/>
    <x v="3"/>
    <x v="0"/>
    <m/>
    <m/>
    <m/>
    <m/>
    <m/>
    <m/>
    <m/>
    <m/>
    <m/>
    <m/>
    <m/>
    <n v="0.41"/>
    <n v="0.08"/>
    <n v="0.36"/>
    <n v="7.0000000000000007E-2"/>
    <m/>
    <m/>
    <m/>
    <m/>
    <m/>
    <m/>
    <m/>
    <m/>
    <m/>
    <m/>
    <m/>
    <m/>
    <m/>
    <m/>
  </r>
  <r>
    <x v="5"/>
    <s v="Guards had significantly stronger normalized inversion torque than forwards at high speed (150°·s⁻¹)."/>
    <x v="3"/>
    <x v="3"/>
    <x v="3"/>
    <x v="1"/>
    <x v="2"/>
    <n v="27.8"/>
    <n v="5.3"/>
    <x v="19"/>
    <s v="N/A"/>
    <x v="1"/>
    <x v="0"/>
    <x v="3"/>
    <x v="0"/>
    <m/>
    <m/>
    <m/>
    <m/>
    <m/>
    <m/>
    <m/>
    <m/>
    <m/>
    <m/>
    <m/>
    <n v="0.35"/>
    <n v="0.06"/>
    <n v="0.27"/>
    <n v="0.04"/>
    <m/>
    <m/>
    <m/>
    <m/>
    <m/>
    <m/>
    <m/>
    <m/>
    <m/>
    <m/>
    <m/>
    <m/>
    <m/>
    <m/>
  </r>
  <r>
    <x v="5"/>
    <s v="Guards had significantly stronger normalized inversion torque than forwards at high speed (150°·s⁻¹)."/>
    <x v="3"/>
    <x v="3"/>
    <x v="3"/>
    <x v="1"/>
    <x v="3"/>
    <n v="27.8"/>
    <n v="5.3"/>
    <x v="7"/>
    <s v="N/A"/>
    <x v="1"/>
    <x v="0"/>
    <x v="3"/>
    <x v="0"/>
    <m/>
    <m/>
    <m/>
    <m/>
    <m/>
    <m/>
    <m/>
    <m/>
    <m/>
    <m/>
    <m/>
    <n v="0.3"/>
    <n v="0.06"/>
    <n v="0.25"/>
    <n v="0.03"/>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s v="Dominace, All Subjects Right Handed"/>
    <x v="0"/>
    <n v="1992"/>
    <x v="0"/>
    <x v="0"/>
    <x v="0"/>
    <n v="24"/>
    <m/>
    <x v="0"/>
    <s v="N/A"/>
    <x v="0"/>
    <x v="0"/>
    <x v="0"/>
    <x v="0"/>
    <n v="39"/>
    <n v="7.9"/>
    <m/>
    <m/>
    <m/>
    <m/>
    <m/>
    <m/>
    <m/>
    <m/>
    <m/>
    <m/>
    <m/>
    <m/>
    <m/>
    <m/>
    <n v="187.5"/>
    <n v="35"/>
    <m/>
    <m/>
    <m/>
    <m/>
  </r>
  <r>
    <x v="1"/>
    <s v="Dominace, All Subjects Right Handed"/>
    <x v="0"/>
    <n v="1992"/>
    <x v="0"/>
    <x v="0"/>
    <x v="0"/>
    <n v="24"/>
    <m/>
    <x v="0"/>
    <s v="N/A"/>
    <x v="0"/>
    <x v="0"/>
    <x v="0"/>
    <x v="0"/>
    <n v="33.6"/>
    <n v="5.8"/>
    <m/>
    <m/>
    <m/>
    <m/>
    <m/>
    <m/>
    <m/>
    <m/>
    <m/>
    <m/>
    <m/>
    <m/>
    <m/>
    <m/>
    <n v="163.1"/>
    <n v="28.7"/>
    <m/>
    <m/>
    <m/>
    <m/>
  </r>
  <r>
    <x v="0"/>
    <s v="Dominace, All Subjects Right Handed"/>
    <x v="0"/>
    <n v="1992"/>
    <x v="0"/>
    <x v="1"/>
    <x v="0"/>
    <n v="58"/>
    <m/>
    <x v="1"/>
    <s v="N/A"/>
    <x v="0"/>
    <x v="0"/>
    <x v="0"/>
    <x v="0"/>
    <n v="27.5"/>
    <n v="6.3"/>
    <m/>
    <m/>
    <m/>
    <m/>
    <m/>
    <m/>
    <m/>
    <m/>
    <m/>
    <m/>
    <m/>
    <m/>
    <m/>
    <m/>
    <n v="138.6"/>
    <n v="26.4"/>
    <m/>
    <m/>
    <m/>
    <m/>
  </r>
  <r>
    <x v="1"/>
    <s v="Dominace, All Subjects Right Handed"/>
    <x v="0"/>
    <n v="1992"/>
    <x v="0"/>
    <x v="1"/>
    <x v="0"/>
    <n v="58"/>
    <m/>
    <x v="1"/>
    <s v="N/A"/>
    <x v="0"/>
    <x v="0"/>
    <x v="0"/>
    <x v="0"/>
    <n v="24.2"/>
    <n v="4.8"/>
    <m/>
    <m/>
    <m/>
    <m/>
    <m/>
    <m/>
    <m/>
    <m/>
    <m/>
    <m/>
    <m/>
    <m/>
    <m/>
    <m/>
    <n v="120.2"/>
    <n v="19.3"/>
    <m/>
    <m/>
    <m/>
    <m/>
  </r>
  <r>
    <x v="0"/>
    <s v="Dominace, All Subjects Right Handed"/>
    <x v="0"/>
    <n v="1992"/>
    <x v="0"/>
    <x v="1"/>
    <x v="0"/>
    <n v="56"/>
    <m/>
    <x v="1"/>
    <s v="N/A"/>
    <x v="1"/>
    <x v="0"/>
    <x v="0"/>
    <x v="0"/>
    <n v="15.8"/>
    <n v="3.7"/>
    <m/>
    <m/>
    <m/>
    <m/>
    <m/>
    <m/>
    <m/>
    <m/>
    <m/>
    <m/>
    <m/>
    <m/>
    <m/>
    <m/>
    <n v="77.5"/>
    <n v="16"/>
    <m/>
    <m/>
    <m/>
    <m/>
  </r>
  <r>
    <x v="1"/>
    <s v="Dominace, All Subjects Right Handed"/>
    <x v="0"/>
    <n v="1992"/>
    <x v="0"/>
    <x v="1"/>
    <x v="0"/>
    <n v="56"/>
    <m/>
    <x v="1"/>
    <s v="N/A"/>
    <x v="1"/>
    <x v="0"/>
    <x v="0"/>
    <x v="0"/>
    <n v="14.8"/>
    <n v="3.3"/>
    <m/>
    <m/>
    <m/>
    <m/>
    <m/>
    <m/>
    <m/>
    <m/>
    <m/>
    <m/>
    <m/>
    <m/>
    <m/>
    <m/>
    <n v="67.5"/>
    <n v="11.3"/>
    <m/>
    <m/>
    <m/>
    <m/>
  </r>
  <r>
    <x v="1"/>
    <s v="Pitchers"/>
    <x v="1"/>
    <n v="1997"/>
    <x v="1"/>
    <x v="2"/>
    <x v="1"/>
    <n v="22.6"/>
    <n v="2"/>
    <x v="2"/>
    <s v="Dominant"/>
    <x v="0"/>
    <x v="0"/>
    <x v="1"/>
    <x v="0"/>
    <n v="36.5"/>
    <n v="6.8"/>
    <n v="56.1"/>
    <n v="12.2"/>
    <m/>
    <m/>
    <m/>
    <m/>
    <m/>
    <m/>
    <m/>
    <m/>
    <m/>
    <m/>
    <m/>
    <m/>
    <m/>
    <m/>
    <m/>
    <m/>
    <n v="66.599999999999994"/>
    <n v="12.7"/>
  </r>
  <r>
    <x v="1"/>
    <s v="Pitchers"/>
    <x v="1"/>
    <n v="1997"/>
    <x v="1"/>
    <x v="2"/>
    <x v="1"/>
    <n v="22.6"/>
    <n v="2"/>
    <x v="2"/>
    <s v="Non Dominant"/>
    <x v="0"/>
    <x v="0"/>
    <x v="1"/>
    <x v="0"/>
    <n v="37.200000000000003"/>
    <n v="6.1"/>
    <n v="51.7"/>
    <n v="11.4"/>
    <m/>
    <m/>
    <m/>
    <m/>
    <m/>
    <m/>
    <m/>
    <m/>
    <m/>
    <m/>
    <m/>
    <m/>
    <m/>
    <m/>
    <m/>
    <m/>
    <n v="73.5"/>
    <n v="12.3"/>
  </r>
  <r>
    <x v="2"/>
    <s v="Pitchers"/>
    <x v="1"/>
    <n v="1997"/>
    <x v="1"/>
    <x v="2"/>
    <x v="1"/>
    <n v="22.6"/>
    <n v="2"/>
    <x v="2"/>
    <s v="Dominant"/>
    <x v="0"/>
    <x v="0"/>
    <x v="1"/>
    <x v="0"/>
    <n v="35.700000000000003"/>
    <n v="6.8"/>
    <n v="52.1"/>
    <n v="11.9"/>
    <m/>
    <m/>
    <m/>
    <m/>
    <m/>
    <m/>
    <m/>
    <m/>
    <m/>
    <m/>
    <m/>
    <m/>
    <m/>
    <m/>
    <m/>
    <m/>
    <n v="70.3"/>
    <n v="12.3"/>
  </r>
  <r>
    <x v="2"/>
    <s v="Pitchers"/>
    <x v="1"/>
    <n v="1997"/>
    <x v="1"/>
    <x v="2"/>
    <x v="1"/>
    <n v="22.6"/>
    <n v="2"/>
    <x v="2"/>
    <s v="Non Dominant"/>
    <x v="0"/>
    <x v="0"/>
    <x v="1"/>
    <x v="0"/>
    <n v="35.799999999999997"/>
    <n v="5.3"/>
    <n v="47.1"/>
    <n v="9.6"/>
    <m/>
    <m/>
    <m/>
    <m/>
    <m/>
    <m/>
    <m/>
    <m/>
    <m/>
    <m/>
    <m/>
    <m/>
    <m/>
    <m/>
    <m/>
    <m/>
    <n v="77.599999999999994"/>
    <n v="11.9"/>
  </r>
  <r>
    <x v="3"/>
    <s v="Compare the effect of 10-week dry-land vs. water-based resistance training on shoulder rotator strength, balance, and endurance in youth swimmers."/>
    <x v="2"/>
    <n v="2018"/>
    <x v="2"/>
    <x v="3"/>
    <x v="0"/>
    <n v="13.28"/>
    <n v="0.96"/>
    <x v="3"/>
    <s v="Water"/>
    <x v="0"/>
    <x v="0"/>
    <x v="0"/>
    <x v="0"/>
    <n v="18.11"/>
    <n v="4.9800000000000004"/>
    <n v="23.12"/>
    <n v="7.01"/>
    <m/>
    <m/>
    <m/>
    <m/>
    <m/>
    <m/>
    <m/>
    <m/>
    <m/>
    <m/>
    <m/>
    <m/>
    <m/>
    <m/>
    <m/>
    <m/>
    <n v="79.510000000000005"/>
    <n v="7.8"/>
  </r>
  <r>
    <x v="3"/>
    <s v="Compare the effect of 10-week dry-land vs. water-based resistance training on shoulder rotator strength, balance, and endurance in youth swimmers."/>
    <x v="2"/>
    <n v="2018"/>
    <x v="2"/>
    <x v="3"/>
    <x v="0"/>
    <n v="13.28"/>
    <n v="0.96"/>
    <x v="3"/>
    <s v="Water"/>
    <x v="0"/>
    <x v="0"/>
    <x v="0"/>
    <x v="0"/>
    <n v="16.34"/>
    <n v="5.0199999999999996"/>
    <n v="20.95"/>
    <n v="6.64"/>
    <m/>
    <m/>
    <m/>
    <m/>
    <m/>
    <m/>
    <m/>
    <m/>
    <m/>
    <m/>
    <m/>
    <m/>
    <m/>
    <m/>
    <m/>
    <m/>
    <n v="78.8"/>
    <n v="11.88"/>
  </r>
  <r>
    <x v="3"/>
    <s v="Dry-land training was more effective than water-based training in improving ER/IR muscle balance and reducing ER fatigue."/>
    <x v="2"/>
    <n v="2018"/>
    <x v="2"/>
    <x v="3"/>
    <x v="0"/>
    <n v="13.52"/>
    <n v="0.92"/>
    <x v="3"/>
    <s v="Land"/>
    <x v="0"/>
    <x v="0"/>
    <x v="0"/>
    <x v="0"/>
    <n v="18.7"/>
    <n v="4.5"/>
    <n v="31.23"/>
    <n v="8.51"/>
    <m/>
    <m/>
    <m/>
    <m/>
    <m/>
    <m/>
    <m/>
    <m/>
    <m/>
    <m/>
    <m/>
    <m/>
    <m/>
    <m/>
    <m/>
    <m/>
    <n v="62.43"/>
    <n v="15.73"/>
  </r>
  <r>
    <x v="3"/>
    <s v="Dry-land training was more effective than water-based training in improving ER/IR muscle balance and reducing ER fatigue."/>
    <x v="2"/>
    <n v="2018"/>
    <x v="2"/>
    <x v="3"/>
    <x v="0"/>
    <n v="13.52"/>
    <n v="0.92"/>
    <x v="3"/>
    <s v="Land"/>
    <x v="0"/>
    <x v="0"/>
    <x v="0"/>
    <x v="0"/>
    <n v="19.21"/>
    <n v="6.05"/>
    <n v="31.72"/>
    <n v="8.0399999999999991"/>
    <m/>
    <m/>
    <m/>
    <m/>
    <m/>
    <m/>
    <m/>
    <m/>
    <m/>
    <m/>
    <m/>
    <m/>
    <m/>
    <m/>
    <m/>
    <m/>
    <n v="63.96"/>
    <n v="22.08"/>
  </r>
  <r>
    <x v="4"/>
    <s v="Compare the effect of 10-week dry-land vs. water-based resistance training on shoulder rotator strength, balance, and endurance in youth swimmers."/>
    <x v="2"/>
    <n v="2018"/>
    <x v="2"/>
    <x v="3"/>
    <x v="0"/>
    <n v="13.64"/>
    <n v="0.9"/>
    <x v="3"/>
    <s v="Water"/>
    <x v="0"/>
    <x v="0"/>
    <x v="0"/>
    <x v="0"/>
    <n v="17.670000000000002"/>
    <n v="4.7300000000000004"/>
    <n v="23.91"/>
    <n v="5.41"/>
    <m/>
    <m/>
    <m/>
    <m/>
    <m/>
    <m/>
    <m/>
    <m/>
    <m/>
    <m/>
    <m/>
    <m/>
    <m/>
    <m/>
    <m/>
    <m/>
    <n v="73.69"/>
    <n v="5.69"/>
  </r>
  <r>
    <x v="4"/>
    <s v="Compare the effect of 10-week dry-land vs. water-based resistance training on shoulder rotator strength, balance, and endurance in youth swimmers."/>
    <x v="2"/>
    <n v="2018"/>
    <x v="2"/>
    <x v="3"/>
    <x v="0"/>
    <n v="13.736000000000001"/>
    <n v="0.88400000000000001"/>
    <x v="3"/>
    <s v="Water"/>
    <x v="0"/>
    <x v="0"/>
    <x v="0"/>
    <x v="0"/>
    <n v="16.440000000000001"/>
    <n v="4.76"/>
    <n v="28.12"/>
    <n v="7.75"/>
    <m/>
    <m/>
    <m/>
    <m/>
    <m/>
    <m/>
    <m/>
    <m/>
    <m/>
    <m/>
    <m/>
    <m/>
    <m/>
    <m/>
    <m/>
    <m/>
    <n v="62"/>
    <n v="20.54"/>
  </r>
  <r>
    <x v="4"/>
    <s v="Dry-land training was more effective than water-based training in improving ER/IR muscle balance and reducing ER fatigue."/>
    <x v="2"/>
    <n v="2018"/>
    <x v="2"/>
    <x v="3"/>
    <x v="0"/>
    <n v="13.832000000000001"/>
    <n v="0.86799999999999999"/>
    <x v="3"/>
    <s v="Land"/>
    <x v="0"/>
    <x v="0"/>
    <x v="0"/>
    <x v="0"/>
    <n v="16.84"/>
    <n v="4.24"/>
    <n v="21.83"/>
    <n v="5.47"/>
    <m/>
    <m/>
    <m/>
    <m/>
    <m/>
    <m/>
    <m/>
    <m/>
    <m/>
    <m/>
    <m/>
    <m/>
    <m/>
    <m/>
    <m/>
    <m/>
    <n v="77.72"/>
    <n v="8.85"/>
  </r>
  <r>
    <x v="4"/>
    <s v="Dry-land training was more effective than water-based training in improving ER/IR muscle balance and reducing ER fatigue."/>
    <x v="2"/>
    <n v="2018"/>
    <x v="2"/>
    <x v="3"/>
    <x v="0"/>
    <n v="13.928000000000001"/>
    <n v="0.85199999999999998"/>
    <x v="3"/>
    <s v="Land"/>
    <x v="0"/>
    <x v="0"/>
    <x v="0"/>
    <x v="0"/>
    <n v="17.55"/>
    <n v="5.85"/>
    <n v="28.4"/>
    <n v="7.49"/>
    <m/>
    <m/>
    <m/>
    <m/>
    <m/>
    <m/>
    <m/>
    <m/>
    <m/>
    <m/>
    <m/>
    <m/>
    <m/>
    <m/>
    <m/>
    <m/>
    <n v="62.43"/>
    <n v="14.73"/>
  </r>
  <r>
    <x v="5"/>
    <s v="11 Pitchers, 7 Fielders"/>
    <x v="3"/>
    <n v="2001"/>
    <x v="1"/>
    <x v="3"/>
    <x v="0"/>
    <n v="14.22"/>
    <n v="0.55000000000000004"/>
    <x v="4"/>
    <s v="N/A"/>
    <x v="0"/>
    <x v="0"/>
    <x v="0"/>
    <x v="1"/>
    <n v="45.35"/>
    <n v="7.87"/>
    <n v="62.48"/>
    <n v="6.91"/>
    <m/>
    <m/>
    <m/>
    <m/>
    <n v="50.37"/>
    <n v="12.34"/>
    <n v="56.28"/>
    <n v="9.07"/>
    <m/>
    <m/>
    <m/>
    <m/>
    <m/>
    <m/>
    <m/>
    <m/>
    <m/>
    <m/>
  </r>
  <r>
    <x v="5"/>
    <s v="11 Pitchers, 7 Fielders"/>
    <x v="3"/>
    <n v="2001"/>
    <x v="1"/>
    <x v="3"/>
    <x v="0"/>
    <n v="14.22"/>
    <n v="0.55000000000000004"/>
    <x v="4"/>
    <s v="N/A"/>
    <x v="0"/>
    <x v="1"/>
    <x v="0"/>
    <x v="1"/>
    <n v="60.29"/>
    <n v="11.95"/>
    <n v="81.239999999999995"/>
    <n v="9.65"/>
    <m/>
    <m/>
    <m/>
    <m/>
    <n v="89.42"/>
    <n v="14.17"/>
    <n v="96.23"/>
    <n v="13.24"/>
    <m/>
    <m/>
    <m/>
    <m/>
    <m/>
    <m/>
    <m/>
    <m/>
    <m/>
    <m/>
  </r>
  <r>
    <x v="3"/>
    <s v="Relative"/>
    <x v="4"/>
    <n v="2019"/>
    <x v="3"/>
    <x v="3"/>
    <x v="0"/>
    <n v="15.1"/>
    <n v="1.1000000000000001"/>
    <x v="5"/>
    <s v="Dominant"/>
    <x v="0"/>
    <x v="0"/>
    <x v="0"/>
    <x v="0"/>
    <n v="35.799999999999997"/>
    <n v="11"/>
    <n v="48.7"/>
    <n v="13.7"/>
    <s v="48.6 "/>
    <n v="11.8"/>
    <n v="66.8"/>
    <n v="17.7"/>
    <m/>
    <m/>
    <m/>
    <m/>
    <m/>
    <m/>
    <m/>
    <m/>
    <n v="43"/>
    <n v="13"/>
    <n v="59"/>
    <n v="15.6"/>
    <n v="74.8"/>
    <n v="14.3"/>
  </r>
  <r>
    <x v="3"/>
    <s v="Relative"/>
    <x v="4"/>
    <n v="2019"/>
    <x v="3"/>
    <x v="3"/>
    <x v="0"/>
    <n v="15.1"/>
    <n v="1.1000000000000001"/>
    <x v="5"/>
    <s v="Non Dominant"/>
    <x v="0"/>
    <x v="0"/>
    <x v="0"/>
    <x v="0"/>
    <n v="35"/>
    <n v="10.7"/>
    <n v="43.9"/>
    <n v="11.6"/>
    <s v="47.7 "/>
    <n v="12.5"/>
    <n v="60.5"/>
    <n v="15.9"/>
    <m/>
    <m/>
    <m/>
    <m/>
    <m/>
    <m/>
    <m/>
    <m/>
    <n v="41.8"/>
    <n v="12.9"/>
    <n v="54"/>
    <n v="16"/>
    <n v="80.099999999999994"/>
    <n v="14"/>
  </r>
  <r>
    <x v="6"/>
    <s v="Relative"/>
    <x v="4"/>
    <n v="2019"/>
    <x v="3"/>
    <x v="3"/>
    <x v="0"/>
    <n v="15.1"/>
    <n v="1.1000000000000001"/>
    <x v="5"/>
    <s v="Dominant"/>
    <x v="0"/>
    <x v="0"/>
    <x v="0"/>
    <x v="0"/>
    <n v="31.7"/>
    <n v="9.1"/>
    <n v="44.7"/>
    <n v="11.2"/>
    <n v="43.2"/>
    <n v="10.3"/>
    <n v="61.4"/>
    <n v="14.3"/>
    <m/>
    <m/>
    <m/>
    <m/>
    <m/>
    <m/>
    <m/>
    <m/>
    <n v="35.1"/>
    <n v="11.1"/>
    <n v="51.4"/>
    <n v="15.2"/>
    <n v="71.400000000000006"/>
    <n v="12.6"/>
  </r>
  <r>
    <x v="6"/>
    <s v="Relative"/>
    <x v="4"/>
    <n v="2019"/>
    <x v="3"/>
    <x v="3"/>
    <x v="0"/>
    <n v="15.1"/>
    <n v="1.1000000000000001"/>
    <x v="5"/>
    <s v="Non Dominant"/>
    <x v="0"/>
    <x v="0"/>
    <x v="0"/>
    <x v="0"/>
    <n v="30.7"/>
    <n v="8.1999999999999993"/>
    <n v="41.1"/>
    <n v="11"/>
    <s v="41.9 "/>
    <n v="9.1"/>
    <s v="56.9 "/>
    <n v="15.8"/>
    <m/>
    <m/>
    <m/>
    <m/>
    <m/>
    <m/>
    <m/>
    <m/>
    <n v="33.4"/>
    <n v="9.9"/>
    <n v="45.7"/>
    <n v="13.9"/>
    <n v="77.3"/>
    <n v="19.2"/>
  </r>
  <r>
    <x v="6"/>
    <s v="Relative"/>
    <x v="4"/>
    <n v="2019"/>
    <x v="3"/>
    <x v="3"/>
    <x v="0"/>
    <n v="15.1"/>
    <n v="1.1000000000000001"/>
    <x v="5"/>
    <s v="Dominant"/>
    <x v="0"/>
    <x v="1"/>
    <x v="0"/>
    <x v="0"/>
    <n v="59.2"/>
    <n v="16.3"/>
    <n v="66.5"/>
    <n v="24.3"/>
    <m/>
    <m/>
    <m/>
    <m/>
    <m/>
    <m/>
    <m/>
    <m/>
    <m/>
    <m/>
    <m/>
    <m/>
    <m/>
    <m/>
    <m/>
    <m/>
    <m/>
    <m/>
  </r>
  <r>
    <x v="6"/>
    <s v="Relative"/>
    <x v="4"/>
    <n v="2019"/>
    <x v="3"/>
    <x v="3"/>
    <x v="0"/>
    <n v="15.1"/>
    <n v="1.1000000000000001"/>
    <x v="5"/>
    <s v="Non Dominant"/>
    <x v="0"/>
    <x v="1"/>
    <x v="0"/>
    <x v="0"/>
    <n v="57.7"/>
    <n v="14.3"/>
    <n v="64.2"/>
    <n v="21.3"/>
    <m/>
    <m/>
    <m/>
    <m/>
    <m/>
    <m/>
    <m/>
    <m/>
    <m/>
    <m/>
    <m/>
    <m/>
    <m/>
    <m/>
    <m/>
    <m/>
    <m/>
    <m/>
  </r>
  <r>
    <x v="4"/>
    <s v="18 NCAA Division II athletes"/>
    <x v="5"/>
    <n v="2020"/>
    <x v="1"/>
    <x v="4"/>
    <x v="1"/>
    <n v="20.94"/>
    <n v="1.21"/>
    <x v="1"/>
    <s v="N/A"/>
    <x v="0"/>
    <x v="0"/>
    <x v="2"/>
    <x v="0"/>
    <n v="20.67"/>
    <n v="7.14"/>
    <n v="27.44"/>
    <n v="12.31"/>
    <m/>
    <m/>
    <m/>
    <m/>
    <m/>
    <m/>
    <m/>
    <m/>
    <m/>
    <m/>
    <m/>
    <m/>
    <m/>
    <m/>
    <m/>
    <m/>
    <m/>
    <m/>
  </r>
  <r>
    <x v="4"/>
    <s v="Pitchers, infielders, outfielders"/>
    <x v="5"/>
    <n v="2020"/>
    <x v="1"/>
    <x v="4"/>
    <x v="2"/>
    <n v="20.94"/>
    <n v="1.21"/>
    <x v="1"/>
    <s v="N/A"/>
    <x v="0"/>
    <x v="0"/>
    <x v="2"/>
    <x v="0"/>
    <n v="23.22"/>
    <n v="7.41"/>
    <n v="37.22"/>
    <n v="15.4"/>
    <m/>
    <m/>
    <m/>
    <m/>
    <m/>
    <m/>
    <m/>
    <m/>
    <m/>
    <m/>
    <m/>
    <m/>
    <m/>
    <m/>
    <m/>
    <m/>
    <m/>
    <m/>
  </r>
  <r>
    <x v="2"/>
    <s v="18 NCAA Division II athletes"/>
    <x v="5"/>
    <n v="2020"/>
    <x v="1"/>
    <x v="4"/>
    <x v="1"/>
    <n v="20.94"/>
    <n v="1.21"/>
    <x v="1"/>
    <s v="N/A"/>
    <x v="0"/>
    <x v="0"/>
    <x v="2"/>
    <x v="0"/>
    <n v="16.440000000000001"/>
    <n v="7.14"/>
    <n v="22.22"/>
    <n v="10.210000000000001"/>
    <m/>
    <m/>
    <m/>
    <m/>
    <m/>
    <m/>
    <m/>
    <m/>
    <m/>
    <m/>
    <m/>
    <m/>
    <m/>
    <m/>
    <m/>
    <m/>
    <m/>
    <m/>
  </r>
  <r>
    <x v="2"/>
    <s v="Pitchers, infielders, outfielders"/>
    <x v="5"/>
    <n v="2020"/>
    <x v="1"/>
    <x v="4"/>
    <x v="2"/>
    <n v="20.94"/>
    <n v="1.21"/>
    <x v="1"/>
    <s v="N/A"/>
    <x v="0"/>
    <x v="0"/>
    <x v="2"/>
    <x v="0"/>
    <n v="19.899999999999999"/>
    <n v="3.99"/>
    <n v="31"/>
    <n v="13.39"/>
    <m/>
    <m/>
    <m/>
    <m/>
    <m/>
    <m/>
    <m/>
    <m/>
    <m/>
    <m/>
    <m/>
    <m/>
    <m/>
    <m/>
    <m/>
    <m/>
    <m/>
    <m/>
  </r>
  <r>
    <x v="0"/>
    <s v="Throwing Arm will be reffered to dominant hand. NCAA Division I baseball players. 13 pitchers, 17 position players"/>
    <x v="6"/>
    <n v="2012"/>
    <x v="1"/>
    <x v="4"/>
    <x v="0"/>
    <n v="20.2"/>
    <n v="1.4"/>
    <x v="6"/>
    <s v="Dominant"/>
    <x v="0"/>
    <x v="0"/>
    <x v="1"/>
    <x v="2"/>
    <n v="11.1"/>
    <n v="2.9"/>
    <n v="15.7"/>
    <n v="4.4000000000000004"/>
    <m/>
    <m/>
    <m/>
    <m/>
    <m/>
    <m/>
    <m/>
    <m/>
    <m/>
    <m/>
    <m/>
    <m/>
    <m/>
    <m/>
    <m/>
    <m/>
    <m/>
    <m/>
  </r>
  <r>
    <x v="0"/>
    <s v="Throwing Arm will be reffered to dominant hand. NCAA Division I baseball players. 13 pitchers, 17 position players"/>
    <x v="6"/>
    <n v="2012"/>
    <x v="1"/>
    <x v="4"/>
    <x v="0"/>
    <n v="20.2"/>
    <n v="1.4"/>
    <x v="6"/>
    <s v="Non Dominant"/>
    <x v="0"/>
    <x v="0"/>
    <x v="1"/>
    <x v="2"/>
    <n v="11.1"/>
    <n v="3.9"/>
    <n v="15"/>
    <n v="3.6"/>
    <m/>
    <m/>
    <m/>
    <m/>
    <m/>
    <m/>
    <m/>
    <m/>
    <m/>
    <m/>
    <m/>
    <m/>
    <m/>
    <m/>
    <m/>
    <m/>
    <m/>
    <m/>
  </r>
  <r>
    <x v="4"/>
    <s v="Throwing Arm will be reffered to dominant hand. NCAA Division I baseball players. 13 pitchers, 17 position players"/>
    <x v="6"/>
    <n v="2012"/>
    <x v="1"/>
    <x v="4"/>
    <x v="0"/>
    <n v="20.2"/>
    <n v="1.4"/>
    <x v="6"/>
    <s v="Dominant"/>
    <x v="0"/>
    <x v="0"/>
    <x v="1"/>
    <x v="2"/>
    <n v="33"/>
    <n v="10.4"/>
    <n v="21.8"/>
    <n v="7.6"/>
    <m/>
    <m/>
    <m/>
    <m/>
    <m/>
    <m/>
    <m/>
    <m/>
    <m/>
    <m/>
    <m/>
    <m/>
    <m/>
    <m/>
    <m/>
    <m/>
    <m/>
    <m/>
  </r>
  <r>
    <x v="4"/>
    <s v="Throwing Arm will be reffered to dominant hand. NCAA Division I baseball players. 13 pitchers, 17 position players"/>
    <x v="6"/>
    <n v="2012"/>
    <x v="1"/>
    <x v="4"/>
    <x v="0"/>
    <n v="20.2"/>
    <n v="1.4"/>
    <x v="6"/>
    <s v="Non Dominant"/>
    <x v="0"/>
    <x v="0"/>
    <x v="1"/>
    <x v="2"/>
    <n v="25.7"/>
    <n v="8.3000000000000007"/>
    <n v="28.4"/>
    <n v="10.3"/>
    <m/>
    <m/>
    <m/>
    <m/>
    <m/>
    <m/>
    <m/>
    <m/>
    <m/>
    <m/>
    <m/>
    <m/>
    <m/>
    <m/>
    <m/>
    <m/>
    <m/>
    <m/>
  </r>
  <r>
    <x v="3"/>
    <m/>
    <x v="7"/>
    <n v="2022"/>
    <x v="4"/>
    <x v="4"/>
    <x v="0"/>
    <n v="18.7"/>
    <n v="5.3"/>
    <x v="7"/>
    <s v="Dominant"/>
    <x v="2"/>
    <x v="0"/>
    <x v="0"/>
    <x v="0"/>
    <n v="21.9"/>
    <n v="6.6"/>
    <n v="40"/>
    <n v="14.9"/>
    <n v="34.9"/>
    <n v="6.1"/>
    <n v="63.1"/>
    <n v="15.6"/>
    <m/>
    <m/>
    <m/>
    <m/>
    <n v="18.3"/>
    <n v="6.5"/>
    <n v="37.4"/>
    <n v="7.1"/>
    <n v="263.2"/>
    <n v="84.7"/>
    <n v="541.6"/>
    <n v="224.9"/>
    <m/>
    <m/>
  </r>
  <r>
    <x v="3"/>
    <m/>
    <x v="7"/>
    <n v="2022"/>
    <x v="4"/>
    <x v="4"/>
    <x v="0"/>
    <n v="18.7"/>
    <n v="5.3"/>
    <x v="7"/>
    <s v="Non Dominant"/>
    <x v="2"/>
    <x v="0"/>
    <x v="0"/>
    <x v="0"/>
    <n v="20.2"/>
    <n v="6.3"/>
    <n v="29.1"/>
    <n v="10.1"/>
    <n v="32.1"/>
    <n v="5.9"/>
    <n v="45.9"/>
    <n v="9.8000000000000007"/>
    <m/>
    <m/>
    <m/>
    <m/>
    <n v="17"/>
    <n v="7.1"/>
    <n v="27"/>
    <n v="11.6"/>
    <n v="243.3"/>
    <n v="88"/>
    <n v="390.2"/>
    <n v="143.19999999999999"/>
    <m/>
    <m/>
  </r>
  <r>
    <x v="4"/>
    <m/>
    <x v="7"/>
    <n v="2022"/>
    <x v="4"/>
    <x v="4"/>
    <x v="0"/>
    <n v="18.7"/>
    <n v="5.3"/>
    <x v="7"/>
    <s v="Dominant"/>
    <x v="2"/>
    <x v="0"/>
    <x v="0"/>
    <x v="0"/>
    <n v="21.4"/>
    <n v="7.9"/>
    <n v="39.9"/>
    <n v="16.399999999999999"/>
    <n v="33.700000000000003"/>
    <n v="7.8"/>
    <n v="62.5"/>
    <n v="17.3"/>
    <m/>
    <m/>
    <m/>
    <m/>
    <n v="25.4"/>
    <n v="8.9"/>
    <n v="63.3"/>
    <n v="33.200000000000003"/>
    <n v="219.8"/>
    <n v="84.3"/>
    <n v="534.4"/>
    <n v="244.5"/>
    <m/>
    <m/>
  </r>
  <r>
    <x v="4"/>
    <m/>
    <x v="7"/>
    <n v="2022"/>
    <x v="4"/>
    <x v="4"/>
    <x v="0"/>
    <n v="18.7"/>
    <n v="5.3"/>
    <x v="7"/>
    <s v="Non Dominant"/>
    <x v="2"/>
    <x v="0"/>
    <x v="0"/>
    <x v="0"/>
    <n v="19.100000000000001"/>
    <n v="6.8"/>
    <n v="28.1"/>
    <n v="11.5"/>
    <n v="29.9"/>
    <n v="6"/>
    <n v="44"/>
    <n v="12.6"/>
    <m/>
    <m/>
    <m/>
    <m/>
    <n v="23"/>
    <n v="9.6999999999999993"/>
    <n v="42.1"/>
    <n v="22.2"/>
    <n v="193.6"/>
    <n v="89"/>
    <n v="363.8"/>
    <n v="161.30000000000001"/>
    <m/>
    <m/>
  </r>
  <r>
    <x v="3"/>
    <s v="Scapular Plane"/>
    <x v="8"/>
    <n v="2005"/>
    <x v="0"/>
    <x v="0"/>
    <x v="3"/>
    <n v="37"/>
    <n v="12"/>
    <x v="8"/>
    <s v="Involved"/>
    <x v="0"/>
    <x v="0"/>
    <x v="0"/>
    <x v="0"/>
    <n v="24.3"/>
    <n v="3"/>
    <n v="34.9"/>
    <n v="3.8"/>
    <m/>
    <m/>
    <m/>
    <m/>
    <m/>
    <m/>
    <m/>
    <m/>
    <m/>
    <m/>
    <m/>
    <m/>
    <m/>
    <m/>
    <m/>
    <m/>
    <m/>
    <m/>
  </r>
  <r>
    <x v="3"/>
    <s v="Scapular Plane"/>
    <x v="8"/>
    <n v="2005"/>
    <x v="0"/>
    <x v="0"/>
    <x v="3"/>
    <n v="37"/>
    <n v="12"/>
    <x v="8"/>
    <s v="Not Involved"/>
    <x v="0"/>
    <x v="0"/>
    <x v="0"/>
    <x v="0"/>
    <n v="28.1"/>
    <n v="3.4"/>
    <n v="37.5"/>
    <n v="3.9"/>
    <m/>
    <m/>
    <m/>
    <m/>
    <m/>
    <m/>
    <m/>
    <m/>
    <m/>
    <m/>
    <m/>
    <m/>
    <m/>
    <m/>
    <m/>
    <m/>
    <m/>
    <m/>
  </r>
  <r>
    <x v="3"/>
    <s v="Scapular Plane"/>
    <x v="8"/>
    <n v="2005"/>
    <x v="0"/>
    <x v="0"/>
    <x v="4"/>
    <n v="21"/>
    <n v="5"/>
    <x v="9"/>
    <s v="Dominant"/>
    <x v="0"/>
    <x v="0"/>
    <x v="0"/>
    <x v="0"/>
    <n v="24.5"/>
    <n v="2"/>
    <n v="29"/>
    <n v="2.6"/>
    <m/>
    <m/>
    <m/>
    <m/>
    <m/>
    <m/>
    <m/>
    <m/>
    <m/>
    <m/>
    <m/>
    <m/>
    <m/>
    <m/>
    <m/>
    <m/>
    <m/>
    <m/>
  </r>
  <r>
    <x v="3"/>
    <s v="Scapular Plane"/>
    <x v="8"/>
    <n v="2005"/>
    <x v="0"/>
    <x v="0"/>
    <x v="4"/>
    <n v="21"/>
    <n v="5"/>
    <x v="9"/>
    <s v="Non Dominant"/>
    <x v="0"/>
    <x v="0"/>
    <x v="0"/>
    <x v="0"/>
    <n v="25.2"/>
    <n v="1.9"/>
    <n v="29.8"/>
    <n v="2.8"/>
    <m/>
    <m/>
    <m/>
    <m/>
    <m/>
    <m/>
    <m/>
    <m/>
    <m/>
    <m/>
    <m/>
    <m/>
    <m/>
    <m/>
    <m/>
    <m/>
    <m/>
    <m/>
  </r>
  <r>
    <x v="3"/>
    <s v="First study to describe functional ratios (ERecc/IRcon)"/>
    <x v="9"/>
    <n v="2007"/>
    <x v="4"/>
    <x v="4"/>
    <x v="5"/>
    <n v="14"/>
    <m/>
    <x v="10"/>
    <s v="Dominant"/>
    <x v="0"/>
    <x v="0"/>
    <x v="1"/>
    <x v="0"/>
    <n v="38.1"/>
    <n v="6"/>
    <n v="48.3"/>
    <n v="9.1"/>
    <m/>
    <m/>
    <m/>
    <m/>
    <m/>
    <m/>
    <m/>
    <m/>
    <m/>
    <m/>
    <m/>
    <m/>
    <m/>
    <m/>
    <m/>
    <m/>
    <m/>
    <m/>
  </r>
  <r>
    <x v="3"/>
    <s v="First study to describe functional ratios (ERecc/IRcon)"/>
    <x v="9"/>
    <n v="2007"/>
    <x v="4"/>
    <x v="4"/>
    <x v="5"/>
    <n v="14"/>
    <m/>
    <x v="10"/>
    <s v="Non Dominant"/>
    <x v="0"/>
    <x v="0"/>
    <x v="1"/>
    <x v="0"/>
    <n v="35.200000000000003"/>
    <n v="6.7"/>
    <n v="40.9"/>
    <n v="9"/>
    <m/>
    <m/>
    <m/>
    <m/>
    <m/>
    <m/>
    <m/>
    <m/>
    <m/>
    <m/>
    <m/>
    <m/>
    <m/>
    <m/>
    <m/>
    <m/>
    <m/>
    <m/>
  </r>
  <r>
    <x v="3"/>
    <s v="First study to describe functional ratios (ERecc/IRcon)"/>
    <x v="9"/>
    <n v="2007"/>
    <x v="4"/>
    <x v="4"/>
    <x v="5"/>
    <n v="14"/>
    <m/>
    <x v="10"/>
    <s v="Dominant"/>
    <x v="0"/>
    <x v="1"/>
    <x v="1"/>
    <x v="0"/>
    <n v="43.2"/>
    <n v="9.3000000000000007"/>
    <n v="53.8"/>
    <n v="14.6"/>
    <m/>
    <m/>
    <m/>
    <m/>
    <m/>
    <m/>
    <m/>
    <m/>
    <m/>
    <m/>
    <m/>
    <m/>
    <m/>
    <m/>
    <m/>
    <m/>
    <m/>
    <m/>
  </r>
  <r>
    <x v="3"/>
    <s v="First study to describe functional ratios (ERecc/IRcon)"/>
    <x v="9"/>
    <n v="2007"/>
    <x v="4"/>
    <x v="4"/>
    <x v="5"/>
    <n v="14"/>
    <m/>
    <x v="10"/>
    <s v="Non Dominant"/>
    <x v="0"/>
    <x v="1"/>
    <x v="1"/>
    <x v="0"/>
    <n v="39"/>
    <n v="7.7"/>
    <n v="42.7"/>
    <n v="11"/>
    <m/>
    <m/>
    <m/>
    <m/>
    <m/>
    <m/>
    <m/>
    <m/>
    <m/>
    <m/>
    <m/>
    <m/>
    <m/>
    <m/>
    <m/>
    <m/>
    <m/>
    <m/>
  </r>
  <r>
    <x v="3"/>
    <s v="First study to describe functional ratios (ERecc/IRcon)"/>
    <x v="9"/>
    <n v="2007"/>
    <x v="4"/>
    <x v="4"/>
    <x v="6"/>
    <n v="14"/>
    <m/>
    <x v="11"/>
    <s v="Dominant"/>
    <x v="1"/>
    <x v="0"/>
    <x v="1"/>
    <x v="0"/>
    <n v="30.3"/>
    <n v="5.6"/>
    <n v="40.200000000000003"/>
    <n v="5.9"/>
    <m/>
    <m/>
    <m/>
    <m/>
    <m/>
    <m/>
    <m/>
    <m/>
    <m/>
    <m/>
    <m/>
    <m/>
    <m/>
    <m/>
    <m/>
    <m/>
    <m/>
    <m/>
  </r>
  <r>
    <x v="3"/>
    <s v="First study to describe functional ratios (ERecc/IRcon)"/>
    <x v="9"/>
    <n v="2007"/>
    <x v="4"/>
    <x v="4"/>
    <x v="6"/>
    <n v="14"/>
    <m/>
    <x v="11"/>
    <s v="Non Dominant"/>
    <x v="1"/>
    <x v="0"/>
    <x v="1"/>
    <x v="0"/>
    <n v="27.3"/>
    <n v="5.0999999999999996"/>
    <n v="27.9"/>
    <n v="5.6"/>
    <m/>
    <m/>
    <m/>
    <m/>
    <m/>
    <m/>
    <m/>
    <m/>
    <m/>
    <m/>
    <m/>
    <m/>
    <m/>
    <m/>
    <m/>
    <m/>
    <m/>
    <m/>
  </r>
  <r>
    <x v="3"/>
    <s v="First study to describe functional ratios (ERecc/IRcon)"/>
    <x v="9"/>
    <n v="2007"/>
    <x v="4"/>
    <x v="4"/>
    <x v="6"/>
    <n v="14"/>
    <m/>
    <x v="11"/>
    <s v="Dominant"/>
    <x v="1"/>
    <x v="1"/>
    <x v="1"/>
    <x v="0"/>
    <n v="36.1"/>
    <n v="6.3"/>
    <n v="41.8"/>
    <n v="7.8"/>
    <m/>
    <m/>
    <m/>
    <m/>
    <m/>
    <m/>
    <m/>
    <m/>
    <m/>
    <m/>
    <m/>
    <m/>
    <m/>
    <m/>
    <m/>
    <m/>
    <m/>
    <m/>
  </r>
  <r>
    <x v="3"/>
    <s v="First study to describe functional ratios (ERecc/IRcon)"/>
    <x v="9"/>
    <n v="2007"/>
    <x v="4"/>
    <x v="4"/>
    <x v="6"/>
    <n v="14"/>
    <m/>
    <x v="11"/>
    <s v="Non Dominant"/>
    <x v="1"/>
    <x v="1"/>
    <x v="1"/>
    <x v="0"/>
    <n v="31.1"/>
    <n v="5.2"/>
    <n v="30.9"/>
    <n v="8.4"/>
    <m/>
    <m/>
    <m/>
    <m/>
    <m/>
    <m/>
    <m/>
    <m/>
    <m/>
    <m/>
    <m/>
    <m/>
    <m/>
    <m/>
    <m/>
    <m/>
    <m/>
    <m/>
  </r>
  <r>
    <x v="4"/>
    <m/>
    <x v="9"/>
    <n v="2007"/>
    <x v="4"/>
    <x v="4"/>
    <x v="5"/>
    <n v="14"/>
    <m/>
    <x v="10"/>
    <s v="Dominant"/>
    <x v="0"/>
    <x v="0"/>
    <x v="1"/>
    <x v="0"/>
    <n v="33.1"/>
    <n v="6.1"/>
    <n v="42.6"/>
    <n v="9.5"/>
    <m/>
    <m/>
    <m/>
    <m/>
    <m/>
    <m/>
    <m/>
    <m/>
    <m/>
    <m/>
    <m/>
    <m/>
    <m/>
    <m/>
    <m/>
    <m/>
    <m/>
    <m/>
  </r>
  <r>
    <x v="4"/>
    <m/>
    <x v="9"/>
    <n v="2007"/>
    <x v="4"/>
    <x v="4"/>
    <x v="5"/>
    <n v="14"/>
    <m/>
    <x v="10"/>
    <s v="Non Dominant"/>
    <x v="0"/>
    <x v="0"/>
    <x v="1"/>
    <x v="0"/>
    <n v="24.2"/>
    <n v="4.0999999999999996"/>
    <n v="35.799999999999997"/>
    <n v="8.4"/>
    <m/>
    <m/>
    <m/>
    <m/>
    <m/>
    <m/>
    <m/>
    <m/>
    <m/>
    <m/>
    <m/>
    <m/>
    <m/>
    <m/>
    <m/>
    <m/>
    <m/>
    <m/>
  </r>
  <r>
    <x v="4"/>
    <m/>
    <x v="9"/>
    <n v="2007"/>
    <x v="4"/>
    <x v="4"/>
    <x v="5"/>
    <n v="14"/>
    <m/>
    <x v="10"/>
    <s v="Dominant"/>
    <x v="0"/>
    <x v="1"/>
    <x v="1"/>
    <x v="0"/>
    <n v="45.3"/>
    <n v="8.3000000000000007"/>
    <n v="49.6"/>
    <n v="14"/>
    <m/>
    <m/>
    <m/>
    <m/>
    <m/>
    <m/>
    <m/>
    <m/>
    <m/>
    <m/>
    <m/>
    <m/>
    <m/>
    <m/>
    <m/>
    <m/>
    <m/>
    <m/>
  </r>
  <r>
    <x v="4"/>
    <m/>
    <x v="9"/>
    <n v="2007"/>
    <x v="4"/>
    <x v="4"/>
    <x v="5"/>
    <n v="14"/>
    <m/>
    <x v="10"/>
    <s v="Non Dominant"/>
    <x v="0"/>
    <x v="1"/>
    <x v="1"/>
    <x v="0"/>
    <n v="41.6"/>
    <n v="7.9"/>
    <n v="45.2"/>
    <n v="8.5"/>
    <m/>
    <m/>
    <m/>
    <m/>
    <m/>
    <m/>
    <m/>
    <m/>
    <m/>
    <m/>
    <m/>
    <m/>
    <m/>
    <m/>
    <m/>
    <m/>
    <m/>
    <m/>
  </r>
  <r>
    <x v="4"/>
    <m/>
    <x v="9"/>
    <n v="2007"/>
    <x v="4"/>
    <x v="4"/>
    <x v="6"/>
    <n v="14"/>
    <m/>
    <x v="11"/>
    <s v="Dominant"/>
    <x v="1"/>
    <x v="0"/>
    <x v="1"/>
    <x v="0"/>
    <n v="24.2"/>
    <n v="4.0999999999999996"/>
    <n v="35.4"/>
    <n v="5"/>
    <m/>
    <m/>
    <m/>
    <m/>
    <m/>
    <m/>
    <m/>
    <m/>
    <m/>
    <m/>
    <m/>
    <m/>
    <m/>
    <m/>
    <m/>
    <m/>
    <m/>
    <m/>
  </r>
  <r>
    <x v="4"/>
    <m/>
    <x v="9"/>
    <n v="2007"/>
    <x v="4"/>
    <x v="4"/>
    <x v="6"/>
    <n v="14"/>
    <m/>
    <x v="11"/>
    <s v="Non Dominant"/>
    <x v="1"/>
    <x v="0"/>
    <x v="1"/>
    <x v="0"/>
    <n v="23.2"/>
    <n v="4.9000000000000004"/>
    <s v="24/4"/>
    <n v="4.9000000000000004"/>
    <m/>
    <m/>
    <m/>
    <m/>
    <m/>
    <m/>
    <m/>
    <m/>
    <m/>
    <m/>
    <m/>
    <m/>
    <m/>
    <m/>
    <m/>
    <m/>
    <m/>
    <m/>
  </r>
  <r>
    <x v="4"/>
    <m/>
    <x v="9"/>
    <n v="2007"/>
    <x v="4"/>
    <x v="4"/>
    <x v="6"/>
    <n v="14"/>
    <m/>
    <x v="11"/>
    <s v="Dominant"/>
    <x v="1"/>
    <x v="1"/>
    <x v="1"/>
    <x v="0"/>
    <n v="36.1"/>
    <n v="4.2"/>
    <n v="41.6"/>
    <n v="7.8"/>
    <m/>
    <m/>
    <m/>
    <m/>
    <m/>
    <m/>
    <m/>
    <m/>
    <m/>
    <m/>
    <m/>
    <m/>
    <m/>
    <m/>
    <m/>
    <m/>
    <m/>
    <m/>
  </r>
  <r>
    <x v="4"/>
    <m/>
    <x v="9"/>
    <n v="2007"/>
    <x v="4"/>
    <x v="4"/>
    <x v="6"/>
    <n v="14"/>
    <m/>
    <x v="11"/>
    <s v="Non Dominant"/>
    <x v="1"/>
    <x v="1"/>
    <x v="1"/>
    <x v="0"/>
    <n v="23.2"/>
    <n v="4.9000000000000004"/>
    <n v="24.4"/>
    <n v="4.9000000000000004"/>
    <m/>
    <m/>
    <m/>
    <m/>
    <m/>
    <m/>
    <m/>
    <m/>
    <m/>
    <m/>
    <m/>
    <m/>
    <m/>
    <m/>
    <m/>
    <m/>
    <m/>
    <m/>
  </r>
  <r>
    <x v="3"/>
    <s v="Concentric strength exercises for non-dominant side."/>
    <x v="10"/>
    <n v="2010"/>
    <x v="5"/>
    <x v="4"/>
    <x v="0"/>
    <n v="23"/>
    <n v="3.4"/>
    <x v="12"/>
    <s v="Dominant"/>
    <x v="1"/>
    <x v="0"/>
    <x v="1"/>
    <x v="0"/>
    <n v="25"/>
    <n v="5.8"/>
    <n v="31.9"/>
    <n v="7.3"/>
    <m/>
    <m/>
    <m/>
    <m/>
    <m/>
    <m/>
    <m/>
    <m/>
    <m/>
    <m/>
    <m/>
    <m/>
    <m/>
    <m/>
    <m/>
    <m/>
    <n v="0.79"/>
    <n v="0.12"/>
  </r>
  <r>
    <x v="3"/>
    <s v="Concentric strength exercises for non-dominant side."/>
    <x v="10"/>
    <n v="2010"/>
    <x v="5"/>
    <x v="4"/>
    <x v="0"/>
    <n v="23"/>
    <n v="3.4"/>
    <x v="12"/>
    <s v="Non Dominant"/>
    <x v="1"/>
    <x v="0"/>
    <x v="1"/>
    <x v="0"/>
    <n v="23.8"/>
    <n v="3.7"/>
    <n v="28.6"/>
    <n v="5"/>
    <m/>
    <m/>
    <m/>
    <m/>
    <m/>
    <m/>
    <m/>
    <m/>
    <m/>
    <m/>
    <m/>
    <m/>
    <m/>
    <m/>
    <m/>
    <m/>
    <n v="0.84"/>
    <n v="0.12"/>
  </r>
  <r>
    <x v="4"/>
    <s v="Eccentric training for external rotators in dominant shoulder (rehab/prevention)."/>
    <x v="10"/>
    <n v="2010"/>
    <x v="5"/>
    <x v="4"/>
    <x v="0"/>
    <n v="23"/>
    <n v="3.4"/>
    <x v="12"/>
    <s v="Dominant"/>
    <x v="1"/>
    <x v="1"/>
    <x v="1"/>
    <x v="0"/>
    <n v="33.700000000000003"/>
    <n v="8"/>
    <n v="36.299999999999997"/>
    <n v="8.5"/>
    <m/>
    <m/>
    <m/>
    <m/>
    <m/>
    <m/>
    <m/>
    <m/>
    <m/>
    <m/>
    <m/>
    <m/>
    <m/>
    <m/>
    <m/>
    <m/>
    <n v="1.21"/>
    <n v="0.28000000000000003"/>
  </r>
  <r>
    <x v="4"/>
    <m/>
    <x v="10"/>
    <n v="2010"/>
    <x v="5"/>
    <x v="4"/>
    <x v="0"/>
    <n v="23"/>
    <n v="3.4"/>
    <x v="12"/>
    <s v="Non Dominant"/>
    <x v="1"/>
    <x v="1"/>
    <x v="1"/>
    <x v="0"/>
    <n v="32.200000000000003"/>
    <n v="4.9000000000000004"/>
    <n v="32.200000000000003"/>
    <n v="6.1"/>
    <m/>
    <m/>
    <m/>
    <m/>
    <m/>
    <m/>
    <m/>
    <m/>
    <m/>
    <m/>
    <m/>
    <m/>
    <m/>
    <m/>
    <m/>
    <m/>
    <n v="1.32"/>
    <n v="0.3"/>
  </r>
  <r>
    <x v="4"/>
    <m/>
    <x v="10"/>
    <n v="2010"/>
    <x v="5"/>
    <x v="4"/>
    <x v="0"/>
    <n v="23"/>
    <n v="3.4"/>
    <x v="12"/>
    <s v="Dominant"/>
    <x v="1"/>
    <x v="0"/>
    <x v="1"/>
    <x v="0"/>
    <n v="23"/>
    <n v="4.5999999999999996"/>
    <n v="28.5"/>
    <n v="6.2"/>
    <m/>
    <m/>
    <m/>
    <m/>
    <m/>
    <m/>
    <m/>
    <m/>
    <m/>
    <m/>
    <m/>
    <m/>
    <m/>
    <m/>
    <m/>
    <m/>
    <n v="0.82"/>
    <n v="0.13"/>
  </r>
  <r>
    <x v="4"/>
    <m/>
    <x v="10"/>
    <n v="2010"/>
    <x v="5"/>
    <x v="4"/>
    <x v="0"/>
    <n v="23"/>
    <n v="3.4"/>
    <x v="12"/>
    <s v="Non Dominant"/>
    <x v="1"/>
    <x v="0"/>
    <x v="1"/>
    <x v="0"/>
    <n v="21.1"/>
    <n v="3.8"/>
    <n v="25.2"/>
    <n v="5.0999999999999996"/>
    <m/>
    <m/>
    <m/>
    <m/>
    <m/>
    <m/>
    <m/>
    <m/>
    <m/>
    <m/>
    <m/>
    <m/>
    <m/>
    <m/>
    <m/>
    <m/>
    <n v="0.85"/>
    <n v="0.13"/>
  </r>
  <r>
    <x v="2"/>
    <m/>
    <x v="10"/>
    <n v="2010"/>
    <x v="5"/>
    <x v="4"/>
    <x v="0"/>
    <n v="23"/>
    <n v="3.4"/>
    <x v="12"/>
    <s v="Dominant"/>
    <x v="1"/>
    <x v="0"/>
    <x v="1"/>
    <x v="0"/>
    <n v="20.7"/>
    <n v="5.4"/>
    <n v="25.6"/>
    <n v="6.3"/>
    <m/>
    <m/>
    <m/>
    <m/>
    <m/>
    <m/>
    <m/>
    <m/>
    <m/>
    <m/>
    <m/>
    <m/>
    <m/>
    <m/>
    <m/>
    <m/>
    <n v="0.81"/>
    <s v=",11"/>
  </r>
  <r>
    <x v="2"/>
    <m/>
    <x v="10"/>
    <n v="2010"/>
    <x v="5"/>
    <x v="4"/>
    <x v="0"/>
    <n v="23"/>
    <n v="3.4"/>
    <x v="12"/>
    <s v="Non Dominant"/>
    <x v="1"/>
    <x v="0"/>
    <x v="1"/>
    <x v="0"/>
    <n v="17.600000000000001"/>
    <n v="3.5"/>
    <n v="21.3"/>
    <n v="5.3"/>
    <m/>
    <m/>
    <m/>
    <m/>
    <m/>
    <m/>
    <m/>
    <m/>
    <m/>
    <m/>
    <m/>
    <m/>
    <m/>
    <m/>
    <m/>
    <m/>
    <s v=",85"/>
    <s v=",15"/>
  </r>
  <r>
    <x v="2"/>
    <m/>
    <x v="10"/>
    <n v="2010"/>
    <x v="5"/>
    <x v="4"/>
    <x v="0"/>
    <n v="23"/>
    <n v="3.4"/>
    <x v="12"/>
    <s v="Dominant"/>
    <x v="1"/>
    <x v="1"/>
    <x v="1"/>
    <x v="0"/>
    <n v="36.9"/>
    <n v="5.6"/>
    <n v="38.200000000000003"/>
    <n v="7.6"/>
    <m/>
    <m/>
    <m/>
    <m/>
    <m/>
    <m/>
    <m/>
    <m/>
    <m/>
    <m/>
    <m/>
    <m/>
    <m/>
    <m/>
    <m/>
    <m/>
    <n v="1.54"/>
    <n v="0.41"/>
  </r>
  <r>
    <x v="2"/>
    <s v="P = 0.050 (Dominant &lt; Non-Dom)"/>
    <x v="10"/>
    <n v="2010"/>
    <x v="5"/>
    <x v="4"/>
    <x v="0"/>
    <n v="23"/>
    <n v="3.4"/>
    <x v="12"/>
    <s v="Non Dominant"/>
    <x v="1"/>
    <x v="1"/>
    <x v="1"/>
    <x v="0"/>
    <n v="35.9"/>
    <n v="5.3"/>
    <n v="34.9"/>
    <n v="6.4"/>
    <m/>
    <m/>
    <m/>
    <m/>
    <m/>
    <m/>
    <m/>
    <m/>
    <m/>
    <m/>
    <m/>
    <m/>
    <m/>
    <m/>
    <m/>
    <m/>
    <n v="1.81"/>
    <n v="0.56999999999999995"/>
  </r>
  <r>
    <x v="3"/>
    <m/>
    <x v="11"/>
    <n v="2012"/>
    <x v="2"/>
    <x v="3"/>
    <x v="7"/>
    <n v="14.55"/>
    <n v="0.5"/>
    <x v="13"/>
    <s v="Dominant"/>
    <x v="0"/>
    <x v="0"/>
    <x v="0"/>
    <x v="0"/>
    <n v="26.39"/>
    <n v="5.66"/>
    <n v="33.880000000000003"/>
    <n v="8.5"/>
    <m/>
    <m/>
    <m/>
    <m/>
    <m/>
    <m/>
    <m/>
    <m/>
    <m/>
    <m/>
    <m/>
    <m/>
    <m/>
    <m/>
    <m/>
    <m/>
    <n v="77.89"/>
    <n v="15.23"/>
  </r>
  <r>
    <x v="3"/>
    <s v="significantly higher internal rotation strength in both limbs and at both speeds."/>
    <x v="11"/>
    <n v="2012"/>
    <x v="2"/>
    <x v="3"/>
    <x v="4"/>
    <n v="14.55"/>
    <n v="0.5"/>
    <x v="13"/>
    <s v="Non Dominant"/>
    <x v="0"/>
    <x v="0"/>
    <x v="0"/>
    <x v="0"/>
    <n v="24.96"/>
    <n v="4.74"/>
    <n v="34.01"/>
    <n v="9.33"/>
    <m/>
    <m/>
    <m/>
    <m/>
    <m/>
    <m/>
    <m/>
    <m/>
    <m/>
    <m/>
    <m/>
    <m/>
    <m/>
    <m/>
    <m/>
    <m/>
    <n v="77.89"/>
    <n v="15.23"/>
  </r>
  <r>
    <x v="3"/>
    <m/>
    <x v="11"/>
    <n v="2012"/>
    <x v="2"/>
    <x v="3"/>
    <x v="7"/>
    <n v="14.62"/>
    <n v="0.49"/>
    <x v="13"/>
    <s v="Dominant"/>
    <x v="0"/>
    <x v="0"/>
    <x v="0"/>
    <x v="0"/>
    <n v="25.05"/>
    <n v="7.08"/>
    <n v="26.99"/>
    <n v="8.27"/>
    <m/>
    <m/>
    <m/>
    <m/>
    <m/>
    <m/>
    <m/>
    <m/>
    <m/>
    <m/>
    <m/>
    <m/>
    <m/>
    <m/>
    <m/>
    <m/>
    <n v="92.81"/>
    <n v="13.31"/>
  </r>
  <r>
    <x v="3"/>
    <s v="significantly higher internal rotation strength in both limbs and at both speeds."/>
    <x v="11"/>
    <n v="2012"/>
    <x v="2"/>
    <x v="3"/>
    <x v="4"/>
    <n v="14.62"/>
    <n v="0.49"/>
    <x v="13"/>
    <s v="Non Dominant"/>
    <x v="0"/>
    <x v="0"/>
    <x v="0"/>
    <x v="0"/>
    <n v="24.09"/>
    <n v="6.1"/>
    <n v="25.91"/>
    <n v="6.99"/>
    <m/>
    <m/>
    <m/>
    <m/>
    <m/>
    <m/>
    <m/>
    <m/>
    <m/>
    <m/>
    <m/>
    <m/>
    <m/>
    <m/>
    <m/>
    <m/>
    <n v="92.81"/>
    <n v="13.31"/>
  </r>
  <r>
    <x v="4"/>
    <m/>
    <x v="11"/>
    <n v="2012"/>
    <x v="2"/>
    <x v="3"/>
    <x v="7"/>
    <n v="14.654999999999999"/>
    <n v="0.48499999999999999"/>
    <x v="13"/>
    <s v="Dominant"/>
    <x v="0"/>
    <x v="0"/>
    <x v="0"/>
    <x v="0"/>
    <n v="23.29"/>
    <n v="4.1500000000000004"/>
    <n v="31.15"/>
    <n v="7.93"/>
    <m/>
    <m/>
    <m/>
    <m/>
    <m/>
    <m/>
    <m/>
    <m/>
    <m/>
    <m/>
    <m/>
    <m/>
    <m/>
    <m/>
    <m/>
    <m/>
    <n v="74.77"/>
    <n v="13.99"/>
  </r>
  <r>
    <x v="4"/>
    <m/>
    <x v="11"/>
    <n v="2012"/>
    <x v="2"/>
    <x v="3"/>
    <x v="4"/>
    <n v="14.683"/>
    <n v="0.48099999999999998"/>
    <x v="13"/>
    <s v="Non Dominant"/>
    <x v="0"/>
    <x v="0"/>
    <x v="0"/>
    <x v="0"/>
    <n v="22.61"/>
    <n v="5.85"/>
    <n v="23.02"/>
    <n v="8.16"/>
    <m/>
    <m/>
    <m/>
    <m/>
    <m/>
    <m/>
    <m/>
    <m/>
    <m/>
    <m/>
    <m/>
    <m/>
    <m/>
    <m/>
    <m/>
    <m/>
    <n v="74.77"/>
    <n v="13.99"/>
  </r>
  <r>
    <x v="4"/>
    <m/>
    <x v="11"/>
    <n v="2012"/>
    <x v="2"/>
    <x v="3"/>
    <x v="7"/>
    <n v="14.711"/>
    <n v="0.47699999999999998"/>
    <x v="13"/>
    <s v="Dominant"/>
    <x v="0"/>
    <x v="0"/>
    <x v="0"/>
    <x v="0"/>
    <n v="22.07"/>
    <n v="3.87"/>
    <n v="31.48"/>
    <n v="8.3800000000000008"/>
    <m/>
    <m/>
    <m/>
    <m/>
    <m/>
    <m/>
    <m/>
    <m/>
    <m/>
    <m/>
    <m/>
    <m/>
    <m/>
    <m/>
    <m/>
    <m/>
    <n v="92.21"/>
    <n v="18.05"/>
  </r>
  <r>
    <x v="4"/>
    <m/>
    <x v="11"/>
    <n v="2012"/>
    <x v="2"/>
    <x v="3"/>
    <x v="4"/>
    <n v="14.739000000000001"/>
    <n v="0.47299999999999998"/>
    <x v="13"/>
    <s v="Non Dominant"/>
    <x v="0"/>
    <x v="0"/>
    <x v="0"/>
    <x v="0"/>
    <n v="21.57"/>
    <n v="4.2699999999999996"/>
    <n v="23.85"/>
    <n v="6.84"/>
    <m/>
    <m/>
    <m/>
    <m/>
    <m/>
    <m/>
    <m/>
    <m/>
    <m/>
    <m/>
    <m/>
    <m/>
    <m/>
    <m/>
    <m/>
    <m/>
    <n v="92.21"/>
    <n v="18.05"/>
  </r>
  <r>
    <x v="3"/>
    <s v="ER/IR ratios were below 83% at both velocities — suggesting mild imbalance (norm: ~66–75%)."/>
    <x v="10"/>
    <n v="2013"/>
    <x v="5"/>
    <x v="2"/>
    <x v="0"/>
    <n v="23"/>
    <n v="3.4"/>
    <x v="12"/>
    <s v="Dominant"/>
    <x v="1"/>
    <x v="0"/>
    <x v="0"/>
    <x v="0"/>
    <n v="38.299999999999997"/>
    <n v="6.5"/>
    <n v="47.1"/>
    <n v="8.4"/>
    <n v="0.54"/>
    <n v="8.0000000000000002E-3"/>
    <n v="0.66"/>
    <n v="0.1"/>
    <m/>
    <m/>
    <m/>
    <m/>
    <m/>
    <m/>
    <m/>
    <m/>
    <m/>
    <m/>
    <m/>
    <m/>
    <n v="81.599999999999994"/>
    <n v="13.3"/>
  </r>
  <r>
    <x v="2"/>
    <s v="Did not record Non Dominant Limb"/>
    <x v="10"/>
    <n v="2013"/>
    <x v="5"/>
    <x v="2"/>
    <x v="0"/>
    <n v="23"/>
    <n v="3.4"/>
    <x v="12"/>
    <s v="Dominant"/>
    <x v="1"/>
    <x v="0"/>
    <x v="0"/>
    <x v="0"/>
    <n v="30"/>
    <n v="6.1"/>
    <n v="40.5"/>
    <n v="8.6"/>
    <n v="0.42"/>
    <n v="8.0000000000000002E-3"/>
    <n v="0.56999999999999995"/>
    <n v="0.1"/>
    <m/>
    <m/>
    <m/>
    <m/>
    <m/>
    <m/>
    <m/>
    <m/>
    <m/>
    <m/>
    <m/>
    <m/>
    <n v="74.7"/>
    <n v="12.1"/>
  </r>
  <r>
    <x v="0"/>
    <s v="10 left-hand, 10 right-hand dominant"/>
    <x v="12"/>
    <n v="2005"/>
    <x v="1"/>
    <x v="3"/>
    <x v="1"/>
    <n v="16.3"/>
    <n v="1.3"/>
    <x v="7"/>
    <s v="Dominant"/>
    <x v="0"/>
    <x v="0"/>
    <x v="0"/>
    <x v="0"/>
    <n v="6.97"/>
    <n v="4.7699999999999996"/>
    <n v="11.97"/>
    <n v="8.1300000000000008"/>
    <m/>
    <m/>
    <m/>
    <m/>
    <m/>
    <m/>
    <m/>
    <m/>
    <m/>
    <m/>
    <m/>
    <m/>
    <m/>
    <m/>
    <m/>
    <m/>
    <n v="0.56000000000000005"/>
    <n v="0.15"/>
  </r>
  <r>
    <x v="0"/>
    <s v="10 left-hand, 10 right-hand dominant"/>
    <x v="12"/>
    <n v="2005"/>
    <x v="1"/>
    <x v="3"/>
    <x v="1"/>
    <n v="16.3"/>
    <n v="1.3"/>
    <x v="7"/>
    <s v="Non Dominant"/>
    <x v="0"/>
    <x v="0"/>
    <x v="0"/>
    <x v="0"/>
    <n v="7.31"/>
    <n v="4.97"/>
    <n v="11.03"/>
    <n v="7.51"/>
    <m/>
    <m/>
    <m/>
    <m/>
    <m/>
    <m/>
    <m/>
    <m/>
    <m/>
    <m/>
    <m/>
    <m/>
    <m/>
    <m/>
    <m/>
    <m/>
    <n v="0.65"/>
    <n v="0.16"/>
  </r>
  <r>
    <x v="0"/>
    <s v="10 left-hand, 10 right-hand dominant"/>
    <x v="12"/>
    <n v="2005"/>
    <x v="1"/>
    <x v="3"/>
    <x v="1"/>
    <n v="16.3"/>
    <n v="1.3"/>
    <x v="7"/>
    <s v="Dominant"/>
    <x v="0"/>
    <x v="1"/>
    <x v="0"/>
    <x v="0"/>
    <n v="7.44"/>
    <n v="3.25"/>
    <n v="12.28"/>
    <n v="8.65"/>
    <m/>
    <m/>
    <m/>
    <m/>
    <m/>
    <m/>
    <m/>
    <m/>
    <m/>
    <m/>
    <m/>
    <m/>
    <m/>
    <m/>
    <m/>
    <m/>
    <n v="0.65"/>
    <n v="0.14000000000000001"/>
  </r>
  <r>
    <x v="0"/>
    <s v="10 left-hand, 10 right-hand dominant"/>
    <x v="12"/>
    <n v="2005"/>
    <x v="1"/>
    <x v="3"/>
    <x v="1"/>
    <n v="16.3"/>
    <n v="1.3"/>
    <x v="7"/>
    <s v="Non Dominant"/>
    <x v="0"/>
    <x v="1"/>
    <x v="0"/>
    <x v="0"/>
    <n v="7.82"/>
    <n v="6.8"/>
    <n v="11.36"/>
    <n v="8.91"/>
    <m/>
    <m/>
    <m/>
    <m/>
    <m/>
    <m/>
    <m/>
    <m/>
    <m/>
    <m/>
    <m/>
    <m/>
    <m/>
    <m/>
    <m/>
    <m/>
    <n v="0.68"/>
    <n v="0.17"/>
  </r>
  <r>
    <x v="4"/>
    <s v="10 left-hand, 10 right-hand dominant"/>
    <x v="12"/>
    <n v="2005"/>
    <x v="1"/>
    <x v="3"/>
    <x v="1"/>
    <n v="16.3"/>
    <n v="1.3"/>
    <x v="7"/>
    <s v="Dominant"/>
    <x v="0"/>
    <x v="0"/>
    <x v="0"/>
    <x v="0"/>
    <n v="10.050000000000001"/>
    <n v="7.28"/>
    <n v="15.27"/>
    <n v="12.65"/>
    <m/>
    <m/>
    <m/>
    <m/>
    <m/>
    <m/>
    <m/>
    <m/>
    <m/>
    <m/>
    <m/>
    <m/>
    <m/>
    <m/>
    <m/>
    <m/>
    <n v="0.51"/>
    <n v="0.15"/>
  </r>
  <r>
    <x v="4"/>
    <s v="10 left-hand, 10 right-hand dominant"/>
    <x v="12"/>
    <n v="2005"/>
    <x v="1"/>
    <x v="3"/>
    <x v="1"/>
    <n v="16.3"/>
    <n v="1.3"/>
    <x v="7"/>
    <s v="Non Dominant"/>
    <x v="0"/>
    <x v="0"/>
    <x v="0"/>
    <x v="0"/>
    <n v="10.89"/>
    <n v="7.74"/>
    <n v="15.1"/>
    <n v="12.25"/>
    <m/>
    <m/>
    <m/>
    <m/>
    <m/>
    <m/>
    <m/>
    <m/>
    <m/>
    <m/>
    <m/>
    <m/>
    <m/>
    <m/>
    <m/>
    <m/>
    <n v="0.56999999999999995"/>
    <n v="0.18"/>
  </r>
  <r>
    <x v="4"/>
    <s v="10 left-hand, 10 right-hand dominant"/>
    <x v="12"/>
    <n v="2005"/>
    <x v="1"/>
    <x v="3"/>
    <x v="1"/>
    <n v="16.3"/>
    <n v="1.3"/>
    <x v="7"/>
    <s v="Dominant"/>
    <x v="0"/>
    <x v="1"/>
    <x v="0"/>
    <x v="0"/>
    <n v="10.93"/>
    <n v="8.43"/>
    <n v="14.12"/>
    <n v="9.1199999999999992"/>
    <m/>
    <m/>
    <m/>
    <m/>
    <m/>
    <m/>
    <m/>
    <m/>
    <m/>
    <m/>
    <m/>
    <m/>
    <m/>
    <m/>
    <m/>
    <m/>
    <n v="0.72"/>
    <n v="0.2"/>
  </r>
  <r>
    <x v="4"/>
    <s v="10 left-hand, 10 right-hand dominant"/>
    <x v="12"/>
    <n v="2005"/>
    <x v="1"/>
    <x v="3"/>
    <x v="1"/>
    <n v="16.3"/>
    <n v="1.3"/>
    <x v="7"/>
    <s v="Non Dominant"/>
    <x v="0"/>
    <x v="1"/>
    <x v="0"/>
    <x v="0"/>
    <n v="11.2"/>
    <n v="7.9"/>
    <n v="13.88"/>
    <n v="9.2899999999999991"/>
    <m/>
    <m/>
    <m/>
    <m/>
    <m/>
    <m/>
    <m/>
    <m/>
    <m/>
    <m/>
    <m/>
    <m/>
    <m/>
    <m/>
    <m/>
    <m/>
    <n v="0.82"/>
    <n v="0.17"/>
  </r>
  <r>
    <x v="2"/>
    <m/>
    <x v="13"/>
    <n v="2007"/>
    <x v="1"/>
    <x v="4"/>
    <x v="1"/>
    <n v="20.3"/>
    <n v="0.5"/>
    <x v="14"/>
    <s v="Pre"/>
    <x v="0"/>
    <x v="0"/>
    <x v="0"/>
    <x v="1"/>
    <m/>
    <m/>
    <m/>
    <m/>
    <n v="0.38"/>
    <n v="0.02"/>
    <n v="0.6"/>
    <n v="0.04"/>
    <m/>
    <m/>
    <m/>
    <m/>
    <m/>
    <m/>
    <m/>
    <m/>
    <m/>
    <m/>
    <m/>
    <m/>
    <m/>
    <m/>
  </r>
  <r>
    <x v="2"/>
    <m/>
    <x v="13"/>
    <n v="2007"/>
    <x v="1"/>
    <x v="4"/>
    <x v="1"/>
    <n v="20.3"/>
    <n v="0.5"/>
    <x v="14"/>
    <s v="Post"/>
    <x v="0"/>
    <x v="0"/>
    <x v="0"/>
    <x v="1"/>
    <m/>
    <m/>
    <m/>
    <m/>
    <n v="0.39"/>
    <n v="0.02"/>
    <n v="0.63"/>
    <n v="0.03"/>
    <m/>
    <m/>
    <m/>
    <m/>
    <m/>
    <m/>
    <m/>
    <m/>
    <m/>
    <m/>
    <m/>
    <m/>
    <m/>
    <m/>
  </r>
  <r>
    <x v="2"/>
    <m/>
    <x v="13"/>
    <n v="2007"/>
    <x v="1"/>
    <x v="4"/>
    <x v="1"/>
    <n v="20.3"/>
    <n v="0.5"/>
    <x v="14"/>
    <s v="Pre"/>
    <x v="0"/>
    <x v="1"/>
    <x v="0"/>
    <x v="1"/>
    <m/>
    <m/>
    <m/>
    <m/>
    <n v="0.51"/>
    <n v="0.03"/>
    <n v="0.93"/>
    <n v="0.05"/>
    <m/>
    <m/>
    <m/>
    <m/>
    <m/>
    <m/>
    <m/>
    <m/>
    <m/>
    <m/>
    <m/>
    <m/>
    <m/>
    <m/>
  </r>
  <r>
    <x v="2"/>
    <m/>
    <x v="13"/>
    <n v="2007"/>
    <x v="1"/>
    <x v="4"/>
    <x v="1"/>
    <n v="20.3"/>
    <n v="0.5"/>
    <x v="14"/>
    <s v="Post"/>
    <x v="0"/>
    <x v="1"/>
    <x v="0"/>
    <x v="1"/>
    <m/>
    <m/>
    <m/>
    <m/>
    <n v="0.53"/>
    <n v="0.03"/>
    <n v="0.94"/>
    <n v="0.05"/>
    <m/>
    <m/>
    <m/>
    <m/>
    <m/>
    <m/>
    <m/>
    <m/>
    <m/>
    <m/>
    <m/>
    <m/>
    <m/>
    <m/>
  </r>
  <r>
    <x v="3"/>
    <m/>
    <x v="14"/>
    <n v="2000"/>
    <x v="3"/>
    <x v="4"/>
    <x v="0"/>
    <n v="20.399999999999999"/>
    <m/>
    <x v="14"/>
    <s v="Dominant"/>
    <x v="0"/>
    <x v="0"/>
    <x v="3"/>
    <x v="3"/>
    <n v="118.2"/>
    <n v="20.100000000000001"/>
    <n v="194.3"/>
    <n v="21.3"/>
    <m/>
    <m/>
    <m/>
    <m/>
    <m/>
    <m/>
    <m/>
    <m/>
    <m/>
    <m/>
    <m/>
    <m/>
    <m/>
    <m/>
    <m/>
    <m/>
    <n v="61.2"/>
    <m/>
  </r>
  <r>
    <x v="3"/>
    <m/>
    <x v="14"/>
    <n v="2000"/>
    <x v="3"/>
    <x v="4"/>
    <x v="0"/>
    <n v="20.399999999999999"/>
    <m/>
    <x v="14"/>
    <s v="Non Dominant"/>
    <x v="0"/>
    <x v="0"/>
    <x v="3"/>
    <x v="3"/>
    <n v="109.1"/>
    <n v="23.2"/>
    <n v="180.2"/>
    <n v="28.4"/>
    <m/>
    <m/>
    <m/>
    <m/>
    <m/>
    <m/>
    <m/>
    <m/>
    <m/>
    <m/>
    <m/>
    <m/>
    <m/>
    <m/>
    <m/>
    <m/>
    <n v="60.5"/>
    <m/>
  </r>
  <r>
    <x v="3"/>
    <m/>
    <x v="14"/>
    <n v="2000"/>
    <x v="3"/>
    <x v="4"/>
    <x v="0"/>
    <n v="20.399999999999999"/>
    <m/>
    <x v="14"/>
    <s v="Dominant"/>
    <x v="0"/>
    <x v="1"/>
    <x v="3"/>
    <x v="3"/>
    <n v="136.5"/>
    <n v="27.1"/>
    <n v="242.8"/>
    <n v="37"/>
    <m/>
    <m/>
    <m/>
    <m/>
    <m/>
    <m/>
    <m/>
    <m/>
    <m/>
    <m/>
    <m/>
    <m/>
    <m/>
    <m/>
    <m/>
    <m/>
    <n v="56.2"/>
    <m/>
  </r>
  <r>
    <x v="3"/>
    <m/>
    <x v="14"/>
    <n v="2000"/>
    <x v="3"/>
    <x v="4"/>
    <x v="0"/>
    <n v="20.399999999999999"/>
    <m/>
    <x v="14"/>
    <s v="Non Dominant"/>
    <x v="0"/>
    <x v="1"/>
    <x v="3"/>
    <x v="3"/>
    <n v="125.1"/>
    <n v="31.4"/>
    <n v="224.4"/>
    <n v="29"/>
    <m/>
    <m/>
    <m/>
    <m/>
    <m/>
    <m/>
    <m/>
    <m/>
    <m/>
    <m/>
    <m/>
    <m/>
    <m/>
    <m/>
    <m/>
    <m/>
    <n v="55.8"/>
    <m/>
  </r>
  <r>
    <x v="5"/>
    <m/>
    <x v="14"/>
    <n v="2000"/>
    <x v="3"/>
    <x v="4"/>
    <x v="0"/>
    <n v="20.399999999999999"/>
    <m/>
    <x v="14"/>
    <s v="Dominant"/>
    <x v="0"/>
    <x v="0"/>
    <x v="3"/>
    <x v="3"/>
    <n v="107.6"/>
    <n v="19.399999999999999"/>
    <n v="184.3"/>
    <n v="19.100000000000001"/>
    <m/>
    <m/>
    <m/>
    <m/>
    <m/>
    <m/>
    <m/>
    <m/>
    <m/>
    <m/>
    <m/>
    <m/>
    <m/>
    <m/>
    <m/>
    <m/>
    <n v="58.4"/>
    <m/>
  </r>
  <r>
    <x v="5"/>
    <m/>
    <x v="14"/>
    <n v="2000"/>
    <x v="3"/>
    <x v="4"/>
    <x v="0"/>
    <n v="20.399999999999999"/>
    <m/>
    <x v="14"/>
    <s v="Non Dominant"/>
    <x v="0"/>
    <x v="0"/>
    <x v="3"/>
    <x v="3"/>
    <n v="96.3"/>
    <n v="20.2"/>
    <n v="168.5"/>
    <n v="24.3"/>
    <m/>
    <m/>
    <m/>
    <m/>
    <m/>
    <m/>
    <m/>
    <m/>
    <m/>
    <m/>
    <m/>
    <m/>
    <m/>
    <m/>
    <m/>
    <m/>
    <n v="57.2"/>
    <m/>
  </r>
  <r>
    <x v="5"/>
    <m/>
    <x v="14"/>
    <n v="2000"/>
    <x v="3"/>
    <x v="4"/>
    <x v="0"/>
    <n v="20.399999999999999"/>
    <m/>
    <x v="14"/>
    <s v="Dominant"/>
    <x v="0"/>
    <x v="1"/>
    <x v="3"/>
    <x v="3"/>
    <n v="127"/>
    <n v="24.7"/>
    <n v="219"/>
    <n v="30.1"/>
    <m/>
    <m/>
    <m/>
    <m/>
    <m/>
    <m/>
    <m/>
    <m/>
    <m/>
    <m/>
    <m/>
    <m/>
    <m/>
    <m/>
    <m/>
    <m/>
    <n v="58"/>
    <m/>
  </r>
  <r>
    <x v="5"/>
    <m/>
    <x v="14"/>
    <n v="2000"/>
    <x v="3"/>
    <x v="4"/>
    <x v="0"/>
    <n v="20.399999999999999"/>
    <m/>
    <x v="14"/>
    <s v="Non Dominant"/>
    <x v="0"/>
    <x v="1"/>
    <x v="3"/>
    <x v="3"/>
    <n v="115.2"/>
    <n v="28.1"/>
    <n v="198.9"/>
    <n v="26.1"/>
    <m/>
    <m/>
    <m/>
    <m/>
    <m/>
    <m/>
    <m/>
    <m/>
    <m/>
    <m/>
    <m/>
    <m/>
    <m/>
    <m/>
    <m/>
    <m/>
    <n v="57.9"/>
    <m/>
  </r>
  <r>
    <x v="3"/>
    <s v="All had 4-5 Years of Experience"/>
    <x v="15"/>
    <n v="2022"/>
    <x v="6"/>
    <x v="0"/>
    <x v="0"/>
    <n v="21.9"/>
    <n v="2"/>
    <x v="14"/>
    <s v="Dominant"/>
    <x v="0"/>
    <x v="1"/>
    <x v="0"/>
    <x v="0"/>
    <m/>
    <m/>
    <m/>
    <m/>
    <m/>
    <m/>
    <m/>
    <m/>
    <n v="51.8"/>
    <n v="3.3"/>
    <m/>
    <m/>
    <m/>
    <m/>
    <m/>
    <m/>
    <m/>
    <m/>
    <m/>
    <m/>
    <m/>
    <m/>
  </r>
  <r>
    <x v="3"/>
    <s v="All had 4-5 Years of Experience"/>
    <x v="15"/>
    <n v="2022"/>
    <x v="6"/>
    <x v="0"/>
    <x v="0"/>
    <n v="21.9"/>
    <n v="2"/>
    <x v="14"/>
    <s v="Non Dominant"/>
    <x v="0"/>
    <x v="1"/>
    <x v="0"/>
    <x v="0"/>
    <m/>
    <m/>
    <m/>
    <m/>
    <m/>
    <m/>
    <m/>
    <m/>
    <n v="49.2"/>
    <n v="3.2"/>
    <m/>
    <m/>
    <m/>
    <m/>
    <m/>
    <m/>
    <m/>
    <m/>
    <m/>
    <m/>
    <m/>
    <m/>
  </r>
  <r>
    <x v="3"/>
    <s v="All had 4-5 Years of Experience"/>
    <x v="15"/>
    <n v="2022"/>
    <x v="7"/>
    <x v="0"/>
    <x v="0"/>
    <n v="22.2"/>
    <n v="2.1"/>
    <x v="14"/>
    <s v="Dominant"/>
    <x v="0"/>
    <x v="1"/>
    <x v="0"/>
    <x v="0"/>
    <m/>
    <m/>
    <m/>
    <m/>
    <m/>
    <m/>
    <m/>
    <m/>
    <n v="47.3"/>
    <n v="2.2999999999999998"/>
    <m/>
    <m/>
    <m/>
    <m/>
    <m/>
    <m/>
    <m/>
    <m/>
    <m/>
    <m/>
    <m/>
    <m/>
  </r>
  <r>
    <x v="3"/>
    <s v="All had 4-5 Years of Experience"/>
    <x v="15"/>
    <n v="2022"/>
    <x v="7"/>
    <x v="0"/>
    <x v="0"/>
    <n v="22.2"/>
    <n v="2.1"/>
    <x v="14"/>
    <s v="Non Dominant"/>
    <x v="0"/>
    <x v="1"/>
    <x v="0"/>
    <x v="0"/>
    <m/>
    <m/>
    <m/>
    <m/>
    <m/>
    <m/>
    <m/>
    <m/>
    <n v="53.9"/>
    <n v="2.7"/>
    <m/>
    <m/>
    <m/>
    <m/>
    <m/>
    <m/>
    <m/>
    <m/>
    <m/>
    <m/>
    <m/>
    <m/>
  </r>
  <r>
    <x v="3"/>
    <s v="All had 4-5 Years of Experience"/>
    <x v="15"/>
    <n v="2022"/>
    <x v="8"/>
    <x v="0"/>
    <x v="0"/>
    <n v="22.5"/>
    <n v="2.6"/>
    <x v="14"/>
    <s v="Dominant"/>
    <x v="0"/>
    <x v="1"/>
    <x v="0"/>
    <x v="0"/>
    <m/>
    <m/>
    <m/>
    <m/>
    <m/>
    <m/>
    <m/>
    <m/>
    <n v="61.7"/>
    <n v="5.4"/>
    <m/>
    <m/>
    <m/>
    <m/>
    <m/>
    <m/>
    <m/>
    <m/>
    <m/>
    <m/>
    <m/>
    <m/>
  </r>
  <r>
    <x v="3"/>
    <s v="All had 4-5 Years of Experience"/>
    <x v="15"/>
    <n v="2022"/>
    <x v="8"/>
    <x v="0"/>
    <x v="0"/>
    <n v="22.5"/>
    <n v="2.6"/>
    <x v="14"/>
    <s v="Non Dominant"/>
    <x v="0"/>
    <x v="1"/>
    <x v="0"/>
    <x v="0"/>
    <m/>
    <m/>
    <m/>
    <m/>
    <m/>
    <m/>
    <m/>
    <m/>
    <n v="59"/>
    <n v="5.5"/>
    <m/>
    <m/>
    <m/>
    <m/>
    <m/>
    <m/>
    <m/>
    <m/>
    <m/>
    <m/>
    <m/>
    <m/>
  </r>
  <r>
    <x v="3"/>
    <s v="All had 4-5 Years of Experience"/>
    <x v="15"/>
    <n v="2022"/>
    <x v="9"/>
    <x v="0"/>
    <x v="0"/>
    <n v="22.7"/>
    <n v="2.5"/>
    <x v="14"/>
    <s v="Dominant"/>
    <x v="0"/>
    <x v="1"/>
    <x v="0"/>
    <x v="0"/>
    <m/>
    <m/>
    <m/>
    <m/>
    <m/>
    <m/>
    <m/>
    <m/>
    <n v="55"/>
    <n v="2.8"/>
    <m/>
    <m/>
    <m/>
    <m/>
    <m/>
    <m/>
    <m/>
    <m/>
    <m/>
    <m/>
    <m/>
    <m/>
  </r>
  <r>
    <x v="3"/>
    <s v="All had 4-5 Years of Experience"/>
    <x v="15"/>
    <n v="2022"/>
    <x v="9"/>
    <x v="0"/>
    <x v="0"/>
    <n v="22.7"/>
    <n v="2.5"/>
    <x v="14"/>
    <s v="Non Dominant"/>
    <x v="0"/>
    <x v="1"/>
    <x v="0"/>
    <x v="0"/>
    <m/>
    <m/>
    <m/>
    <m/>
    <m/>
    <m/>
    <m/>
    <m/>
    <n v="51.3"/>
    <n v="3.8"/>
    <m/>
    <m/>
    <m/>
    <m/>
    <m/>
    <m/>
    <m/>
    <m/>
    <m/>
    <m/>
    <m/>
    <m/>
  </r>
  <r>
    <x v="5"/>
    <s v="All had 4-5 Years of Experience"/>
    <x v="15"/>
    <n v="2022"/>
    <x v="6"/>
    <x v="0"/>
    <x v="0"/>
    <n v="21.9"/>
    <n v="2"/>
    <x v="14"/>
    <s v="Dominant"/>
    <x v="0"/>
    <x v="1"/>
    <x v="0"/>
    <x v="0"/>
    <m/>
    <m/>
    <m/>
    <m/>
    <m/>
    <m/>
    <m/>
    <m/>
    <n v="43"/>
    <n v="3.3"/>
    <m/>
    <m/>
    <m/>
    <m/>
    <m/>
    <m/>
    <m/>
    <m/>
    <m/>
    <m/>
    <m/>
    <m/>
  </r>
  <r>
    <x v="5"/>
    <s v="All had 4-5 Years of Experience"/>
    <x v="15"/>
    <n v="2022"/>
    <x v="6"/>
    <x v="0"/>
    <x v="0"/>
    <n v="21.9"/>
    <n v="2"/>
    <x v="14"/>
    <s v="Non Dominant"/>
    <x v="0"/>
    <x v="1"/>
    <x v="0"/>
    <x v="0"/>
    <m/>
    <m/>
    <m/>
    <m/>
    <m/>
    <m/>
    <m/>
    <m/>
    <n v="37.299999999999997"/>
    <n v="3.1"/>
    <m/>
    <m/>
    <m/>
    <m/>
    <m/>
    <m/>
    <m/>
    <m/>
    <m/>
    <m/>
    <m/>
    <m/>
  </r>
  <r>
    <x v="5"/>
    <s v="All had 4-5 Years of Experience"/>
    <x v="15"/>
    <n v="2022"/>
    <x v="7"/>
    <x v="0"/>
    <x v="0"/>
    <n v="22.2"/>
    <n v="2.1"/>
    <x v="14"/>
    <s v="Dominant"/>
    <x v="0"/>
    <x v="1"/>
    <x v="0"/>
    <x v="0"/>
    <m/>
    <m/>
    <m/>
    <m/>
    <m/>
    <m/>
    <m/>
    <m/>
    <n v="48.7"/>
    <n v="2.7"/>
    <m/>
    <m/>
    <m/>
    <m/>
    <m/>
    <m/>
    <m/>
    <m/>
    <m/>
    <m/>
    <m/>
    <m/>
  </r>
  <r>
    <x v="5"/>
    <s v="All had 4-5 Years of Experience"/>
    <x v="15"/>
    <n v="2022"/>
    <x v="7"/>
    <x v="0"/>
    <x v="0"/>
    <n v="22.2"/>
    <n v="2.1"/>
    <x v="14"/>
    <s v="Non Dominant"/>
    <x v="0"/>
    <x v="1"/>
    <x v="0"/>
    <x v="0"/>
    <m/>
    <m/>
    <m/>
    <m/>
    <m/>
    <m/>
    <m/>
    <m/>
    <n v="45.5"/>
    <n v="2.2000000000000002"/>
    <m/>
    <m/>
    <m/>
    <m/>
    <m/>
    <m/>
    <m/>
    <m/>
    <m/>
    <m/>
    <m/>
    <m/>
  </r>
  <r>
    <x v="5"/>
    <s v="All had 4-5 Years of Experience"/>
    <x v="15"/>
    <n v="2022"/>
    <x v="8"/>
    <x v="0"/>
    <x v="0"/>
    <n v="22.5"/>
    <n v="2.6"/>
    <x v="14"/>
    <s v="Dominant"/>
    <x v="0"/>
    <x v="1"/>
    <x v="0"/>
    <x v="0"/>
    <m/>
    <m/>
    <m/>
    <m/>
    <m/>
    <m/>
    <m/>
    <m/>
    <n v="51.9"/>
    <n v="4.9000000000000004"/>
    <m/>
    <m/>
    <m/>
    <m/>
    <m/>
    <m/>
    <m/>
    <m/>
    <m/>
    <m/>
    <m/>
    <m/>
  </r>
  <r>
    <x v="5"/>
    <s v="All had 4-5 Years of Experience"/>
    <x v="15"/>
    <n v="2022"/>
    <x v="8"/>
    <x v="0"/>
    <x v="0"/>
    <n v="22.5"/>
    <n v="2.6"/>
    <x v="14"/>
    <s v="Non Dominant"/>
    <x v="0"/>
    <x v="1"/>
    <x v="0"/>
    <x v="0"/>
    <m/>
    <m/>
    <m/>
    <m/>
    <m/>
    <m/>
    <m/>
    <m/>
    <n v="48.7"/>
    <n v="5.4"/>
    <m/>
    <m/>
    <m/>
    <m/>
    <m/>
    <m/>
    <m/>
    <m/>
    <m/>
    <m/>
    <m/>
    <m/>
  </r>
  <r>
    <x v="5"/>
    <s v="All had 4-5 Years of Experience"/>
    <x v="15"/>
    <n v="2022"/>
    <x v="9"/>
    <x v="0"/>
    <x v="0"/>
    <n v="22.7"/>
    <n v="2.5"/>
    <x v="14"/>
    <s v="Dominant"/>
    <x v="0"/>
    <x v="1"/>
    <x v="0"/>
    <x v="0"/>
    <m/>
    <m/>
    <m/>
    <m/>
    <m/>
    <m/>
    <m/>
    <m/>
    <n v="47.8"/>
    <n v="3.1"/>
    <m/>
    <m/>
    <m/>
    <m/>
    <m/>
    <m/>
    <m/>
    <m/>
    <m/>
    <m/>
    <m/>
    <m/>
  </r>
  <r>
    <x v="5"/>
    <s v="All had 4-5 Years of Experience"/>
    <x v="15"/>
    <n v="2022"/>
    <x v="9"/>
    <x v="0"/>
    <x v="0"/>
    <n v="22.7"/>
    <n v="2.5"/>
    <x v="14"/>
    <s v="Non Dominant"/>
    <x v="0"/>
    <x v="1"/>
    <x v="0"/>
    <x v="0"/>
    <m/>
    <m/>
    <m/>
    <m/>
    <m/>
    <m/>
    <m/>
    <m/>
    <n v="43"/>
    <n v="2.9"/>
    <m/>
    <m/>
    <m/>
    <m/>
    <m/>
    <m/>
    <m/>
    <m/>
    <m/>
    <m/>
    <m/>
    <m/>
  </r>
  <r>
    <x v="4"/>
    <s v="All had 4-5 Years of Experience"/>
    <x v="15"/>
    <n v="2022"/>
    <x v="6"/>
    <x v="0"/>
    <x v="0"/>
    <n v="21.9"/>
    <n v="2"/>
    <x v="14"/>
    <s v="Dominant"/>
    <x v="0"/>
    <x v="1"/>
    <x v="0"/>
    <x v="0"/>
    <m/>
    <m/>
    <m/>
    <m/>
    <m/>
    <m/>
    <m/>
    <m/>
    <n v="40.1"/>
    <n v="3.3"/>
    <m/>
    <m/>
    <m/>
    <m/>
    <m/>
    <m/>
    <m/>
    <m/>
    <m/>
    <m/>
    <m/>
    <m/>
  </r>
  <r>
    <x v="4"/>
    <s v="All had 4-5 Years of Experience"/>
    <x v="15"/>
    <n v="2022"/>
    <x v="6"/>
    <x v="0"/>
    <x v="0"/>
    <n v="21.9"/>
    <n v="2"/>
    <x v="14"/>
    <s v="Non Dominant"/>
    <x v="0"/>
    <x v="1"/>
    <x v="0"/>
    <x v="0"/>
    <m/>
    <m/>
    <m/>
    <m/>
    <m/>
    <m/>
    <m/>
    <m/>
    <n v="36.9"/>
    <n v="2.6"/>
    <m/>
    <m/>
    <m/>
    <m/>
    <m/>
    <m/>
    <m/>
    <m/>
    <m/>
    <m/>
    <m/>
    <m/>
  </r>
  <r>
    <x v="4"/>
    <s v="All had 4-5 Years of Experience"/>
    <x v="15"/>
    <n v="2022"/>
    <x v="7"/>
    <x v="0"/>
    <x v="0"/>
    <n v="22.2"/>
    <n v="2.1"/>
    <x v="14"/>
    <s v="Dominant"/>
    <x v="0"/>
    <x v="1"/>
    <x v="0"/>
    <x v="0"/>
    <m/>
    <m/>
    <m/>
    <m/>
    <m/>
    <m/>
    <m/>
    <m/>
    <n v="44.8"/>
    <n v="3"/>
    <m/>
    <m/>
    <m/>
    <m/>
    <m/>
    <m/>
    <m/>
    <m/>
    <m/>
    <m/>
    <m/>
    <m/>
  </r>
  <r>
    <x v="4"/>
    <s v="All had 4-5 Years of Experience"/>
    <x v="15"/>
    <n v="2022"/>
    <x v="7"/>
    <x v="0"/>
    <x v="0"/>
    <n v="22.2"/>
    <n v="2.1"/>
    <x v="14"/>
    <s v="Non Dominant"/>
    <x v="0"/>
    <x v="1"/>
    <x v="0"/>
    <x v="0"/>
    <m/>
    <m/>
    <m/>
    <m/>
    <m/>
    <m/>
    <m/>
    <m/>
    <n v="42.1"/>
    <n v="2.1"/>
    <m/>
    <m/>
    <m/>
    <m/>
    <m/>
    <m/>
    <m/>
    <m/>
    <m/>
    <m/>
    <m/>
    <m/>
  </r>
  <r>
    <x v="4"/>
    <s v="All had 4-5 Years of Experience"/>
    <x v="15"/>
    <n v="2022"/>
    <x v="8"/>
    <x v="0"/>
    <x v="0"/>
    <n v="22.5"/>
    <n v="2.6"/>
    <x v="14"/>
    <s v="Dominant"/>
    <x v="0"/>
    <x v="1"/>
    <x v="0"/>
    <x v="0"/>
    <m/>
    <m/>
    <m/>
    <m/>
    <m/>
    <m/>
    <m/>
    <m/>
    <n v="46.8"/>
    <n v="2"/>
    <m/>
    <m/>
    <m/>
    <m/>
    <m/>
    <m/>
    <m/>
    <m/>
    <m/>
    <m/>
    <m/>
    <m/>
  </r>
  <r>
    <x v="4"/>
    <s v="All had 4-5 Years of Experience"/>
    <x v="15"/>
    <n v="2022"/>
    <x v="8"/>
    <x v="0"/>
    <x v="0"/>
    <n v="22.5"/>
    <n v="2.6"/>
    <x v="14"/>
    <s v="Non Dominant"/>
    <x v="0"/>
    <x v="1"/>
    <x v="0"/>
    <x v="0"/>
    <m/>
    <m/>
    <m/>
    <m/>
    <m/>
    <m/>
    <m/>
    <m/>
    <n v="44.7"/>
    <n v="2.5"/>
    <m/>
    <m/>
    <m/>
    <m/>
    <m/>
    <m/>
    <m/>
    <m/>
    <m/>
    <m/>
    <m/>
    <m/>
  </r>
  <r>
    <x v="4"/>
    <s v="All had 4-5 Years of Experience"/>
    <x v="15"/>
    <n v="2022"/>
    <x v="9"/>
    <x v="0"/>
    <x v="0"/>
    <n v="22.7"/>
    <n v="2.5"/>
    <x v="14"/>
    <s v="Dominant"/>
    <x v="0"/>
    <x v="1"/>
    <x v="0"/>
    <x v="0"/>
    <m/>
    <m/>
    <m/>
    <m/>
    <m/>
    <m/>
    <m/>
    <m/>
    <n v="31.9"/>
    <n v="1.9"/>
    <m/>
    <m/>
    <m/>
    <m/>
    <m/>
    <m/>
    <m/>
    <m/>
    <m/>
    <m/>
    <m/>
    <m/>
  </r>
  <r>
    <x v="4"/>
    <s v="All had 4-5 Years of Experience"/>
    <x v="15"/>
    <n v="2022"/>
    <x v="9"/>
    <x v="0"/>
    <x v="0"/>
    <n v="22.7"/>
    <n v="2.5"/>
    <x v="14"/>
    <s v="Non Dominant"/>
    <x v="0"/>
    <x v="1"/>
    <x v="0"/>
    <x v="0"/>
    <m/>
    <m/>
    <m/>
    <m/>
    <m/>
    <m/>
    <m/>
    <m/>
    <n v="39.4"/>
    <n v="2"/>
    <m/>
    <m/>
    <m/>
    <m/>
    <m/>
    <m/>
    <m/>
    <m/>
    <m/>
    <m/>
    <m/>
    <m/>
  </r>
  <r>
    <x v="3"/>
    <s v="All had 4-5 Years of Experience"/>
    <x v="15"/>
    <n v="2022"/>
    <x v="6"/>
    <x v="0"/>
    <x v="0"/>
    <n v="21.9"/>
    <n v="2"/>
    <x v="14"/>
    <s v="Dominant"/>
    <x v="0"/>
    <x v="1"/>
    <x v="0"/>
    <x v="0"/>
    <m/>
    <m/>
    <m/>
    <m/>
    <m/>
    <m/>
    <m/>
    <m/>
    <m/>
    <m/>
    <n v="40.299999999999997"/>
    <n v="4.5999999999999996"/>
    <m/>
    <m/>
    <m/>
    <m/>
    <m/>
    <m/>
    <m/>
    <m/>
    <m/>
    <m/>
  </r>
  <r>
    <x v="3"/>
    <s v="All had 4-5 Years of Experience"/>
    <x v="15"/>
    <n v="2022"/>
    <x v="6"/>
    <x v="0"/>
    <x v="0"/>
    <n v="21.9"/>
    <n v="2"/>
    <x v="14"/>
    <s v="Non Dominant"/>
    <x v="0"/>
    <x v="0"/>
    <x v="0"/>
    <x v="0"/>
    <m/>
    <m/>
    <m/>
    <m/>
    <m/>
    <m/>
    <m/>
    <m/>
    <m/>
    <m/>
    <n v="34.6"/>
    <n v="3.7"/>
    <m/>
    <m/>
    <m/>
    <m/>
    <m/>
    <m/>
    <m/>
    <m/>
    <m/>
    <m/>
  </r>
  <r>
    <x v="3"/>
    <s v="All had 4-5 Years of Experience"/>
    <x v="15"/>
    <n v="2022"/>
    <x v="7"/>
    <x v="0"/>
    <x v="0"/>
    <n v="22.2"/>
    <n v="2.1"/>
    <x v="14"/>
    <s v="Dominant"/>
    <x v="0"/>
    <x v="0"/>
    <x v="0"/>
    <x v="0"/>
    <m/>
    <m/>
    <m/>
    <m/>
    <m/>
    <m/>
    <m/>
    <m/>
    <m/>
    <m/>
    <n v="42.9"/>
    <n v="3.8"/>
    <m/>
    <m/>
    <m/>
    <m/>
    <m/>
    <m/>
    <m/>
    <m/>
    <m/>
    <m/>
  </r>
  <r>
    <x v="3"/>
    <s v="All had 4-5 Years of Experience"/>
    <x v="15"/>
    <n v="2022"/>
    <x v="7"/>
    <x v="0"/>
    <x v="0"/>
    <n v="22.2"/>
    <n v="2.1"/>
    <x v="14"/>
    <s v="Non Dominant"/>
    <x v="0"/>
    <x v="0"/>
    <x v="0"/>
    <x v="0"/>
    <m/>
    <m/>
    <m/>
    <m/>
    <m/>
    <m/>
    <m/>
    <m/>
    <m/>
    <m/>
    <n v="38.1"/>
    <n v="3.9"/>
    <m/>
    <m/>
    <m/>
    <m/>
    <m/>
    <m/>
    <m/>
    <m/>
    <m/>
    <m/>
  </r>
  <r>
    <x v="3"/>
    <s v="All had 4-5 Years of Experience"/>
    <x v="15"/>
    <n v="2022"/>
    <x v="8"/>
    <x v="0"/>
    <x v="0"/>
    <n v="22.5"/>
    <n v="2.6"/>
    <x v="14"/>
    <s v="Dominant"/>
    <x v="0"/>
    <x v="0"/>
    <x v="0"/>
    <x v="0"/>
    <m/>
    <m/>
    <m/>
    <m/>
    <m/>
    <m/>
    <m/>
    <m/>
    <m/>
    <m/>
    <n v="45.5"/>
    <n v="6.5"/>
    <m/>
    <m/>
    <m/>
    <m/>
    <m/>
    <m/>
    <m/>
    <m/>
    <m/>
    <m/>
  </r>
  <r>
    <x v="3"/>
    <s v="All had 4-5 Years of Experience"/>
    <x v="15"/>
    <n v="2022"/>
    <x v="8"/>
    <x v="0"/>
    <x v="0"/>
    <n v="22.5"/>
    <n v="2.6"/>
    <x v="14"/>
    <s v="Non Dominant"/>
    <x v="0"/>
    <x v="0"/>
    <x v="0"/>
    <x v="0"/>
    <m/>
    <m/>
    <m/>
    <m/>
    <m/>
    <m/>
    <m/>
    <m/>
    <m/>
    <m/>
    <n v="42.2"/>
    <n v="7.6"/>
    <m/>
    <m/>
    <m/>
    <m/>
    <m/>
    <m/>
    <m/>
    <m/>
    <m/>
    <m/>
  </r>
  <r>
    <x v="3"/>
    <s v="All had 4-5 Years of Experience"/>
    <x v="15"/>
    <n v="2022"/>
    <x v="9"/>
    <x v="0"/>
    <x v="0"/>
    <n v="22.7"/>
    <n v="2.5"/>
    <x v="14"/>
    <s v="Dominant"/>
    <x v="0"/>
    <x v="0"/>
    <x v="0"/>
    <x v="0"/>
    <m/>
    <m/>
    <m/>
    <m/>
    <m/>
    <m/>
    <m/>
    <m/>
    <m/>
    <m/>
    <n v="41.8"/>
    <n v="4.0999999999999996"/>
    <m/>
    <m/>
    <m/>
    <m/>
    <m/>
    <m/>
    <m/>
    <m/>
    <m/>
    <m/>
  </r>
  <r>
    <x v="3"/>
    <s v="All had 4-5 Years of Experience"/>
    <x v="15"/>
    <n v="2022"/>
    <x v="9"/>
    <x v="0"/>
    <x v="0"/>
    <n v="22.7"/>
    <n v="2.5"/>
    <x v="14"/>
    <s v="Non Dominant"/>
    <x v="0"/>
    <x v="0"/>
    <x v="0"/>
    <x v="0"/>
    <m/>
    <m/>
    <m/>
    <m/>
    <m/>
    <m/>
    <m/>
    <m/>
    <m/>
    <m/>
    <n v="36.5"/>
    <n v="3.9"/>
    <m/>
    <m/>
    <m/>
    <m/>
    <m/>
    <m/>
    <m/>
    <m/>
    <m/>
    <m/>
  </r>
  <r>
    <x v="5"/>
    <s v="All had 4-5 Years of Experience"/>
    <x v="15"/>
    <n v="2022"/>
    <x v="6"/>
    <x v="0"/>
    <x v="0"/>
    <n v="21.9"/>
    <n v="2"/>
    <x v="14"/>
    <s v="Dominant"/>
    <x v="0"/>
    <x v="0"/>
    <x v="0"/>
    <x v="0"/>
    <m/>
    <m/>
    <m/>
    <m/>
    <m/>
    <m/>
    <m/>
    <m/>
    <m/>
    <m/>
    <n v="33.5"/>
    <n v="3"/>
    <m/>
    <m/>
    <m/>
    <m/>
    <m/>
    <m/>
    <m/>
    <m/>
    <m/>
    <m/>
  </r>
  <r>
    <x v="5"/>
    <s v="All had 4-5 Years of Experience"/>
    <x v="15"/>
    <n v="2022"/>
    <x v="6"/>
    <x v="0"/>
    <x v="0"/>
    <n v="21.9"/>
    <n v="2"/>
    <x v="14"/>
    <s v="Non Dominant"/>
    <x v="0"/>
    <x v="0"/>
    <x v="0"/>
    <x v="0"/>
    <m/>
    <m/>
    <m/>
    <m/>
    <m/>
    <m/>
    <m/>
    <m/>
    <m/>
    <m/>
    <n v="30.8"/>
    <n v="2.8"/>
    <m/>
    <m/>
    <m/>
    <m/>
    <m/>
    <m/>
    <m/>
    <m/>
    <m/>
    <m/>
  </r>
  <r>
    <x v="5"/>
    <s v="All had 4-5 Years of Experience"/>
    <x v="15"/>
    <n v="2022"/>
    <x v="7"/>
    <x v="0"/>
    <x v="0"/>
    <n v="22.2"/>
    <n v="2.1"/>
    <x v="14"/>
    <s v="Dominant"/>
    <x v="0"/>
    <x v="0"/>
    <x v="0"/>
    <x v="0"/>
    <m/>
    <m/>
    <m/>
    <m/>
    <m/>
    <m/>
    <m/>
    <m/>
    <m/>
    <m/>
    <n v="37.4"/>
    <n v="2.5"/>
    <m/>
    <m/>
    <m/>
    <m/>
    <m/>
    <m/>
    <m/>
    <m/>
    <m/>
    <m/>
  </r>
  <r>
    <x v="5"/>
    <s v="All had 4-5 Years of Experience"/>
    <x v="15"/>
    <n v="2022"/>
    <x v="7"/>
    <x v="0"/>
    <x v="0"/>
    <n v="22.2"/>
    <n v="2.1"/>
    <x v="14"/>
    <s v="Non Dominant"/>
    <x v="0"/>
    <x v="0"/>
    <x v="0"/>
    <x v="0"/>
    <m/>
    <m/>
    <m/>
    <m/>
    <m/>
    <m/>
    <m/>
    <m/>
    <m/>
    <m/>
    <n v="34.200000000000003"/>
    <n v="2.6"/>
    <m/>
    <m/>
    <m/>
    <m/>
    <m/>
    <m/>
    <m/>
    <m/>
    <m/>
    <m/>
  </r>
  <r>
    <x v="5"/>
    <s v="All had 4-5 Years of Experience"/>
    <x v="15"/>
    <n v="2022"/>
    <x v="8"/>
    <x v="0"/>
    <x v="0"/>
    <n v="22.5"/>
    <n v="2.6"/>
    <x v="14"/>
    <s v="Dominant"/>
    <x v="0"/>
    <x v="0"/>
    <x v="0"/>
    <x v="0"/>
    <m/>
    <m/>
    <m/>
    <m/>
    <m/>
    <m/>
    <m/>
    <m/>
    <m/>
    <m/>
    <n v="39"/>
    <n v="4.7"/>
    <m/>
    <m/>
    <m/>
    <m/>
    <m/>
    <m/>
    <m/>
    <m/>
    <m/>
    <m/>
  </r>
  <r>
    <x v="5"/>
    <s v="All had 4-5 Years of Experience"/>
    <x v="15"/>
    <n v="2022"/>
    <x v="8"/>
    <x v="0"/>
    <x v="0"/>
    <n v="22.5"/>
    <n v="2.6"/>
    <x v="14"/>
    <s v="Non Dominant"/>
    <x v="0"/>
    <x v="0"/>
    <x v="0"/>
    <x v="0"/>
    <m/>
    <m/>
    <m/>
    <m/>
    <m/>
    <m/>
    <m/>
    <m/>
    <m/>
    <m/>
    <n v="35"/>
    <n v="4"/>
    <m/>
    <m/>
    <m/>
    <m/>
    <m/>
    <m/>
    <m/>
    <m/>
    <m/>
    <m/>
  </r>
  <r>
    <x v="5"/>
    <s v="All had 4-5 Years of Experience"/>
    <x v="15"/>
    <n v="2022"/>
    <x v="9"/>
    <x v="0"/>
    <x v="0"/>
    <n v="22.7"/>
    <n v="2.5"/>
    <x v="14"/>
    <s v="Dominant"/>
    <x v="0"/>
    <x v="0"/>
    <x v="0"/>
    <x v="0"/>
    <m/>
    <m/>
    <m/>
    <m/>
    <m/>
    <m/>
    <m/>
    <m/>
    <m/>
    <m/>
    <n v="34.200000000000003"/>
    <n v="2.4"/>
    <m/>
    <m/>
    <m/>
    <m/>
    <m/>
    <m/>
    <m/>
    <m/>
    <m/>
    <m/>
  </r>
  <r>
    <x v="5"/>
    <s v="All had 4-5 Years of Experience"/>
    <x v="15"/>
    <n v="2022"/>
    <x v="9"/>
    <x v="0"/>
    <x v="0"/>
    <n v="22.7"/>
    <n v="2.5"/>
    <x v="14"/>
    <s v="Non Dominant"/>
    <x v="0"/>
    <x v="0"/>
    <x v="0"/>
    <x v="0"/>
    <m/>
    <m/>
    <m/>
    <m/>
    <m/>
    <m/>
    <m/>
    <m/>
    <m/>
    <m/>
    <n v="32.200000000000003"/>
    <n v="2.2999999999999998"/>
    <m/>
    <m/>
    <m/>
    <m/>
    <m/>
    <m/>
    <m/>
    <m/>
    <m/>
    <m/>
  </r>
  <r>
    <x v="4"/>
    <s v="All had 4-5 Years of Experience"/>
    <x v="15"/>
    <n v="2022"/>
    <x v="6"/>
    <x v="0"/>
    <x v="0"/>
    <n v="21.9"/>
    <n v="2"/>
    <x v="14"/>
    <s v="Dominant"/>
    <x v="0"/>
    <x v="0"/>
    <x v="0"/>
    <x v="0"/>
    <m/>
    <m/>
    <m/>
    <m/>
    <m/>
    <m/>
    <m/>
    <m/>
    <m/>
    <m/>
    <n v="33.4"/>
    <n v="4.3"/>
    <m/>
    <m/>
    <m/>
    <m/>
    <m/>
    <m/>
    <m/>
    <m/>
    <m/>
    <m/>
  </r>
  <r>
    <x v="4"/>
    <s v="All had 4-5 Years of Experience"/>
    <x v="15"/>
    <n v="2022"/>
    <x v="6"/>
    <x v="0"/>
    <x v="0"/>
    <n v="21.9"/>
    <n v="2"/>
    <x v="14"/>
    <s v="Non Dominant"/>
    <x v="0"/>
    <x v="0"/>
    <x v="0"/>
    <x v="0"/>
    <m/>
    <m/>
    <m/>
    <m/>
    <m/>
    <m/>
    <m/>
    <m/>
    <m/>
    <m/>
    <n v="31.8"/>
    <n v="4.0999999999999996"/>
    <m/>
    <m/>
    <m/>
    <m/>
    <m/>
    <m/>
    <m/>
    <m/>
    <m/>
    <m/>
  </r>
  <r>
    <x v="4"/>
    <s v="All had 4-5 Years of Experience"/>
    <x v="15"/>
    <n v="2022"/>
    <x v="7"/>
    <x v="0"/>
    <x v="0"/>
    <n v="22.2"/>
    <n v="2.1"/>
    <x v="14"/>
    <s v="Dominant"/>
    <x v="0"/>
    <x v="0"/>
    <x v="0"/>
    <x v="0"/>
    <m/>
    <m/>
    <m/>
    <m/>
    <m/>
    <m/>
    <m/>
    <m/>
    <m/>
    <m/>
    <n v="35.6"/>
    <n v="3.4"/>
    <m/>
    <m/>
    <m/>
    <m/>
    <m/>
    <m/>
    <m/>
    <m/>
    <m/>
    <m/>
  </r>
  <r>
    <x v="4"/>
    <s v="All had 4-5 Years of Experience"/>
    <x v="15"/>
    <n v="2022"/>
    <x v="7"/>
    <x v="0"/>
    <x v="0"/>
    <n v="22.2"/>
    <n v="2.1"/>
    <x v="14"/>
    <s v="Non Dominant"/>
    <x v="0"/>
    <x v="0"/>
    <x v="0"/>
    <x v="0"/>
    <m/>
    <m/>
    <m/>
    <m/>
    <m/>
    <m/>
    <m/>
    <m/>
    <m/>
    <m/>
    <n v="33.4"/>
    <n v="2.6"/>
    <m/>
    <m/>
    <m/>
    <m/>
    <m/>
    <m/>
    <m/>
    <m/>
    <m/>
    <m/>
  </r>
  <r>
    <x v="4"/>
    <s v="All had 4-5 Years of Experience"/>
    <x v="15"/>
    <n v="2022"/>
    <x v="8"/>
    <x v="0"/>
    <x v="0"/>
    <n v="22.5"/>
    <n v="2.6"/>
    <x v="14"/>
    <s v="Dominant"/>
    <x v="0"/>
    <x v="0"/>
    <x v="0"/>
    <x v="0"/>
    <m/>
    <m/>
    <m/>
    <m/>
    <m/>
    <m/>
    <m/>
    <m/>
    <m/>
    <m/>
    <n v="38"/>
    <n v="3.2"/>
    <m/>
    <m/>
    <m/>
    <m/>
    <m/>
    <m/>
    <m/>
    <m/>
    <m/>
    <m/>
  </r>
  <r>
    <x v="4"/>
    <s v="All had 4-5 Years of Experience"/>
    <x v="15"/>
    <n v="2022"/>
    <x v="8"/>
    <x v="0"/>
    <x v="0"/>
    <n v="22.5"/>
    <n v="2.6"/>
    <x v="14"/>
    <s v="Non Dominant"/>
    <x v="0"/>
    <x v="0"/>
    <x v="0"/>
    <x v="0"/>
    <m/>
    <m/>
    <m/>
    <m/>
    <m/>
    <m/>
    <m/>
    <m/>
    <m/>
    <m/>
    <n v="35.6"/>
    <n v="2.2000000000000002"/>
    <m/>
    <m/>
    <m/>
    <m/>
    <m/>
    <m/>
    <m/>
    <m/>
    <m/>
    <m/>
  </r>
  <r>
    <x v="4"/>
    <s v="All had 4-5 Years of Experience"/>
    <x v="15"/>
    <n v="2022"/>
    <x v="9"/>
    <x v="0"/>
    <x v="0"/>
    <n v="22.7"/>
    <n v="2.5"/>
    <x v="14"/>
    <s v="Dominant"/>
    <x v="0"/>
    <x v="0"/>
    <x v="0"/>
    <x v="0"/>
    <m/>
    <m/>
    <m/>
    <m/>
    <m/>
    <m/>
    <m/>
    <m/>
    <m/>
    <m/>
    <n v="36.4"/>
    <n v="2.9"/>
    <m/>
    <m/>
    <m/>
    <m/>
    <m/>
    <m/>
    <m/>
    <m/>
    <m/>
    <m/>
  </r>
  <r>
    <x v="4"/>
    <s v="All had 4-5 Years of Experience"/>
    <x v="15"/>
    <n v="2022"/>
    <x v="9"/>
    <x v="0"/>
    <x v="0"/>
    <n v="22.7"/>
    <n v="2.5"/>
    <x v="14"/>
    <s v="Non Dominant"/>
    <x v="0"/>
    <x v="0"/>
    <x v="0"/>
    <x v="0"/>
    <m/>
    <m/>
    <m/>
    <m/>
    <m/>
    <m/>
    <m/>
    <m/>
    <m/>
    <m/>
    <n v="34.5"/>
    <n v="2.9"/>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x v="0"/>
    <m/>
    <x v="0"/>
    <n v="2008"/>
    <x v="0"/>
    <x v="0"/>
    <x v="0"/>
    <n v="19.5"/>
    <n v="0.5"/>
    <x v="0"/>
    <x v="0"/>
    <x v="0"/>
    <x v="0"/>
    <x v="0"/>
    <s v="Nm"/>
    <m/>
    <n v="247.3"/>
    <n v="0.4"/>
    <n v="127.4"/>
    <n v="0.6"/>
    <m/>
    <m/>
    <m/>
    <m/>
    <m/>
    <m/>
    <m/>
    <m/>
    <m/>
    <m/>
    <m/>
    <m/>
    <n v="0.46"/>
    <n v="0.41"/>
  </r>
  <r>
    <x v="0"/>
    <m/>
    <x v="0"/>
    <n v="2008"/>
    <x v="1"/>
    <x v="0"/>
    <x v="0"/>
    <n v="19.5"/>
    <n v="0.5"/>
    <x v="0"/>
    <x v="0"/>
    <x v="0"/>
    <x v="0"/>
    <x v="0"/>
    <s v="Nm"/>
    <m/>
    <n v="246.5"/>
    <n v="0.5"/>
    <n v="124.6"/>
    <n v="1.5"/>
    <m/>
    <m/>
    <m/>
    <m/>
    <m/>
    <m/>
    <m/>
    <m/>
    <m/>
    <m/>
    <m/>
    <m/>
    <n v="0.49"/>
    <n v="0.14000000000000001"/>
  </r>
  <r>
    <x v="0"/>
    <s v="Controls were non-athletic male students with no sports participation."/>
    <x v="0"/>
    <n v="2008"/>
    <x v="2"/>
    <x v="1"/>
    <x v="0"/>
    <n v="19.5"/>
    <n v="0.5"/>
    <x v="0"/>
    <x v="0"/>
    <x v="0"/>
    <x v="0"/>
    <x v="0"/>
    <s v="Nm"/>
    <m/>
    <n v="174.3"/>
    <n v="0.9"/>
    <n v="79.900000000000006"/>
    <n v="0.6"/>
    <m/>
    <m/>
    <m/>
    <m/>
    <m/>
    <m/>
    <m/>
    <m/>
    <m/>
    <m/>
    <m/>
    <m/>
    <n v="0.45"/>
    <n v="0.11"/>
  </r>
  <r>
    <x v="1"/>
    <m/>
    <x v="0"/>
    <n v="2008"/>
    <x v="0"/>
    <x v="0"/>
    <x v="0"/>
    <n v="19.5"/>
    <n v="0.5"/>
    <x v="0"/>
    <x v="0"/>
    <x v="0"/>
    <x v="0"/>
    <x v="0"/>
    <s v="Nm"/>
    <m/>
    <n v="139.9"/>
    <n v="0.7"/>
    <n v="82.8"/>
    <n v="1.2"/>
    <m/>
    <m/>
    <m/>
    <m/>
    <m/>
    <m/>
    <m/>
    <m/>
    <m/>
    <m/>
    <m/>
    <m/>
    <n v="0.56000000000000005"/>
    <n v="0.31"/>
  </r>
  <r>
    <x v="1"/>
    <m/>
    <x v="0"/>
    <n v="2008"/>
    <x v="1"/>
    <x v="0"/>
    <x v="0"/>
    <n v="19.5"/>
    <n v="0.5"/>
    <x v="0"/>
    <x v="0"/>
    <x v="0"/>
    <x v="0"/>
    <x v="0"/>
    <s v="Nm"/>
    <m/>
    <n v="117.2"/>
    <n v="1.9"/>
    <n v="71"/>
    <n v="0.4"/>
    <m/>
    <m/>
    <m/>
    <m/>
    <m/>
    <m/>
    <m/>
    <m/>
    <m/>
    <m/>
    <m/>
    <m/>
    <n v="0.71"/>
    <n v="0.1"/>
  </r>
  <r>
    <x v="1"/>
    <m/>
    <x v="0"/>
    <n v="2008"/>
    <x v="2"/>
    <x v="1"/>
    <x v="0"/>
    <n v="19.5"/>
    <n v="0.5"/>
    <x v="0"/>
    <x v="0"/>
    <x v="0"/>
    <x v="0"/>
    <x v="0"/>
    <s v="Nm"/>
    <m/>
    <n v="93.1"/>
    <n v="0.2"/>
    <n v="70"/>
    <n v="0.2"/>
    <m/>
    <m/>
    <m/>
    <m/>
    <m/>
    <m/>
    <m/>
    <m/>
    <m/>
    <m/>
    <m/>
    <m/>
    <n v="0.69"/>
    <n v="0.18"/>
  </r>
  <r>
    <x v="2"/>
    <m/>
    <x v="0"/>
    <n v="2008"/>
    <x v="0"/>
    <x v="0"/>
    <x v="0"/>
    <n v="19.5"/>
    <n v="0.5"/>
    <x v="0"/>
    <x v="0"/>
    <x v="0"/>
    <x v="0"/>
    <x v="0"/>
    <s v="Nm"/>
    <m/>
    <n v="172.5"/>
    <n v="0.7"/>
    <n v="88.1"/>
    <n v="0.8"/>
    <m/>
    <m/>
    <m/>
    <m/>
    <m/>
    <m/>
    <m/>
    <m/>
    <m/>
    <m/>
    <m/>
    <m/>
    <n v="0.51"/>
    <n v="0.16"/>
  </r>
  <r>
    <x v="2"/>
    <m/>
    <x v="0"/>
    <n v="2008"/>
    <x v="1"/>
    <x v="0"/>
    <x v="0"/>
    <n v="19.5"/>
    <n v="0.5"/>
    <x v="0"/>
    <x v="0"/>
    <x v="0"/>
    <x v="0"/>
    <x v="0"/>
    <s v="Nm"/>
    <m/>
    <n v="159.6"/>
    <n v="1.2"/>
    <n v="93.8"/>
    <n v="0.7"/>
    <m/>
    <m/>
    <m/>
    <m/>
    <m/>
    <m/>
    <m/>
    <m/>
    <m/>
    <m/>
    <m/>
    <m/>
    <n v="0.57999999999999996"/>
    <n v="0.12"/>
  </r>
  <r>
    <x v="2"/>
    <s v="Controls were non-athletic male students with no sports participation."/>
    <x v="0"/>
    <n v="2008"/>
    <x v="2"/>
    <x v="1"/>
    <x v="0"/>
    <n v="19.5"/>
    <n v="0.5"/>
    <x v="0"/>
    <x v="0"/>
    <x v="0"/>
    <x v="0"/>
    <x v="0"/>
    <s v="Nm"/>
    <m/>
    <n v="115.1"/>
    <n v="0.9"/>
    <n v="71"/>
    <n v="0.4"/>
    <m/>
    <m/>
    <m/>
    <m/>
    <m/>
    <m/>
    <m/>
    <m/>
    <m/>
    <m/>
    <m/>
    <m/>
    <n v="0.59"/>
    <n v="0.14000000000000001"/>
  </r>
  <r>
    <x v="0"/>
    <s v="ACL* 18 F, 20 M,  Most Soccer"/>
    <x v="1"/>
    <n v="2018"/>
    <x v="3"/>
    <x v="1"/>
    <x v="0"/>
    <n v="25.1"/>
    <n v="7.7"/>
    <x v="1"/>
    <x v="1"/>
    <x v="1"/>
    <x v="0"/>
    <x v="0"/>
    <m/>
    <s v="Nm/kg"/>
    <m/>
    <m/>
    <m/>
    <m/>
    <n v="2.48"/>
    <n v="0.65"/>
    <n v="1.57"/>
    <n v="0.41"/>
    <m/>
    <m/>
    <m/>
    <m/>
    <m/>
    <m/>
    <m/>
    <m/>
    <n v="0.65"/>
    <n v="0.16"/>
  </r>
  <r>
    <x v="0"/>
    <s v="ACL* 18 F, 20 M,  Most Soccer"/>
    <x v="1"/>
    <n v="2018"/>
    <x v="3"/>
    <x v="1"/>
    <x v="0"/>
    <n v="25.1"/>
    <n v="7.7"/>
    <x v="1"/>
    <x v="2"/>
    <x v="1"/>
    <x v="0"/>
    <x v="0"/>
    <m/>
    <s v="Nm/kg"/>
    <m/>
    <m/>
    <m/>
    <m/>
    <n v="2.87"/>
    <n v="0.57999999999999996"/>
    <n v="1.62"/>
    <n v="0.37"/>
    <m/>
    <m/>
    <m/>
    <m/>
    <m/>
    <m/>
    <m/>
    <m/>
    <n v="0.56999999999999995"/>
    <n v="0.09"/>
  </r>
  <r>
    <x v="2"/>
    <s v="ACL* 18 F, 20 M,  Most Soccer"/>
    <x v="1"/>
    <n v="2018"/>
    <x v="3"/>
    <x v="1"/>
    <x v="0"/>
    <n v="25.1"/>
    <n v="7.7"/>
    <x v="1"/>
    <x v="1"/>
    <x v="1"/>
    <x v="0"/>
    <x v="0"/>
    <m/>
    <s v="Nm/kg"/>
    <m/>
    <m/>
    <m/>
    <m/>
    <n v="1.66"/>
    <n v="0.4"/>
    <n v="1.17"/>
    <n v="0.33"/>
    <m/>
    <m/>
    <m/>
    <m/>
    <m/>
    <m/>
    <m/>
    <m/>
    <n v="0.73"/>
    <n v="0.22"/>
  </r>
  <r>
    <x v="2"/>
    <s v="ACL* 18 F, 20 M,  Most Soccer"/>
    <x v="1"/>
    <n v="2018"/>
    <x v="3"/>
    <x v="1"/>
    <x v="0"/>
    <n v="25.1"/>
    <n v="7.7"/>
    <x v="1"/>
    <x v="2"/>
    <x v="1"/>
    <x v="0"/>
    <x v="0"/>
    <m/>
    <s v="Nm/kg"/>
    <m/>
    <m/>
    <m/>
    <m/>
    <n v="1.88"/>
    <n v="0.38"/>
    <n v="1.23"/>
    <n v="0.3"/>
    <m/>
    <m/>
    <m/>
    <m/>
    <m/>
    <m/>
    <m/>
    <m/>
    <n v="0.66"/>
    <n v="0.13"/>
  </r>
  <r>
    <x v="0"/>
    <m/>
    <x v="2"/>
    <n v="2017"/>
    <x v="4"/>
    <x v="2"/>
    <x v="1"/>
    <n v="16.34"/>
    <n v="0.7"/>
    <x v="2"/>
    <x v="0"/>
    <x v="0"/>
    <x v="0"/>
    <x v="0"/>
    <s v="Nm"/>
    <m/>
    <n v="227.36"/>
    <n v="35.36"/>
    <n v="119.39"/>
    <n v="33"/>
    <m/>
    <m/>
    <m/>
    <m/>
    <m/>
    <m/>
    <m/>
    <m/>
    <m/>
    <m/>
    <m/>
    <m/>
    <n v="0.53300000000000003"/>
    <n v="0.13200000000000001"/>
  </r>
  <r>
    <x v="0"/>
    <m/>
    <x v="2"/>
    <n v="2017"/>
    <x v="4"/>
    <x v="2"/>
    <x v="2"/>
    <n v="16.34"/>
    <n v="0.7"/>
    <x v="3"/>
    <x v="0"/>
    <x v="0"/>
    <x v="0"/>
    <x v="0"/>
    <s v="Nm"/>
    <m/>
    <n v="212.59"/>
    <n v="32.700000000000003"/>
    <n v="121.39"/>
    <n v="34.85"/>
    <m/>
    <m/>
    <m/>
    <m/>
    <m/>
    <m/>
    <m/>
    <m/>
    <m/>
    <m/>
    <m/>
    <m/>
    <n v="0.57199999999999995"/>
    <n v="0.13300000000000001"/>
  </r>
  <r>
    <x v="0"/>
    <m/>
    <x v="2"/>
    <n v="2017"/>
    <x v="4"/>
    <x v="2"/>
    <x v="3"/>
    <n v="16.34"/>
    <n v="0.7"/>
    <x v="2"/>
    <x v="0"/>
    <x v="0"/>
    <x v="0"/>
    <x v="0"/>
    <s v="Nm"/>
    <m/>
    <n v="210.69"/>
    <n v="28.39"/>
    <n v="125.08"/>
    <n v="30.76"/>
    <m/>
    <m/>
    <m/>
    <m/>
    <m/>
    <m/>
    <m/>
    <m/>
    <m/>
    <m/>
    <m/>
    <m/>
    <n v="0.59399999999999997"/>
    <n v="0.307"/>
  </r>
  <r>
    <x v="0"/>
    <m/>
    <x v="2"/>
    <n v="2017"/>
    <x v="4"/>
    <x v="2"/>
    <x v="0"/>
    <n v="16.34"/>
    <n v="0.7"/>
    <x v="2"/>
    <x v="3"/>
    <x v="0"/>
    <x v="0"/>
    <x v="0"/>
    <s v="Nm"/>
    <m/>
    <n v="214.03"/>
    <n v="36.049999999999997"/>
    <n v="128.52000000000001"/>
    <n v="142.93"/>
    <m/>
    <m/>
    <m/>
    <m/>
    <m/>
    <m/>
    <m/>
    <m/>
    <m/>
    <m/>
    <m/>
    <m/>
    <m/>
    <m/>
  </r>
  <r>
    <x v="0"/>
    <m/>
    <x v="2"/>
    <n v="2017"/>
    <x v="4"/>
    <x v="2"/>
    <x v="0"/>
    <n v="16.34"/>
    <n v="0.7"/>
    <x v="2"/>
    <x v="4"/>
    <x v="0"/>
    <x v="0"/>
    <x v="0"/>
    <s v="Nm"/>
    <m/>
    <n v="218.38"/>
    <n v="35.299999999999997"/>
    <n v="115.21"/>
    <n v="29.64"/>
    <m/>
    <m/>
    <m/>
    <m/>
    <m/>
    <m/>
    <m/>
    <m/>
    <m/>
    <m/>
    <m/>
    <m/>
    <m/>
    <m/>
  </r>
  <r>
    <x v="3"/>
    <m/>
    <x v="2"/>
    <n v="2017"/>
    <x v="4"/>
    <x v="2"/>
    <x v="0"/>
    <n v="16.34"/>
    <n v="0.7"/>
    <x v="2"/>
    <x v="3"/>
    <x v="0"/>
    <x v="0"/>
    <x v="0"/>
    <s v="Nm"/>
    <m/>
    <n v="114.28"/>
    <n v="27.07"/>
    <n v="68.92"/>
    <n v="15.17"/>
    <m/>
    <m/>
    <m/>
    <m/>
    <m/>
    <m/>
    <m/>
    <m/>
    <m/>
    <m/>
    <m/>
    <m/>
    <m/>
    <m/>
  </r>
  <r>
    <x v="3"/>
    <m/>
    <x v="2"/>
    <n v="2017"/>
    <x v="4"/>
    <x v="2"/>
    <x v="0"/>
    <n v="16.34"/>
    <n v="0.7"/>
    <x v="2"/>
    <x v="4"/>
    <x v="0"/>
    <x v="0"/>
    <x v="0"/>
    <s v="Nm"/>
    <m/>
    <n v="118.59"/>
    <n v="19.329999999999998"/>
    <n v="72.39"/>
    <n v="16.14"/>
    <m/>
    <m/>
    <m/>
    <m/>
    <m/>
    <m/>
    <m/>
    <m/>
    <m/>
    <m/>
    <m/>
    <m/>
    <m/>
    <m/>
  </r>
  <r>
    <x v="2"/>
    <m/>
    <x v="2"/>
    <n v="2017"/>
    <x v="4"/>
    <x v="2"/>
    <x v="0"/>
    <n v="16.34"/>
    <n v="0.7"/>
    <x v="3"/>
    <x v="3"/>
    <x v="0"/>
    <x v="0"/>
    <x v="0"/>
    <s v="Nm"/>
    <m/>
    <n v="175.83"/>
    <n v="23.29"/>
    <n v="83.1"/>
    <n v="16.79"/>
    <m/>
    <m/>
    <m/>
    <m/>
    <m/>
    <m/>
    <m/>
    <m/>
    <m/>
    <m/>
    <m/>
    <m/>
    <m/>
    <m/>
  </r>
  <r>
    <x v="2"/>
    <m/>
    <x v="2"/>
    <n v="2017"/>
    <x v="4"/>
    <x v="2"/>
    <x v="0"/>
    <n v="16.34"/>
    <n v="0.7"/>
    <x v="3"/>
    <x v="4"/>
    <x v="0"/>
    <x v="0"/>
    <x v="0"/>
    <s v="Nm"/>
    <m/>
    <s v="148,79"/>
    <n v="21.66"/>
    <n v="86.44"/>
    <n v="15.9"/>
    <m/>
    <m/>
    <m/>
    <m/>
    <m/>
    <m/>
    <m/>
    <m/>
    <m/>
    <m/>
    <m/>
    <m/>
    <m/>
    <m/>
  </r>
  <r>
    <x v="0"/>
    <s v="No averages ages for position"/>
    <x v="3"/>
    <n v="2009"/>
    <x v="1"/>
    <x v="0"/>
    <x v="4"/>
    <n v="24"/>
    <n v="3.8"/>
    <x v="4"/>
    <x v="0"/>
    <x v="0"/>
    <x v="0"/>
    <x v="1"/>
    <s v="Nm"/>
    <s v="Nm/kg"/>
    <n v="268.7"/>
    <n v="48.8"/>
    <n v="157.1"/>
    <n v="29.4"/>
    <n v="3.07"/>
    <n v="0.54"/>
    <n v="1.79"/>
    <n v="0.3"/>
    <n v="151.9"/>
    <n v="31.4"/>
    <n v="89.2"/>
    <n v="19.5"/>
    <n v="189.4"/>
    <n v="40.9"/>
    <n v="118.1"/>
    <n v="26.2"/>
    <m/>
    <m/>
  </r>
  <r>
    <x v="0"/>
    <s v="No averages ages for position"/>
    <x v="3"/>
    <n v="2009"/>
    <x v="1"/>
    <x v="0"/>
    <x v="5"/>
    <n v="24"/>
    <n v="3.8"/>
    <x v="3"/>
    <x v="0"/>
    <x v="0"/>
    <x v="0"/>
    <x v="1"/>
    <s v="Nm"/>
    <s v="Nm/kg"/>
    <n v="304.2"/>
    <n v="22.4"/>
    <n v="176.5"/>
    <n v="22"/>
    <n v="2.98"/>
    <n v="0.22"/>
    <n v="1.73"/>
    <n v="0.2"/>
    <n v="140.1"/>
    <n v="41.7"/>
    <n v="94.9"/>
    <n v="20.100000000000001"/>
    <n v="185.8"/>
    <n v="35.700000000000003"/>
    <n v="125.2"/>
    <n v="23"/>
    <m/>
    <m/>
  </r>
  <r>
    <x v="0"/>
    <s v="No averages ages for position"/>
    <x v="3"/>
    <n v="2009"/>
    <x v="1"/>
    <x v="0"/>
    <x v="6"/>
    <n v="24"/>
    <n v="3.8"/>
    <x v="3"/>
    <x v="0"/>
    <x v="0"/>
    <x v="0"/>
    <x v="1"/>
    <s v="Nm"/>
    <s v="Nm/kg"/>
    <n v="321.7"/>
    <n v="38.5"/>
    <n v="183.4"/>
    <n v="24"/>
    <n v="3.12"/>
    <n v="0.3"/>
    <n v="1.77"/>
    <n v="0.2"/>
    <m/>
    <m/>
    <m/>
    <m/>
    <m/>
    <m/>
    <m/>
    <m/>
    <m/>
    <m/>
  </r>
  <r>
    <x v="0"/>
    <m/>
    <x v="3"/>
    <n v="2009"/>
    <x v="1"/>
    <x v="0"/>
    <x v="0"/>
    <n v="24"/>
    <n v="3.8"/>
    <x v="5"/>
    <x v="0"/>
    <x v="0"/>
    <x v="0"/>
    <x v="1"/>
    <s v="Nm"/>
    <s v="Nm/kg"/>
    <n v="297.5"/>
    <n v="43.5"/>
    <n v="172"/>
    <n v="27.3"/>
    <n v="3.06"/>
    <n v="0.37"/>
    <n v="1.77"/>
    <n v="0.24"/>
    <m/>
    <m/>
    <m/>
    <m/>
    <m/>
    <m/>
    <m/>
    <m/>
    <m/>
    <m/>
  </r>
  <r>
    <x v="2"/>
    <m/>
    <x v="3"/>
    <n v="2009"/>
    <x v="1"/>
    <x v="0"/>
    <x v="4"/>
    <m/>
    <m/>
    <x v="4"/>
    <x v="0"/>
    <x v="0"/>
    <x v="0"/>
    <x v="1"/>
    <s v="Nm"/>
    <s v="Nm/kg"/>
    <n v="187.2"/>
    <n v="27.8"/>
    <n v="122.4"/>
    <n v="21.4"/>
    <n v="2.15"/>
    <n v="0.32"/>
    <n v="1.4"/>
    <n v="0.22"/>
    <m/>
    <m/>
    <m/>
    <m/>
    <m/>
    <m/>
    <m/>
    <m/>
    <m/>
    <m/>
  </r>
  <r>
    <x v="2"/>
    <m/>
    <x v="3"/>
    <n v="2009"/>
    <x v="1"/>
    <x v="0"/>
    <x v="5"/>
    <m/>
    <m/>
    <x v="3"/>
    <x v="0"/>
    <x v="0"/>
    <x v="0"/>
    <x v="1"/>
    <s v="Nm"/>
    <s v="Nm/kg"/>
    <n v="215.6"/>
    <n v="24.6"/>
    <n v="134.30000000000001"/>
    <n v="19.7"/>
    <n v="2.13"/>
    <n v="0.15"/>
    <n v="1.33"/>
    <n v="0.17"/>
    <m/>
    <m/>
    <m/>
    <m/>
    <m/>
    <m/>
    <m/>
    <m/>
    <m/>
    <m/>
  </r>
  <r>
    <x v="2"/>
    <m/>
    <x v="3"/>
    <n v="2009"/>
    <x v="1"/>
    <x v="0"/>
    <x v="6"/>
    <m/>
    <m/>
    <x v="3"/>
    <x v="0"/>
    <x v="0"/>
    <x v="0"/>
    <x v="1"/>
    <s v="Nm"/>
    <s v="Nm/kg"/>
    <n v="219.9"/>
    <n v="17.600000000000001"/>
    <n v="144.19999999999999"/>
    <n v="25.3"/>
    <n v="2.09"/>
    <n v="0.16"/>
    <n v="1.39"/>
    <n v="0.2"/>
    <m/>
    <m/>
    <m/>
    <m/>
    <m/>
    <m/>
    <m/>
    <m/>
    <m/>
    <m/>
  </r>
  <r>
    <x v="2"/>
    <m/>
    <x v="3"/>
    <n v="2009"/>
    <x v="1"/>
    <x v="0"/>
    <x v="0"/>
    <m/>
    <m/>
    <x v="5"/>
    <x v="0"/>
    <x v="0"/>
    <x v="0"/>
    <x v="1"/>
    <s v="Nm"/>
    <s v="Nm/kg"/>
    <n v="206.3"/>
    <n v="27.2"/>
    <n v="133.4"/>
    <n v="23.5"/>
    <n v="2.12"/>
    <n v="0.23"/>
    <n v="1.37"/>
    <n v="0.2"/>
    <m/>
    <m/>
    <m/>
    <m/>
    <m/>
    <m/>
    <m/>
    <m/>
    <m/>
    <m/>
  </r>
  <r>
    <x v="0"/>
    <s v="Experimental, Control, ACL Reconstruction"/>
    <x v="4"/>
    <n v="2015"/>
    <x v="3"/>
    <x v="1"/>
    <x v="0"/>
    <s v="N/A"/>
    <s v="N/A"/>
    <x v="0"/>
    <x v="5"/>
    <x v="0"/>
    <x v="0"/>
    <x v="0"/>
    <s v="Nm"/>
    <m/>
    <n v="150.13999999999999"/>
    <m/>
    <n v="90.72"/>
    <m/>
    <m/>
    <m/>
    <m/>
    <m/>
    <m/>
    <m/>
    <m/>
    <m/>
    <m/>
    <m/>
    <m/>
    <m/>
    <m/>
    <m/>
  </r>
  <r>
    <x v="0"/>
    <s v="Experimental, Control, ACL Reconstruction"/>
    <x v="4"/>
    <n v="2015"/>
    <x v="3"/>
    <x v="1"/>
    <x v="0"/>
    <s v="N/A"/>
    <s v="N/A"/>
    <x v="0"/>
    <x v="6"/>
    <x v="0"/>
    <x v="0"/>
    <x v="0"/>
    <s v="Nm"/>
    <m/>
    <n v="138.61000000000001"/>
    <m/>
    <n v="73.05"/>
    <m/>
    <m/>
    <m/>
    <m/>
    <m/>
    <m/>
    <m/>
    <m/>
    <m/>
    <m/>
    <m/>
    <m/>
    <m/>
    <m/>
    <m/>
  </r>
  <r>
    <x v="0"/>
    <s v="All had 4-5 Years of Experience"/>
    <x v="5"/>
    <n v="2022"/>
    <x v="5"/>
    <x v="1"/>
    <x v="0"/>
    <n v="21.9"/>
    <n v="2"/>
    <x v="6"/>
    <x v="3"/>
    <x v="0"/>
    <x v="1"/>
    <x v="0"/>
    <s v="Nm"/>
    <m/>
    <n v="153.80000000000001"/>
    <n v="13.8"/>
    <m/>
    <m/>
    <m/>
    <m/>
    <m/>
    <m/>
    <m/>
    <m/>
    <m/>
    <m/>
    <m/>
    <m/>
    <m/>
    <m/>
    <m/>
    <m/>
  </r>
  <r>
    <x v="0"/>
    <s v="All had 4-5 Years of Experience"/>
    <x v="5"/>
    <n v="2022"/>
    <x v="5"/>
    <x v="1"/>
    <x v="0"/>
    <n v="21.9"/>
    <n v="2"/>
    <x v="6"/>
    <x v="4"/>
    <x v="0"/>
    <x v="1"/>
    <x v="0"/>
    <s v="Nm"/>
    <m/>
    <n v="143.1"/>
    <n v="5"/>
    <m/>
    <m/>
    <m/>
    <m/>
    <m/>
    <m/>
    <m/>
    <m/>
    <m/>
    <m/>
    <m/>
    <m/>
    <m/>
    <m/>
    <m/>
    <m/>
  </r>
  <r>
    <x v="0"/>
    <s v="All had 4-5 Years of Experience"/>
    <x v="5"/>
    <n v="2022"/>
    <x v="6"/>
    <x v="1"/>
    <x v="0"/>
    <n v="22.2"/>
    <n v="2.1"/>
    <x v="6"/>
    <x v="3"/>
    <x v="0"/>
    <x v="1"/>
    <x v="0"/>
    <s v="Nm"/>
    <m/>
    <n v="159"/>
    <n v="14"/>
    <m/>
    <m/>
    <m/>
    <m/>
    <m/>
    <m/>
    <m/>
    <m/>
    <m/>
    <m/>
    <m/>
    <m/>
    <m/>
    <m/>
    <m/>
    <m/>
  </r>
  <r>
    <x v="0"/>
    <s v="All had 4-5 Years of Experience"/>
    <x v="5"/>
    <n v="2022"/>
    <x v="6"/>
    <x v="1"/>
    <x v="0"/>
    <n v="22.2"/>
    <n v="2.1"/>
    <x v="6"/>
    <x v="4"/>
    <x v="0"/>
    <x v="1"/>
    <x v="0"/>
    <s v="Nm"/>
    <m/>
    <n v="145.5"/>
    <n v="7.4"/>
    <m/>
    <m/>
    <m/>
    <m/>
    <m/>
    <m/>
    <m/>
    <m/>
    <m/>
    <m/>
    <m/>
    <m/>
    <m/>
    <m/>
    <m/>
    <m/>
  </r>
  <r>
    <x v="0"/>
    <s v="All had 4-5 Years of Experience"/>
    <x v="5"/>
    <n v="2022"/>
    <x v="7"/>
    <x v="1"/>
    <x v="0"/>
    <n v="22.5"/>
    <n v="2.6"/>
    <x v="6"/>
    <x v="3"/>
    <x v="0"/>
    <x v="1"/>
    <x v="0"/>
    <s v="Nm"/>
    <m/>
    <n v="165.9"/>
    <n v="22.2"/>
    <m/>
    <m/>
    <m/>
    <m/>
    <m/>
    <m/>
    <m/>
    <m/>
    <m/>
    <m/>
    <m/>
    <m/>
    <m/>
    <m/>
    <m/>
    <m/>
  </r>
  <r>
    <x v="0"/>
    <s v="All had 4-5 Years of Experience"/>
    <x v="5"/>
    <n v="2022"/>
    <x v="7"/>
    <x v="1"/>
    <x v="0"/>
    <n v="22.5"/>
    <n v="2.6"/>
    <x v="6"/>
    <x v="4"/>
    <x v="0"/>
    <x v="1"/>
    <x v="0"/>
    <s v="Nm"/>
    <m/>
    <n v="161"/>
    <n v="13.4"/>
    <m/>
    <m/>
    <m/>
    <m/>
    <m/>
    <m/>
    <m/>
    <m/>
    <m/>
    <m/>
    <m/>
    <m/>
    <m/>
    <m/>
    <m/>
    <m/>
  </r>
  <r>
    <x v="0"/>
    <s v="All had 4-5 Years of Experience"/>
    <x v="5"/>
    <n v="2022"/>
    <x v="8"/>
    <x v="1"/>
    <x v="0"/>
    <n v="22.7"/>
    <n v="2.5"/>
    <x v="6"/>
    <x v="3"/>
    <x v="0"/>
    <x v="1"/>
    <x v="0"/>
    <s v="Nm"/>
    <m/>
    <n v="162"/>
    <n v="12.5"/>
    <m/>
    <m/>
    <m/>
    <m/>
    <m/>
    <m/>
    <m/>
    <m/>
    <m/>
    <m/>
    <m/>
    <m/>
    <m/>
    <m/>
    <m/>
    <m/>
  </r>
  <r>
    <x v="0"/>
    <s v="All had 4-5 Years of Experience"/>
    <x v="5"/>
    <n v="2022"/>
    <x v="8"/>
    <x v="1"/>
    <x v="0"/>
    <n v="22.7"/>
    <n v="2.5"/>
    <x v="6"/>
    <x v="4"/>
    <x v="0"/>
    <x v="1"/>
    <x v="0"/>
    <s v="Nm"/>
    <m/>
    <n v="148"/>
    <n v="5"/>
    <m/>
    <m/>
    <m/>
    <m/>
    <m/>
    <m/>
    <m/>
    <m/>
    <m/>
    <m/>
    <m/>
    <m/>
    <m/>
    <m/>
    <m/>
    <m/>
  </r>
  <r>
    <x v="4"/>
    <s v="All had 4-5 Years of Experience"/>
    <x v="5"/>
    <n v="2022"/>
    <x v="5"/>
    <x v="1"/>
    <x v="0"/>
    <n v="21.9"/>
    <n v="2"/>
    <x v="6"/>
    <x v="3"/>
    <x v="0"/>
    <x v="1"/>
    <x v="0"/>
    <s v="Nm"/>
    <m/>
    <n v="124.3"/>
    <n v="12.9"/>
    <m/>
    <m/>
    <m/>
    <m/>
    <m/>
    <m/>
    <m/>
    <m/>
    <m/>
    <m/>
    <m/>
    <m/>
    <m/>
    <m/>
    <m/>
    <m/>
  </r>
  <r>
    <x v="4"/>
    <s v="All had 4-5 Years of Experience"/>
    <x v="5"/>
    <n v="2022"/>
    <x v="5"/>
    <x v="1"/>
    <x v="0"/>
    <n v="21.9"/>
    <n v="2"/>
    <x v="6"/>
    <x v="4"/>
    <x v="0"/>
    <x v="1"/>
    <x v="0"/>
    <s v="Nm"/>
    <m/>
    <n v="119.4"/>
    <n v="11.1"/>
    <m/>
    <m/>
    <m/>
    <m/>
    <m/>
    <m/>
    <m/>
    <m/>
    <m/>
    <m/>
    <m/>
    <m/>
    <m/>
    <m/>
    <m/>
    <m/>
  </r>
  <r>
    <x v="4"/>
    <s v="All had 4-5 Years of Experience"/>
    <x v="5"/>
    <n v="2022"/>
    <x v="6"/>
    <x v="1"/>
    <x v="0"/>
    <n v="22.2"/>
    <n v="2.1"/>
    <x v="6"/>
    <x v="3"/>
    <x v="0"/>
    <x v="1"/>
    <x v="0"/>
    <s v="Nm"/>
    <m/>
    <n v="127.4"/>
    <n v="10.6"/>
    <m/>
    <m/>
    <m/>
    <m/>
    <m/>
    <m/>
    <m/>
    <m/>
    <m/>
    <m/>
    <m/>
    <m/>
    <m/>
    <m/>
    <m/>
    <m/>
  </r>
  <r>
    <x v="4"/>
    <s v="All had 4-5 Years of Experience"/>
    <x v="5"/>
    <n v="2022"/>
    <x v="6"/>
    <x v="1"/>
    <x v="0"/>
    <n v="22.2"/>
    <n v="2.1"/>
    <x v="6"/>
    <x v="4"/>
    <x v="0"/>
    <x v="1"/>
    <x v="0"/>
    <s v="Nm"/>
    <m/>
    <n v="120.9"/>
    <n v="7.7"/>
    <m/>
    <m/>
    <m/>
    <m/>
    <m/>
    <m/>
    <m/>
    <m/>
    <m/>
    <m/>
    <m/>
    <m/>
    <m/>
    <m/>
    <m/>
    <m/>
  </r>
  <r>
    <x v="4"/>
    <s v="All had 4-5 Years of Experience"/>
    <x v="5"/>
    <n v="2022"/>
    <x v="7"/>
    <x v="1"/>
    <x v="0"/>
    <n v="22.5"/>
    <n v="2.6"/>
    <x v="6"/>
    <x v="3"/>
    <x v="0"/>
    <x v="1"/>
    <x v="0"/>
    <s v="Nm"/>
    <m/>
    <n v="130.80000000000001"/>
    <n v="15.8"/>
    <m/>
    <m/>
    <m/>
    <m/>
    <m/>
    <m/>
    <m/>
    <m/>
    <m/>
    <m/>
    <m/>
    <m/>
    <m/>
    <m/>
    <m/>
    <m/>
  </r>
  <r>
    <x v="4"/>
    <s v="All had 4-5 Years of Experience"/>
    <x v="5"/>
    <n v="2022"/>
    <x v="7"/>
    <x v="1"/>
    <x v="0"/>
    <n v="22.5"/>
    <n v="2.6"/>
    <x v="6"/>
    <x v="4"/>
    <x v="0"/>
    <x v="1"/>
    <x v="0"/>
    <s v="Nm"/>
    <m/>
    <n v="122.8"/>
    <n v="9.8000000000000007"/>
    <m/>
    <m/>
    <m/>
    <m/>
    <m/>
    <m/>
    <m/>
    <m/>
    <m/>
    <m/>
    <m/>
    <m/>
    <m/>
    <m/>
    <m/>
    <m/>
  </r>
  <r>
    <x v="4"/>
    <s v="All had 4-5 Years of Experience"/>
    <x v="5"/>
    <n v="2022"/>
    <x v="8"/>
    <x v="1"/>
    <x v="0"/>
    <n v="22.7"/>
    <n v="2.5"/>
    <x v="6"/>
    <x v="3"/>
    <x v="0"/>
    <x v="1"/>
    <x v="0"/>
    <s v="Nm"/>
    <m/>
    <n v="128.9"/>
    <n v="8.6"/>
    <m/>
    <m/>
    <m/>
    <m/>
    <m/>
    <m/>
    <m/>
    <m/>
    <m/>
    <m/>
    <m/>
    <m/>
    <m/>
    <m/>
    <m/>
    <m/>
  </r>
  <r>
    <x v="4"/>
    <s v="All had 4-5 Years of Experience"/>
    <x v="5"/>
    <n v="2022"/>
    <x v="8"/>
    <x v="1"/>
    <x v="0"/>
    <n v="22.7"/>
    <n v="2.5"/>
    <x v="6"/>
    <x v="4"/>
    <x v="0"/>
    <x v="1"/>
    <x v="0"/>
    <s v="Nm"/>
    <m/>
    <n v="107.7"/>
    <n v="6.1"/>
    <m/>
    <m/>
    <m/>
    <m/>
    <m/>
    <m/>
    <m/>
    <m/>
    <m/>
    <m/>
    <m/>
    <m/>
    <m/>
    <m/>
    <m/>
    <m/>
  </r>
  <r>
    <x v="2"/>
    <s v="All had 4-5 Years of Experience"/>
    <x v="5"/>
    <n v="2022"/>
    <x v="5"/>
    <x v="1"/>
    <x v="0"/>
    <n v="21.9"/>
    <n v="2"/>
    <x v="6"/>
    <x v="3"/>
    <x v="0"/>
    <x v="1"/>
    <x v="0"/>
    <s v="Nm"/>
    <m/>
    <n v="97.2"/>
    <n v="6.4"/>
    <m/>
    <m/>
    <m/>
    <m/>
    <m/>
    <m/>
    <m/>
    <m/>
    <m/>
    <m/>
    <m/>
    <m/>
    <m/>
    <m/>
    <m/>
    <m/>
  </r>
  <r>
    <x v="2"/>
    <s v="All had 4-5 Years of Experience"/>
    <x v="5"/>
    <n v="2022"/>
    <x v="5"/>
    <x v="1"/>
    <x v="0"/>
    <n v="21.9"/>
    <n v="2"/>
    <x v="6"/>
    <x v="4"/>
    <x v="0"/>
    <x v="1"/>
    <x v="0"/>
    <s v="Nm"/>
    <m/>
    <n v="90.3"/>
    <n v="6.8"/>
    <m/>
    <m/>
    <m/>
    <m/>
    <m/>
    <m/>
    <m/>
    <m/>
    <m/>
    <m/>
    <m/>
    <m/>
    <m/>
    <m/>
    <m/>
    <m/>
  </r>
  <r>
    <x v="2"/>
    <s v="All had 4-5 Years of Experience"/>
    <x v="5"/>
    <n v="2022"/>
    <x v="6"/>
    <x v="1"/>
    <x v="0"/>
    <n v="22.2"/>
    <n v="2.1"/>
    <x v="6"/>
    <x v="3"/>
    <x v="0"/>
    <x v="1"/>
    <x v="0"/>
    <s v="Nm"/>
    <m/>
    <n v="102.6"/>
    <n v="5.0999999999999996"/>
    <m/>
    <m/>
    <m/>
    <m/>
    <m/>
    <m/>
    <m/>
    <m/>
    <m/>
    <m/>
    <m/>
    <m/>
    <m/>
    <m/>
    <m/>
    <m/>
  </r>
  <r>
    <x v="2"/>
    <s v="All had 4-5 Years of Experience"/>
    <x v="5"/>
    <n v="2022"/>
    <x v="6"/>
    <x v="1"/>
    <x v="0"/>
    <n v="22.2"/>
    <n v="2.1"/>
    <x v="6"/>
    <x v="4"/>
    <x v="0"/>
    <x v="1"/>
    <x v="0"/>
    <s v="Nm"/>
    <m/>
    <n v="91.4"/>
    <n v="3.3"/>
    <m/>
    <m/>
    <m/>
    <m/>
    <m/>
    <m/>
    <m/>
    <m/>
    <m/>
    <m/>
    <m/>
    <m/>
    <m/>
    <m/>
    <m/>
    <m/>
  </r>
  <r>
    <x v="2"/>
    <s v="All had 4-5 Years of Experience"/>
    <x v="5"/>
    <n v="2022"/>
    <x v="7"/>
    <x v="1"/>
    <x v="0"/>
    <n v="22.5"/>
    <n v="2.6"/>
    <x v="6"/>
    <x v="3"/>
    <x v="0"/>
    <x v="1"/>
    <x v="0"/>
    <s v="Nm"/>
    <m/>
    <n v="105.5"/>
    <n v="10.8"/>
    <m/>
    <m/>
    <m/>
    <m/>
    <m/>
    <m/>
    <m/>
    <m/>
    <m/>
    <m/>
    <m/>
    <m/>
    <m/>
    <m/>
    <m/>
    <m/>
  </r>
  <r>
    <x v="2"/>
    <s v="All had 4-5 Years of Experience"/>
    <x v="5"/>
    <n v="2022"/>
    <x v="7"/>
    <x v="1"/>
    <x v="0"/>
    <n v="22.5"/>
    <n v="2.6"/>
    <x v="6"/>
    <x v="4"/>
    <x v="0"/>
    <x v="1"/>
    <x v="0"/>
    <s v="Nm"/>
    <m/>
    <n v="84.1"/>
    <n v="9.6999999999999993"/>
    <m/>
    <m/>
    <m/>
    <m/>
    <m/>
    <m/>
    <m/>
    <m/>
    <m/>
    <m/>
    <m/>
    <m/>
    <m/>
    <m/>
    <m/>
    <m/>
  </r>
  <r>
    <x v="2"/>
    <s v="All had 4-5 Years of Experience"/>
    <x v="5"/>
    <n v="2022"/>
    <x v="8"/>
    <x v="1"/>
    <x v="0"/>
    <n v="22.7"/>
    <n v="2.5"/>
    <x v="6"/>
    <x v="3"/>
    <x v="0"/>
    <x v="1"/>
    <x v="0"/>
    <s v="Nm"/>
    <m/>
    <n v="103"/>
    <n v="5.4"/>
    <m/>
    <m/>
    <m/>
    <m/>
    <m/>
    <m/>
    <m/>
    <m/>
    <m/>
    <m/>
    <m/>
    <m/>
    <m/>
    <m/>
    <m/>
    <m/>
  </r>
  <r>
    <x v="2"/>
    <s v="All had 4-5 Years of Experience"/>
    <x v="5"/>
    <n v="2022"/>
    <x v="8"/>
    <x v="1"/>
    <x v="0"/>
    <n v="22.7"/>
    <n v="2.5"/>
    <x v="6"/>
    <x v="4"/>
    <x v="0"/>
    <x v="1"/>
    <x v="0"/>
    <s v="Nm"/>
    <m/>
    <n v="88.3"/>
    <n v="4.4000000000000004"/>
    <m/>
    <m/>
    <m/>
    <m/>
    <m/>
    <m/>
    <m/>
    <m/>
    <m/>
    <m/>
    <m/>
    <m/>
    <m/>
    <m/>
    <m/>
    <m/>
  </r>
  <r>
    <x v="0"/>
    <s v="All had 4-5 Years of Experience"/>
    <x v="5"/>
    <n v="2022"/>
    <x v="5"/>
    <x v="1"/>
    <x v="0"/>
    <n v="21.9"/>
    <n v="2"/>
    <x v="6"/>
    <x v="3"/>
    <x v="0"/>
    <x v="0"/>
    <x v="0"/>
    <s v="Nm"/>
    <m/>
    <m/>
    <m/>
    <n v="207.9"/>
    <n v="3.4"/>
    <m/>
    <m/>
    <m/>
    <m/>
    <m/>
    <m/>
    <m/>
    <m/>
    <m/>
    <m/>
    <m/>
    <m/>
    <m/>
    <m/>
  </r>
  <r>
    <x v="0"/>
    <s v="All had 4-5 Years of Experience"/>
    <x v="5"/>
    <n v="2022"/>
    <x v="5"/>
    <x v="1"/>
    <x v="0"/>
    <n v="21.9"/>
    <n v="2"/>
    <x v="6"/>
    <x v="4"/>
    <x v="0"/>
    <x v="0"/>
    <x v="0"/>
    <s v="Nm"/>
    <m/>
    <m/>
    <m/>
    <n v="196.1"/>
    <n v="10.6"/>
    <m/>
    <m/>
    <m/>
    <m/>
    <m/>
    <m/>
    <m/>
    <m/>
    <m/>
    <m/>
    <m/>
    <m/>
    <m/>
    <m/>
  </r>
  <r>
    <x v="0"/>
    <s v="All had 4-5 Years of Experience"/>
    <x v="5"/>
    <n v="2022"/>
    <x v="6"/>
    <x v="1"/>
    <x v="0"/>
    <n v="22.2"/>
    <n v="2.1"/>
    <x v="6"/>
    <x v="3"/>
    <x v="0"/>
    <x v="0"/>
    <x v="0"/>
    <s v="Nm"/>
    <m/>
    <m/>
    <m/>
    <n v="222.3"/>
    <n v="4.8"/>
    <m/>
    <m/>
    <m/>
    <m/>
    <m/>
    <m/>
    <m/>
    <m/>
    <m/>
    <m/>
    <m/>
    <m/>
    <m/>
    <m/>
  </r>
  <r>
    <x v="0"/>
    <s v="All had 4-5 Years of Experience"/>
    <x v="5"/>
    <n v="2022"/>
    <x v="6"/>
    <x v="1"/>
    <x v="0"/>
    <n v="22.2"/>
    <n v="2.1"/>
    <x v="6"/>
    <x v="4"/>
    <x v="0"/>
    <x v="0"/>
    <x v="0"/>
    <s v="Nm"/>
    <m/>
    <m/>
    <m/>
    <n v="219.9"/>
    <n v="5.8"/>
    <m/>
    <m/>
    <m/>
    <m/>
    <m/>
    <m/>
    <m/>
    <m/>
    <m/>
    <m/>
    <m/>
    <m/>
    <m/>
    <m/>
  </r>
  <r>
    <x v="0"/>
    <s v="All had 4-5 Years of Experience"/>
    <x v="5"/>
    <n v="2022"/>
    <x v="7"/>
    <x v="1"/>
    <x v="0"/>
    <n v="22.5"/>
    <n v="2.6"/>
    <x v="6"/>
    <x v="3"/>
    <x v="0"/>
    <x v="0"/>
    <x v="0"/>
    <s v="Nm"/>
    <m/>
    <m/>
    <m/>
    <n v="230"/>
    <n v="3.7"/>
    <m/>
    <m/>
    <m/>
    <m/>
    <m/>
    <m/>
    <m/>
    <m/>
    <m/>
    <m/>
    <m/>
    <m/>
    <m/>
    <m/>
  </r>
  <r>
    <x v="0"/>
    <s v="All had 4-5 Years of Experience"/>
    <x v="5"/>
    <n v="2022"/>
    <x v="7"/>
    <x v="1"/>
    <x v="0"/>
    <n v="22.5"/>
    <n v="2.6"/>
    <x v="6"/>
    <x v="4"/>
    <x v="0"/>
    <x v="0"/>
    <x v="0"/>
    <s v="Nm"/>
    <m/>
    <m/>
    <m/>
    <n v="213.4"/>
    <n v="15.5"/>
    <m/>
    <m/>
    <m/>
    <m/>
    <m/>
    <m/>
    <m/>
    <m/>
    <m/>
    <m/>
    <m/>
    <m/>
    <m/>
    <m/>
  </r>
  <r>
    <x v="0"/>
    <s v="All had 4-5 Years of Experience"/>
    <x v="5"/>
    <n v="2022"/>
    <x v="8"/>
    <x v="1"/>
    <x v="0"/>
    <n v="22.7"/>
    <n v="2.5"/>
    <x v="6"/>
    <x v="3"/>
    <x v="0"/>
    <x v="0"/>
    <x v="0"/>
    <s v="Nm"/>
    <m/>
    <m/>
    <m/>
    <n v="226.2"/>
    <n v="6.4"/>
    <m/>
    <m/>
    <m/>
    <m/>
    <m/>
    <m/>
    <m/>
    <m/>
    <m/>
    <m/>
    <m/>
    <m/>
    <m/>
    <m/>
  </r>
  <r>
    <x v="0"/>
    <s v="All had 4-5 Years of Experience"/>
    <x v="5"/>
    <n v="2022"/>
    <x v="8"/>
    <x v="1"/>
    <x v="0"/>
    <n v="22.7"/>
    <n v="2.5"/>
    <x v="6"/>
    <x v="4"/>
    <x v="0"/>
    <x v="0"/>
    <x v="0"/>
    <s v="Nm"/>
    <m/>
    <m/>
    <m/>
    <n v="208.9"/>
    <n v="7.2"/>
    <m/>
    <m/>
    <m/>
    <m/>
    <m/>
    <m/>
    <m/>
    <m/>
    <m/>
    <m/>
    <m/>
    <m/>
    <m/>
    <m/>
  </r>
  <r>
    <x v="4"/>
    <s v="All had 4-5 Years of Experience"/>
    <x v="5"/>
    <n v="2022"/>
    <x v="5"/>
    <x v="1"/>
    <x v="0"/>
    <n v="21.9"/>
    <n v="2"/>
    <x v="6"/>
    <x v="3"/>
    <x v="0"/>
    <x v="0"/>
    <x v="0"/>
    <s v="Nm"/>
    <m/>
    <m/>
    <m/>
    <n v="166.1"/>
    <n v="7.9"/>
    <m/>
    <m/>
    <m/>
    <m/>
    <m/>
    <m/>
    <m/>
    <m/>
    <m/>
    <m/>
    <m/>
    <m/>
    <m/>
    <m/>
  </r>
  <r>
    <x v="4"/>
    <s v="All had 4-5 Years of Experience"/>
    <x v="5"/>
    <n v="2022"/>
    <x v="5"/>
    <x v="1"/>
    <x v="0"/>
    <n v="21.9"/>
    <n v="2"/>
    <x v="6"/>
    <x v="4"/>
    <x v="0"/>
    <x v="0"/>
    <x v="0"/>
    <s v="Nm"/>
    <m/>
    <m/>
    <m/>
    <n v="155.6"/>
    <n v="5.9"/>
    <m/>
    <m/>
    <m/>
    <m/>
    <m/>
    <m/>
    <m/>
    <m/>
    <m/>
    <m/>
    <m/>
    <m/>
    <m/>
    <m/>
  </r>
  <r>
    <x v="4"/>
    <s v="All had 4-5 Years of Experience"/>
    <x v="5"/>
    <n v="2022"/>
    <x v="6"/>
    <x v="1"/>
    <x v="0"/>
    <n v="22.2"/>
    <n v="2.1"/>
    <x v="6"/>
    <x v="3"/>
    <x v="0"/>
    <x v="0"/>
    <x v="0"/>
    <s v="Nm"/>
    <m/>
    <m/>
    <m/>
    <n v="174.3"/>
    <n v="4.5999999999999996"/>
    <m/>
    <m/>
    <m/>
    <m/>
    <m/>
    <m/>
    <m/>
    <m/>
    <m/>
    <m/>
    <m/>
    <m/>
    <m/>
    <m/>
  </r>
  <r>
    <x v="4"/>
    <s v="All had 4-5 Years of Experience"/>
    <x v="5"/>
    <n v="2022"/>
    <x v="6"/>
    <x v="1"/>
    <x v="0"/>
    <n v="22.2"/>
    <n v="2.1"/>
    <x v="6"/>
    <x v="4"/>
    <x v="0"/>
    <x v="0"/>
    <x v="0"/>
    <s v="Nm"/>
    <m/>
    <m/>
    <m/>
    <n v="165.9"/>
    <n v="5.4"/>
    <m/>
    <m/>
    <m/>
    <m/>
    <m/>
    <m/>
    <m/>
    <m/>
    <m/>
    <m/>
    <m/>
    <m/>
    <m/>
    <m/>
  </r>
  <r>
    <x v="4"/>
    <s v="All had 4-5 Years of Experience"/>
    <x v="5"/>
    <n v="2022"/>
    <x v="7"/>
    <x v="1"/>
    <x v="0"/>
    <n v="22.5"/>
    <n v="2.6"/>
    <x v="6"/>
    <x v="3"/>
    <x v="0"/>
    <x v="0"/>
    <x v="0"/>
    <s v="Nm"/>
    <m/>
    <m/>
    <m/>
    <n v="179.1"/>
    <n v="7"/>
    <m/>
    <m/>
    <m/>
    <m/>
    <m/>
    <m/>
    <m/>
    <m/>
    <m/>
    <m/>
    <m/>
    <m/>
    <m/>
    <m/>
  </r>
  <r>
    <x v="4"/>
    <s v="All had 4-5 Years of Experience"/>
    <x v="5"/>
    <n v="2022"/>
    <x v="7"/>
    <x v="1"/>
    <x v="0"/>
    <n v="22.5"/>
    <n v="2.6"/>
    <x v="6"/>
    <x v="4"/>
    <x v="0"/>
    <x v="0"/>
    <x v="0"/>
    <s v="Nm"/>
    <m/>
    <m/>
    <m/>
    <n v="159.9"/>
    <n v="14.1"/>
    <m/>
    <m/>
    <m/>
    <m/>
    <m/>
    <m/>
    <m/>
    <m/>
    <m/>
    <m/>
    <m/>
    <m/>
    <m/>
    <m/>
  </r>
  <r>
    <x v="4"/>
    <s v="All had 4-5 Years of Experience"/>
    <x v="5"/>
    <n v="2022"/>
    <x v="8"/>
    <x v="1"/>
    <x v="0"/>
    <n v="22.7"/>
    <n v="2.5"/>
    <x v="6"/>
    <x v="3"/>
    <x v="0"/>
    <x v="0"/>
    <x v="0"/>
    <s v="Nm"/>
    <m/>
    <m/>
    <m/>
    <n v="176.7"/>
    <n v="3.7"/>
    <m/>
    <m/>
    <m/>
    <m/>
    <m/>
    <m/>
    <m/>
    <m/>
    <m/>
    <m/>
    <m/>
    <m/>
    <m/>
    <m/>
  </r>
  <r>
    <x v="4"/>
    <s v="All had 4-5 Years of Experience"/>
    <x v="5"/>
    <n v="2022"/>
    <x v="8"/>
    <x v="1"/>
    <x v="0"/>
    <n v="22.7"/>
    <n v="2.5"/>
    <x v="6"/>
    <x v="4"/>
    <x v="0"/>
    <x v="0"/>
    <x v="0"/>
    <s v="Nm"/>
    <m/>
    <m/>
    <m/>
    <n v="162.80000000000001"/>
    <n v="5.5"/>
    <m/>
    <m/>
    <m/>
    <m/>
    <m/>
    <m/>
    <m/>
    <m/>
    <m/>
    <m/>
    <m/>
    <m/>
    <m/>
    <m/>
  </r>
  <r>
    <x v="2"/>
    <s v="All had 4-5 Years of Experience"/>
    <x v="5"/>
    <n v="2022"/>
    <x v="5"/>
    <x v="1"/>
    <x v="0"/>
    <n v="21.9"/>
    <n v="2"/>
    <x v="6"/>
    <x v="3"/>
    <x v="0"/>
    <x v="0"/>
    <x v="0"/>
    <s v="Nm"/>
    <m/>
    <m/>
    <m/>
    <n v="140.4"/>
    <n v="9.8000000000000007"/>
    <m/>
    <m/>
    <m/>
    <m/>
    <m/>
    <m/>
    <m/>
    <m/>
    <m/>
    <m/>
    <m/>
    <m/>
    <m/>
    <m/>
  </r>
  <r>
    <x v="2"/>
    <s v="All had 4-5 Years of Experience"/>
    <x v="5"/>
    <n v="2022"/>
    <x v="5"/>
    <x v="1"/>
    <x v="0"/>
    <n v="21.9"/>
    <n v="2"/>
    <x v="6"/>
    <x v="4"/>
    <x v="0"/>
    <x v="0"/>
    <x v="0"/>
    <s v="Nm"/>
    <m/>
    <m/>
    <m/>
    <n v="134.30000000000001"/>
    <n v="9"/>
    <m/>
    <m/>
    <m/>
    <m/>
    <m/>
    <m/>
    <m/>
    <m/>
    <m/>
    <m/>
    <m/>
    <m/>
    <m/>
    <m/>
  </r>
  <r>
    <x v="2"/>
    <s v="All had 4-5 Years of Experience"/>
    <x v="5"/>
    <n v="2022"/>
    <x v="6"/>
    <x v="1"/>
    <x v="0"/>
    <n v="22.2"/>
    <n v="2.1"/>
    <x v="6"/>
    <x v="3"/>
    <x v="0"/>
    <x v="0"/>
    <x v="0"/>
    <s v="Nm"/>
    <m/>
    <m/>
    <m/>
    <n v="147.4"/>
    <n v="8"/>
    <m/>
    <m/>
    <m/>
    <m/>
    <m/>
    <m/>
    <m/>
    <m/>
    <m/>
    <m/>
    <m/>
    <m/>
    <m/>
    <m/>
  </r>
  <r>
    <x v="2"/>
    <s v="All had 4-5 Years of Experience"/>
    <x v="5"/>
    <n v="2022"/>
    <x v="6"/>
    <x v="1"/>
    <x v="0"/>
    <n v="22.2"/>
    <n v="2.1"/>
    <x v="6"/>
    <x v="4"/>
    <x v="0"/>
    <x v="0"/>
    <x v="0"/>
    <s v="Nm"/>
    <m/>
    <m/>
    <m/>
    <n v="142.69999999999999"/>
    <n v="8.1999999999999993"/>
    <m/>
    <m/>
    <m/>
    <m/>
    <m/>
    <m/>
    <m/>
    <m/>
    <m/>
    <m/>
    <m/>
    <m/>
    <m/>
    <m/>
  </r>
  <r>
    <x v="2"/>
    <s v="All had 4-5 Years of Experience"/>
    <x v="5"/>
    <n v="2022"/>
    <x v="7"/>
    <x v="1"/>
    <x v="0"/>
    <n v="22.5"/>
    <n v="2.6"/>
    <x v="6"/>
    <x v="3"/>
    <x v="0"/>
    <x v="0"/>
    <x v="0"/>
    <s v="Nm"/>
    <m/>
    <m/>
    <m/>
    <n v="151.5"/>
    <n v="15.4"/>
    <m/>
    <m/>
    <m/>
    <m/>
    <m/>
    <m/>
    <m/>
    <m/>
    <m/>
    <m/>
    <m/>
    <m/>
    <m/>
    <m/>
  </r>
  <r>
    <x v="2"/>
    <s v="All had 4-5 Years of Experience"/>
    <x v="5"/>
    <n v="2022"/>
    <x v="7"/>
    <x v="1"/>
    <x v="0"/>
    <n v="22.5"/>
    <n v="2.6"/>
    <x v="6"/>
    <x v="4"/>
    <x v="0"/>
    <x v="0"/>
    <x v="0"/>
    <s v="Nm"/>
    <m/>
    <m/>
    <m/>
    <n v="123.2"/>
    <n v="10.8"/>
    <m/>
    <m/>
    <m/>
    <m/>
    <m/>
    <m/>
    <m/>
    <m/>
    <m/>
    <m/>
    <m/>
    <m/>
    <m/>
    <m/>
  </r>
  <r>
    <x v="2"/>
    <s v="All had 4-5 Years of Experience"/>
    <x v="5"/>
    <n v="2022"/>
    <x v="8"/>
    <x v="1"/>
    <x v="0"/>
    <n v="22.7"/>
    <n v="2.5"/>
    <x v="6"/>
    <x v="3"/>
    <x v="0"/>
    <x v="0"/>
    <x v="0"/>
    <s v="Nm"/>
    <m/>
    <m/>
    <m/>
    <n v="148.4"/>
    <n v="7.1"/>
    <m/>
    <m/>
    <m/>
    <m/>
    <m/>
    <m/>
    <m/>
    <m/>
    <m/>
    <m/>
    <m/>
    <m/>
    <m/>
    <m/>
  </r>
  <r>
    <x v="2"/>
    <s v="All had 4-5 Years of Experience"/>
    <x v="5"/>
    <n v="2022"/>
    <x v="8"/>
    <x v="1"/>
    <x v="0"/>
    <n v="22.7"/>
    <n v="2.5"/>
    <x v="6"/>
    <x v="4"/>
    <x v="0"/>
    <x v="0"/>
    <x v="0"/>
    <s v="Nm"/>
    <m/>
    <m/>
    <m/>
    <n v="129.9"/>
    <n v="5.4"/>
    <m/>
    <m/>
    <m/>
    <m/>
    <m/>
    <m/>
    <m/>
    <m/>
    <m/>
    <m/>
    <m/>
    <m/>
    <m/>
    <m/>
  </r>
  <r>
    <x v="0"/>
    <s v="Healthy professional female soccer players"/>
    <x v="6"/>
    <n v="2022"/>
    <x v="4"/>
    <x v="3"/>
    <x v="0"/>
    <n v="21.9"/>
    <n v="4.1900000000000004"/>
    <x v="7"/>
    <x v="3"/>
    <x v="2"/>
    <x v="0"/>
    <x v="2"/>
    <s v="Nm"/>
    <s v="Nm/kg"/>
    <n v="158"/>
    <n v="24.48"/>
    <n v="86.87"/>
    <n v="14.96"/>
    <n v="2.66"/>
    <n v="0.28000000000000003"/>
    <n v="1.47"/>
    <n v="0.22"/>
    <m/>
    <m/>
    <m/>
    <m/>
    <m/>
    <m/>
    <m/>
    <m/>
    <n v="0.55000000000000004"/>
    <n v="7.0000000000000007E-2"/>
  </r>
  <r>
    <x v="0"/>
    <s v="Healthy professional female soccer players"/>
    <x v="6"/>
    <n v="2022"/>
    <x v="4"/>
    <x v="3"/>
    <x v="0"/>
    <n v="21.9"/>
    <n v="4.1900000000000004"/>
    <x v="7"/>
    <x v="4"/>
    <x v="2"/>
    <x v="0"/>
    <x v="2"/>
    <s v="Nm"/>
    <s v="Nm/kg"/>
    <n v="150.05000000000001"/>
    <n v="21.71"/>
    <n v="79.7"/>
    <n v="13.18"/>
    <n v="2.5299999999999998"/>
    <n v="0.26"/>
    <n v="1.3"/>
    <n v="0.16"/>
    <m/>
    <m/>
    <m/>
    <m/>
    <m/>
    <m/>
    <m/>
    <m/>
    <n v="0.53"/>
    <n v="7.0000000000000007E-2"/>
  </r>
  <r>
    <x v="3"/>
    <s v="Healthy professional female soccer players"/>
    <x v="6"/>
    <n v="2022"/>
    <x v="4"/>
    <x v="3"/>
    <x v="0"/>
    <n v="21.9"/>
    <n v="4.1900000000000004"/>
    <x v="7"/>
    <x v="3"/>
    <x v="2"/>
    <x v="0"/>
    <x v="2"/>
    <s v="Nm"/>
    <s v="Nm/kg"/>
    <n v="94.88"/>
    <n v="15.23"/>
    <n v="59.73"/>
    <n v="10.71"/>
    <n v="1.57"/>
    <n v="0.24"/>
    <n v="0.99"/>
    <n v="0.15"/>
    <m/>
    <m/>
    <m/>
    <m/>
    <m/>
    <m/>
    <m/>
    <m/>
    <n v="0.63"/>
    <n v="0.08"/>
  </r>
  <r>
    <x v="3"/>
    <s v="Healthy professional female soccer players"/>
    <x v="6"/>
    <n v="2022"/>
    <x v="4"/>
    <x v="3"/>
    <x v="0"/>
    <n v="21.9"/>
    <n v="4.1900000000000004"/>
    <x v="7"/>
    <x v="4"/>
    <x v="2"/>
    <x v="0"/>
    <x v="2"/>
    <s v="Nm"/>
    <s v="Nm/kg"/>
    <n v="91.45"/>
    <n v="12.93"/>
    <n v="55.48"/>
    <n v="11.02"/>
    <n v="1.55"/>
    <n v="0.19"/>
    <n v="0.91"/>
    <n v="0.16"/>
    <m/>
    <m/>
    <m/>
    <m/>
    <m/>
    <m/>
    <m/>
    <m/>
    <n v="0.61"/>
    <n v="0.1"/>
  </r>
  <r>
    <x v="2"/>
    <s v="Healthy professional female soccer players"/>
    <x v="6"/>
    <n v="2022"/>
    <x v="4"/>
    <x v="3"/>
    <x v="0"/>
    <n v="21.9"/>
    <n v="4.1900000000000004"/>
    <x v="7"/>
    <x v="3"/>
    <x v="2"/>
    <x v="0"/>
    <x v="2"/>
    <s v="Nm"/>
    <s v="Nm/kg"/>
    <n v="113.39"/>
    <n v="18.190000000000001"/>
    <n v="66.31"/>
    <n v="12.41"/>
    <n v="1.88"/>
    <n v="0.27"/>
    <n v="1.0900000000000001"/>
    <n v="0.17"/>
    <m/>
    <m/>
    <m/>
    <m/>
    <m/>
    <m/>
    <m/>
    <m/>
    <n v="0.57999999999999996"/>
    <n v="0.08"/>
  </r>
  <r>
    <x v="2"/>
    <s v="Healthy professional female soccer players"/>
    <x v="6"/>
    <n v="2022"/>
    <x v="4"/>
    <x v="3"/>
    <x v="0"/>
    <n v="21.9"/>
    <n v="4.1900000000000004"/>
    <x v="7"/>
    <x v="4"/>
    <x v="2"/>
    <x v="0"/>
    <x v="2"/>
    <s v="Nm"/>
    <s v="Nm/kg"/>
    <n v="109.92"/>
    <n v="15.31"/>
    <n v="61.91"/>
    <n v="12.15"/>
    <n v="1.82"/>
    <n v="0.22"/>
    <n v="1.01"/>
    <n v="0.15"/>
    <m/>
    <m/>
    <m/>
    <m/>
    <m/>
    <m/>
    <m/>
    <m/>
    <n v="0.56000000000000005"/>
    <n v="0.09"/>
  </r>
  <r>
    <x v="0"/>
    <s v="Concentric (Flex/Ext)"/>
    <x v="7"/>
    <n v="2010"/>
    <x v="4"/>
    <x v="3"/>
    <x v="0"/>
    <n v="23.6"/>
    <n v="4.2"/>
    <x v="8"/>
    <x v="7"/>
    <x v="0"/>
    <x v="0"/>
    <x v="0"/>
    <s v="Nm"/>
    <m/>
    <n v="242"/>
    <n v="35.1"/>
    <n v="137.9"/>
    <n v="24"/>
    <m/>
    <m/>
    <m/>
    <m/>
    <m/>
    <m/>
    <m/>
    <m/>
    <m/>
    <m/>
    <m/>
    <m/>
    <m/>
    <m/>
  </r>
  <r>
    <x v="0"/>
    <s v="Concentric (Flex/Ext)"/>
    <x v="7"/>
    <n v="2010"/>
    <x v="4"/>
    <x v="3"/>
    <x v="0"/>
    <n v="23.6"/>
    <n v="4.2"/>
    <x v="8"/>
    <x v="8"/>
    <x v="0"/>
    <x v="0"/>
    <x v="0"/>
    <s v="Nm"/>
    <m/>
    <n v="235.6"/>
    <n v="34.200000000000003"/>
    <n v="134.80000000000001"/>
    <n v="24.1"/>
    <m/>
    <m/>
    <m/>
    <m/>
    <m/>
    <m/>
    <m/>
    <m/>
    <m/>
    <m/>
    <m/>
    <m/>
    <m/>
    <m/>
  </r>
  <r>
    <x v="0"/>
    <s v="Eccentric (Flex/Ext) eccentric testing was used because it's crucial for injury risk detection and reflects real game demands better than concentric tests alone."/>
    <x v="7"/>
    <n v="2010"/>
    <x v="4"/>
    <x v="3"/>
    <x v="0"/>
    <n v="23.6"/>
    <n v="4.2"/>
    <x v="8"/>
    <x v="7"/>
    <x v="0"/>
    <x v="1"/>
    <x v="0"/>
    <s v="Nm"/>
    <m/>
    <n v="316.3"/>
    <n v="57.8"/>
    <n v="192.1"/>
    <n v="38.5"/>
    <m/>
    <m/>
    <m/>
    <m/>
    <m/>
    <m/>
    <m/>
    <m/>
    <m/>
    <m/>
    <m/>
    <m/>
    <m/>
    <m/>
  </r>
  <r>
    <x v="0"/>
    <s v="Eccentric (Flex/Ext) eccentric testing was used because it's crucial for injury risk detection and reflects real game demands better than concentric tests alone."/>
    <x v="7"/>
    <n v="2010"/>
    <x v="4"/>
    <x v="3"/>
    <x v="0"/>
    <n v="23.6"/>
    <n v="4.2"/>
    <x v="8"/>
    <x v="8"/>
    <x v="0"/>
    <x v="1"/>
    <x v="0"/>
    <s v="Nm"/>
    <m/>
    <n v="305.7"/>
    <n v="57.5"/>
    <n v="195.2"/>
    <n v="46"/>
    <m/>
    <m/>
    <m/>
    <m/>
    <m/>
    <m/>
    <m/>
    <m/>
    <m/>
    <m/>
    <m/>
    <m/>
    <m/>
    <m/>
  </r>
  <r>
    <x v="1"/>
    <s v="Concentric (Flex/Ext)"/>
    <x v="7"/>
    <n v="2010"/>
    <x v="4"/>
    <x v="3"/>
    <x v="0"/>
    <n v="23.6"/>
    <n v="4.2"/>
    <x v="8"/>
    <x v="7"/>
    <x v="0"/>
    <x v="0"/>
    <x v="0"/>
    <s v="Nm"/>
    <m/>
    <n v="136"/>
    <n v="19.3"/>
    <n v="93.6"/>
    <n v="16.100000000000001"/>
    <m/>
    <m/>
    <m/>
    <m/>
    <m/>
    <m/>
    <m/>
    <m/>
    <m/>
    <m/>
    <m/>
    <m/>
    <m/>
    <m/>
  </r>
  <r>
    <x v="1"/>
    <s v="Concentric (Flex/Ext)"/>
    <x v="7"/>
    <n v="2010"/>
    <x v="4"/>
    <x v="3"/>
    <x v="0"/>
    <n v="23.6"/>
    <n v="4.2"/>
    <x v="8"/>
    <x v="8"/>
    <x v="0"/>
    <x v="0"/>
    <x v="0"/>
    <s v="Nm"/>
    <m/>
    <n v="134.9"/>
    <n v="18.3"/>
    <n v="92"/>
    <n v="15.6"/>
    <m/>
    <m/>
    <m/>
    <m/>
    <m/>
    <m/>
    <m/>
    <m/>
    <m/>
    <m/>
    <m/>
    <m/>
    <m/>
    <m/>
  </r>
  <r>
    <x v="2"/>
    <s v="Concentric (Flex/Ext)"/>
    <x v="7"/>
    <n v="2008"/>
    <x v="4"/>
    <x v="3"/>
    <x v="0"/>
    <n v="23.6"/>
    <n v="4.2"/>
    <x v="8"/>
    <x v="7"/>
    <x v="0"/>
    <x v="0"/>
    <x v="0"/>
    <s v="Nm"/>
    <m/>
    <n v="169.3"/>
    <n v="25.2"/>
    <n v="106.4"/>
    <n v="17.100000000000001"/>
    <m/>
    <m/>
    <m/>
    <m/>
    <m/>
    <m/>
    <m/>
    <m/>
    <m/>
    <m/>
    <m/>
    <m/>
    <m/>
    <m/>
  </r>
  <r>
    <x v="2"/>
    <s v="Concentric (Flex/Ext)"/>
    <x v="7"/>
    <n v="2008"/>
    <x v="4"/>
    <x v="3"/>
    <x v="0"/>
    <n v="23.6"/>
    <n v="4.2"/>
    <x v="8"/>
    <x v="8"/>
    <x v="0"/>
    <x v="0"/>
    <x v="0"/>
    <s v="Nm"/>
    <m/>
    <n v="166.5"/>
    <n v="24.1"/>
    <n v="102.4"/>
    <n v="17.3"/>
    <m/>
    <m/>
    <m/>
    <m/>
    <m/>
    <m/>
    <m/>
    <m/>
    <m/>
    <m/>
    <m/>
    <m/>
    <m/>
    <m/>
  </r>
  <r>
    <x v="2"/>
    <s v="Eccentric (Flex/Ext) eccentric testing was used because it's crucial for injury risk detection and reflects real game demands better than concentric tests alone."/>
    <x v="7"/>
    <n v="2008"/>
    <x v="4"/>
    <x v="3"/>
    <x v="0"/>
    <n v="23.6"/>
    <n v="4.2"/>
    <x v="8"/>
    <x v="7"/>
    <x v="0"/>
    <x v="1"/>
    <x v="0"/>
    <s v="Nm"/>
    <m/>
    <n v="292.8"/>
    <n v="53.6"/>
    <n v="187.7"/>
    <n v="38.1"/>
    <m/>
    <m/>
    <m/>
    <m/>
    <m/>
    <m/>
    <m/>
    <m/>
    <m/>
    <m/>
    <m/>
    <m/>
    <m/>
    <m/>
  </r>
  <r>
    <x v="2"/>
    <s v="Eccentric (Flex/Ext) eccentric testing was used because it's crucial for injury risk detection and reflects real game demands better than concentric tests alone."/>
    <x v="7"/>
    <n v="2008"/>
    <x v="4"/>
    <x v="3"/>
    <x v="0"/>
    <n v="23.6"/>
    <n v="4.2"/>
    <x v="8"/>
    <x v="8"/>
    <x v="0"/>
    <x v="1"/>
    <x v="0"/>
    <s v="Nm"/>
    <m/>
    <n v="293"/>
    <n v="57.9"/>
    <n v="186.8"/>
    <n v="41.9"/>
    <m/>
    <m/>
    <m/>
    <m/>
    <m/>
    <m/>
    <m/>
    <m/>
    <m/>
    <m/>
    <m/>
    <m/>
    <m/>
    <m/>
  </r>
  <r>
    <x v="0"/>
    <s v="PL = Preffered Leg"/>
    <x v="8"/>
    <n v="2024"/>
    <x v="4"/>
    <x v="2"/>
    <x v="0"/>
    <n v="15.7"/>
    <n v="0.8"/>
    <x v="9"/>
    <x v="9"/>
    <x v="0"/>
    <x v="0"/>
    <x v="0"/>
    <s v="Nm"/>
    <m/>
    <n v="160.9"/>
    <n v="45.5"/>
    <n v="95.3"/>
    <n v="23.5"/>
    <n v="2.52"/>
    <n v="0.62"/>
    <n v="1.48"/>
    <n v="0.3"/>
    <m/>
    <m/>
    <m/>
    <m/>
    <m/>
    <m/>
    <m/>
    <m/>
    <m/>
    <m/>
  </r>
  <r>
    <x v="0"/>
    <s v="NPL = Not Preferred Leg"/>
    <x v="8"/>
    <n v="2024"/>
    <x v="4"/>
    <x v="2"/>
    <x v="0"/>
    <n v="15.7"/>
    <n v="0.8"/>
    <x v="9"/>
    <x v="10"/>
    <x v="0"/>
    <x v="0"/>
    <x v="0"/>
    <s v="Nm"/>
    <m/>
    <n v="162.69999999999999"/>
    <n v="44.2"/>
    <n v="93.3"/>
    <n v="23.5"/>
    <n v="2.5499999999999998"/>
    <n v="0.62"/>
    <n v="1.45"/>
    <n v="0.28000000000000003"/>
    <m/>
    <m/>
    <m/>
    <m/>
    <m/>
    <m/>
    <m/>
    <m/>
    <m/>
    <m/>
  </r>
  <r>
    <x v="0"/>
    <m/>
    <x v="9"/>
    <n v="2024"/>
    <x v="4"/>
    <x v="2"/>
    <x v="7"/>
    <n v="14.53"/>
    <n v="0.68"/>
    <x v="10"/>
    <x v="0"/>
    <x v="0"/>
    <x v="0"/>
    <x v="0"/>
    <m/>
    <s v="Nm/kg"/>
    <m/>
    <m/>
    <m/>
    <m/>
    <n v="2.8"/>
    <n v="0.63"/>
    <n v="1.57"/>
    <n v="0.28999999999999998"/>
    <n v="1.79"/>
    <n v="0.37"/>
    <n v="0.99"/>
    <n v="0.28999999999999998"/>
    <n v="7.34"/>
    <n v="1.22"/>
    <n v="4.67"/>
    <n v="1.2"/>
    <n v="0.56999999999999995"/>
    <n v="0.1"/>
  </r>
  <r>
    <x v="0"/>
    <m/>
    <x v="9"/>
    <n v="2024"/>
    <x v="4"/>
    <x v="2"/>
    <x v="1"/>
    <n v="14.27"/>
    <n v="0.4"/>
    <x v="4"/>
    <x v="0"/>
    <x v="0"/>
    <x v="0"/>
    <x v="0"/>
    <m/>
    <s v="Nm/kg"/>
    <m/>
    <m/>
    <m/>
    <m/>
    <n v="2.78"/>
    <n v="0.34"/>
    <n v="1.54"/>
    <n v="0.32"/>
    <n v="1.83"/>
    <n v="0.25"/>
    <n v="1.05"/>
    <n v="0.24"/>
    <n v="8.44"/>
    <n v="1.1399999999999999"/>
    <n v="5.34"/>
    <n v="1.27"/>
    <n v="0.55000000000000004"/>
    <n v="0.09"/>
  </r>
  <r>
    <x v="0"/>
    <m/>
    <x v="9"/>
    <n v="2024"/>
    <x v="4"/>
    <x v="2"/>
    <x v="2"/>
    <n v="14.41"/>
    <n v="0.53"/>
    <x v="11"/>
    <x v="0"/>
    <x v="0"/>
    <x v="0"/>
    <x v="0"/>
    <m/>
    <s v="Nm/kg"/>
    <m/>
    <m/>
    <m/>
    <m/>
    <n v="2.56"/>
    <n v="0.43"/>
    <n v="1.5"/>
    <n v="0.26"/>
    <n v="1.7"/>
    <n v="0.35"/>
    <n v="1.02"/>
    <n v="0.21"/>
    <n v="7.91"/>
    <n v="1.98"/>
    <n v="5.07"/>
    <n v="1.1599999999999999"/>
    <n v="0.59"/>
    <n v="0.09"/>
  </r>
  <r>
    <x v="0"/>
    <m/>
    <x v="9"/>
    <n v="2024"/>
    <x v="4"/>
    <x v="2"/>
    <x v="8"/>
    <n v="14.42"/>
    <n v="0.61"/>
    <x v="12"/>
    <x v="0"/>
    <x v="0"/>
    <x v="0"/>
    <x v="0"/>
    <m/>
    <s v="Nm/kg"/>
    <m/>
    <m/>
    <m/>
    <m/>
    <n v="2.7"/>
    <n v="0.26"/>
    <n v="1.62"/>
    <n v="0.12"/>
    <n v="1.77"/>
    <n v="0.21"/>
    <n v="1.1000000000000001"/>
    <n v="0.13"/>
    <n v="8.2200000000000006"/>
    <n v="1.1599999999999999"/>
    <n v="5.74"/>
    <n v="0.75"/>
    <n v="0.61"/>
    <n v="0.08"/>
  </r>
  <r>
    <x v="1"/>
    <m/>
    <x v="9"/>
    <n v="2024"/>
    <x v="4"/>
    <x v="2"/>
    <x v="7"/>
    <n v="14.53"/>
    <n v="0.68"/>
    <x v="10"/>
    <x v="0"/>
    <x v="0"/>
    <x v="0"/>
    <x v="0"/>
    <m/>
    <s v="Nm/kg"/>
    <m/>
    <m/>
    <m/>
    <m/>
    <n v="1.41"/>
    <n v="0.18"/>
    <n v="0.84"/>
    <n v="0.15"/>
    <n v="3.28"/>
    <n v="0.55000000000000004"/>
    <n v="1.18"/>
    <n v="0.6"/>
    <n v="4.2300000000000004"/>
    <n v="0.72"/>
    <n v="1.71"/>
    <n v="0.84"/>
    <n v="0.61"/>
    <n v="0.14000000000000001"/>
  </r>
  <r>
    <x v="1"/>
    <m/>
    <x v="9"/>
    <n v="2024"/>
    <x v="4"/>
    <x v="2"/>
    <x v="1"/>
    <n v="14.27"/>
    <n v="0.4"/>
    <x v="4"/>
    <x v="0"/>
    <x v="0"/>
    <x v="0"/>
    <x v="0"/>
    <m/>
    <s v="Nm/kg"/>
    <m/>
    <m/>
    <m/>
    <m/>
    <n v="1.5"/>
    <n v="0.16"/>
    <n v="0.92"/>
    <n v="0.13"/>
    <n v="3.86"/>
    <n v="0.48"/>
    <n v="1.79"/>
    <n v="0.49"/>
    <n v="5.05"/>
    <n v="0.59"/>
    <n v="2.65"/>
    <n v="0.66"/>
    <n v="0.62"/>
    <n v="0.06"/>
  </r>
  <r>
    <x v="1"/>
    <m/>
    <x v="9"/>
    <n v="2024"/>
    <x v="4"/>
    <x v="2"/>
    <x v="2"/>
    <n v="14.41"/>
    <n v="0.53"/>
    <x v="11"/>
    <x v="0"/>
    <x v="0"/>
    <x v="0"/>
    <x v="0"/>
    <m/>
    <s v="Nm/kg"/>
    <m/>
    <m/>
    <m/>
    <m/>
    <n v="1.43"/>
    <n v="0.21"/>
    <n v="0.96"/>
    <n v="0.11"/>
    <n v="3.74"/>
    <n v="0.86"/>
    <n v="1.81"/>
    <n v="0.67"/>
    <n v="5.16"/>
    <n v="1.27"/>
    <n v="2.79"/>
    <n v="1.02"/>
    <n v="0.68"/>
    <n v="0.1"/>
  </r>
  <r>
    <x v="1"/>
    <m/>
    <x v="9"/>
    <n v="2024"/>
    <x v="4"/>
    <x v="2"/>
    <x v="8"/>
    <n v="14.42"/>
    <n v="0.61"/>
    <x v="12"/>
    <x v="0"/>
    <x v="0"/>
    <x v="0"/>
    <x v="0"/>
    <m/>
    <s v="Nm/kg"/>
    <m/>
    <m/>
    <m/>
    <m/>
    <n v="1.47"/>
    <n v="0.22"/>
    <n v="0.96"/>
    <n v="0.21"/>
    <n v="3.86"/>
    <n v="0.75"/>
    <n v="1.84"/>
    <n v="0.56999999999999995"/>
    <n v="5.29"/>
    <n v="0.88"/>
    <n v="2.77"/>
    <n v="0.81"/>
    <n v="0.66"/>
    <n v="0.12"/>
  </r>
  <r>
    <x v="2"/>
    <m/>
    <x v="9"/>
    <n v="2024"/>
    <x v="4"/>
    <x v="2"/>
    <x v="7"/>
    <n v="14.53"/>
    <n v="0.68"/>
    <x v="10"/>
    <x v="0"/>
    <x v="0"/>
    <x v="0"/>
    <x v="0"/>
    <m/>
    <s v="Nm/kg"/>
    <m/>
    <m/>
    <m/>
    <m/>
    <n v="1.91"/>
    <n v="0.34"/>
    <n v="0.99"/>
    <n v="0.18"/>
    <n v="3.36"/>
    <n v="0.71"/>
    <n v="1.63"/>
    <n v="0.53"/>
    <n v="6.05"/>
    <n v="1.1200000000000001"/>
    <n v="3.05"/>
    <n v="0.97"/>
    <n v="0.52"/>
    <n v="0.06"/>
  </r>
  <r>
    <x v="2"/>
    <m/>
    <x v="9"/>
    <n v="2024"/>
    <x v="4"/>
    <x v="2"/>
    <x v="1"/>
    <n v="14.27"/>
    <n v="0.4"/>
    <x v="4"/>
    <x v="0"/>
    <x v="0"/>
    <x v="0"/>
    <x v="0"/>
    <m/>
    <s v="Nm/kg"/>
    <m/>
    <m/>
    <m/>
    <m/>
    <n v="2.0099999999999998"/>
    <n v="0.16"/>
    <n v="0.99"/>
    <n v="0.18"/>
    <n v="3.73"/>
    <n v="0.44"/>
    <n v="2.0299999999999998"/>
    <n v="0.31"/>
    <n v="6.89"/>
    <n v="0.98"/>
    <n v="4.1500000000000004"/>
    <n v="0.64"/>
    <n v="0.56000000000000005"/>
    <n v="0.06"/>
  </r>
  <r>
    <x v="2"/>
    <m/>
    <x v="9"/>
    <n v="2024"/>
    <x v="4"/>
    <x v="2"/>
    <x v="2"/>
    <n v="14.41"/>
    <n v="0.53"/>
    <x v="11"/>
    <x v="0"/>
    <x v="0"/>
    <x v="0"/>
    <x v="0"/>
    <m/>
    <s v="Nm/kg"/>
    <m/>
    <m/>
    <m/>
    <m/>
    <n v="1.91"/>
    <n v="0.31"/>
    <n v="1.1599999999999999"/>
    <n v="0.18"/>
    <n v="3.59"/>
    <n v="0.59"/>
    <n v="2.02"/>
    <n v="0.44"/>
    <n v="6.81"/>
    <n v="1.42"/>
    <n v="4.29"/>
    <n v="1.1599999999999999"/>
    <n v="0.62"/>
    <n v="0.11"/>
  </r>
  <r>
    <x v="2"/>
    <m/>
    <x v="9"/>
    <n v="2024"/>
    <x v="4"/>
    <x v="2"/>
    <x v="8"/>
    <n v="14.42"/>
    <n v="0.61"/>
    <x v="12"/>
    <x v="0"/>
    <x v="0"/>
    <x v="0"/>
    <x v="0"/>
    <m/>
    <s v="Nm/kg"/>
    <m/>
    <m/>
    <m/>
    <m/>
    <n v="1.96"/>
    <n v="0.2"/>
    <n v="1.1499999999999999"/>
    <n v="0.13"/>
    <n v="3.67"/>
    <n v="0.38"/>
    <n v="2.1"/>
    <n v="0.33"/>
    <n v="7.04"/>
    <n v="0.8"/>
    <n v="4.6900000000000004"/>
    <n v="1.1299999999999999"/>
    <n v="0.59"/>
    <n v="0.05"/>
  </r>
  <r>
    <x v="0"/>
    <s v="Performance data on pre-season tests"/>
    <x v="10"/>
    <n v="2010"/>
    <x v="4"/>
    <x v="3"/>
    <x v="0"/>
    <n v="22.6"/>
    <n v="5.2"/>
    <x v="13"/>
    <x v="3"/>
    <x v="0"/>
    <x v="0"/>
    <x v="0"/>
    <s v="Nm"/>
    <s v="Nm/kg"/>
    <n v="263"/>
    <n v="37"/>
    <n v="162"/>
    <n v="35"/>
    <n v="3.52"/>
    <n v="0.65"/>
    <n v="2.17"/>
    <n v="0.55000000000000004"/>
    <m/>
    <m/>
    <m/>
    <m/>
    <m/>
    <m/>
    <m/>
    <m/>
    <n v="0.62"/>
    <n v="0.11"/>
  </r>
  <r>
    <x v="0"/>
    <s v="Performance data on pre-season tests"/>
    <x v="10"/>
    <n v="2010"/>
    <x v="4"/>
    <x v="3"/>
    <x v="0"/>
    <n v="22.6"/>
    <n v="5.2"/>
    <x v="13"/>
    <x v="4"/>
    <x v="0"/>
    <x v="0"/>
    <x v="0"/>
    <s v="Nm"/>
    <s v="Nm/kg"/>
    <n v="262"/>
    <n v="46"/>
    <n v="151"/>
    <n v="27"/>
    <n v="3.49"/>
    <n v="0.69"/>
    <n v="2.0299999999999998"/>
    <n v="0.41"/>
    <m/>
    <m/>
    <m/>
    <m/>
    <m/>
    <m/>
    <m/>
    <m/>
    <n v="0.57999999999999996"/>
    <n v="7.0000000000000007E-2"/>
  </r>
  <r>
    <x v="0"/>
    <s v="11 players (31%) had previous hamstring injuries."/>
    <x v="10"/>
    <n v="2010"/>
    <x v="4"/>
    <x v="3"/>
    <x v="0"/>
    <n v="22.6"/>
    <n v="5.2"/>
    <x v="13"/>
    <x v="3"/>
    <x v="0"/>
    <x v="0"/>
    <x v="0"/>
    <s v="Nm"/>
    <s v="Nm/kg"/>
    <n v="263"/>
    <n v="37"/>
    <n v="162"/>
    <n v="35"/>
    <n v="3.52"/>
    <n v="0.65"/>
    <n v="2.17"/>
    <n v="0.55000000000000004"/>
    <m/>
    <m/>
    <m/>
    <m/>
    <m/>
    <m/>
    <m/>
    <m/>
    <n v="0.62"/>
    <n v="0.11"/>
  </r>
  <r>
    <x v="0"/>
    <s v="11 players (31%) had previous hamstring injuries."/>
    <x v="10"/>
    <n v="2010"/>
    <x v="4"/>
    <x v="3"/>
    <x v="0"/>
    <n v="22.6"/>
    <n v="5.2"/>
    <x v="13"/>
    <x v="4"/>
    <x v="0"/>
    <x v="0"/>
    <x v="0"/>
    <s v="Nm"/>
    <s v="Nm/kg"/>
    <n v="262"/>
    <n v="46"/>
    <n v="151"/>
    <n v="27"/>
    <n v="3.49"/>
    <n v="0.62"/>
    <n v="2.0299999999999998"/>
    <n v="0.41"/>
    <m/>
    <m/>
    <m/>
    <m/>
    <m/>
    <m/>
    <m/>
    <m/>
    <n v="0.57999999999999996"/>
    <n v="7.0000000000000007E-2"/>
  </r>
  <r>
    <x v="1"/>
    <m/>
    <x v="10"/>
    <n v="2010"/>
    <x v="4"/>
    <x v="3"/>
    <x v="0"/>
    <n v="22.6"/>
    <n v="5.2"/>
    <x v="13"/>
    <x v="3"/>
    <x v="0"/>
    <x v="0"/>
    <x v="0"/>
    <s v="Nm"/>
    <s v="Nm/kg"/>
    <n v="157"/>
    <n v="23"/>
    <n v="104"/>
    <n v="21"/>
    <n v="2.11"/>
    <n v="0.43"/>
    <n v="1.39"/>
    <n v="0.35"/>
    <m/>
    <m/>
    <m/>
    <m/>
    <m/>
    <m/>
    <m/>
    <m/>
    <n v="0.66"/>
    <n v="0.09"/>
  </r>
  <r>
    <x v="1"/>
    <m/>
    <x v="10"/>
    <n v="2010"/>
    <x v="4"/>
    <x v="3"/>
    <x v="0"/>
    <n v="22.6"/>
    <n v="5.2"/>
    <x v="13"/>
    <x v="4"/>
    <x v="0"/>
    <x v="0"/>
    <x v="0"/>
    <s v="Nm"/>
    <s v="Nm/kg"/>
    <n v="149"/>
    <n v="24"/>
    <n v="99"/>
    <n v="21"/>
    <n v="2.13"/>
    <n v="0.42"/>
    <n v="1.33"/>
    <n v="0.32"/>
    <m/>
    <m/>
    <m/>
    <m/>
    <m/>
    <m/>
    <m/>
    <m/>
    <n v="0.62"/>
    <n v="0.1"/>
  </r>
  <r>
    <x v="1"/>
    <s v="11 players (31%) had previous hamstring injuries."/>
    <x v="10"/>
    <n v="2009"/>
    <x v="4"/>
    <x v="3"/>
    <x v="0"/>
    <n v="22.6"/>
    <n v="5.2"/>
    <x v="13"/>
    <x v="4"/>
    <x v="0"/>
    <x v="0"/>
    <x v="0"/>
    <s v="Nm"/>
    <s v="Nm/kg"/>
    <n v="157"/>
    <n v="23"/>
    <n v="104"/>
    <n v="21"/>
    <n v="2.11"/>
    <n v="0.43"/>
    <n v="1.39"/>
    <n v="0.35"/>
    <m/>
    <m/>
    <m/>
    <m/>
    <m/>
    <m/>
    <m/>
    <m/>
    <n v="0.66"/>
    <n v="0.09"/>
  </r>
  <r>
    <x v="1"/>
    <s v="11 players (31%) had previous hamstring injuries."/>
    <x v="10"/>
    <n v="2009"/>
    <x v="4"/>
    <x v="3"/>
    <x v="0"/>
    <n v="22.6"/>
    <n v="5.2"/>
    <x v="13"/>
    <x v="4"/>
    <x v="0"/>
    <x v="0"/>
    <x v="0"/>
    <s v="Nm"/>
    <s v="Nm/kg"/>
    <n v="159"/>
    <n v="24"/>
    <n v="99"/>
    <n v="21"/>
    <n v="2.13"/>
    <n v="0.42"/>
    <n v="1.33"/>
    <n v="0.32"/>
    <m/>
    <m/>
    <m/>
    <m/>
    <m/>
    <m/>
    <m/>
    <m/>
    <n v="0.62"/>
    <n v="0.1"/>
  </r>
  <r>
    <x v="2"/>
    <m/>
    <x v="10"/>
    <n v="2010"/>
    <x v="4"/>
    <x v="3"/>
    <x v="0"/>
    <n v="22.6"/>
    <n v="5.2"/>
    <x v="13"/>
    <x v="3"/>
    <x v="0"/>
    <x v="0"/>
    <x v="0"/>
    <s v="Nm"/>
    <s v="Nm/kg"/>
    <n v="193"/>
    <n v="28"/>
    <n v="121"/>
    <n v="25"/>
    <n v="2.59"/>
    <n v="0.52"/>
    <n v="1.62"/>
    <n v="0.35"/>
    <m/>
    <m/>
    <m/>
    <m/>
    <m/>
    <m/>
    <m/>
    <m/>
    <n v="0.63"/>
    <n v="0.1"/>
  </r>
  <r>
    <x v="2"/>
    <m/>
    <x v="10"/>
    <n v="2010"/>
    <x v="4"/>
    <x v="3"/>
    <x v="0"/>
    <n v="22.6"/>
    <n v="5.2"/>
    <x v="13"/>
    <x v="4"/>
    <x v="0"/>
    <x v="0"/>
    <x v="0"/>
    <s v="Nm"/>
    <s v="Nm/kg"/>
    <n v="201"/>
    <n v="30"/>
    <n v="125"/>
    <n v="21"/>
    <n v="2.69"/>
    <n v="0.55000000000000004"/>
    <n v="1.68"/>
    <n v="0.35"/>
    <m/>
    <m/>
    <m/>
    <m/>
    <m/>
    <m/>
    <m/>
    <m/>
    <n v="0.63"/>
    <n v="0.11"/>
  </r>
  <r>
    <x v="2"/>
    <s v="11 players (31%) had previous hamstring injuries."/>
    <x v="10"/>
    <n v="2010"/>
    <x v="4"/>
    <x v="3"/>
    <x v="0"/>
    <n v="22.6"/>
    <n v="5.2"/>
    <x v="13"/>
    <x v="3"/>
    <x v="0"/>
    <x v="0"/>
    <x v="0"/>
    <s v="Nm"/>
    <s v="Nm/kg"/>
    <n v="193"/>
    <n v="28"/>
    <n v="121"/>
    <n v="25"/>
    <n v="2.59"/>
    <n v="0.52"/>
    <n v="1.62"/>
    <n v="0.35"/>
    <m/>
    <m/>
    <m/>
    <m/>
    <m/>
    <m/>
    <m/>
    <m/>
    <n v="0.63"/>
    <n v="0.1"/>
  </r>
  <r>
    <x v="2"/>
    <s v="11 players (31%) had previous hamstring injuries."/>
    <x v="10"/>
    <n v="2010"/>
    <x v="4"/>
    <x v="3"/>
    <x v="0"/>
    <n v="22.6"/>
    <n v="5.2"/>
    <x v="13"/>
    <x v="4"/>
    <x v="0"/>
    <x v="0"/>
    <x v="0"/>
    <s v="Nm"/>
    <s v="Nm/kg"/>
    <n v="201"/>
    <n v="30"/>
    <n v="125"/>
    <n v="21"/>
    <n v="2.69"/>
    <n v="0.55000000000000004"/>
    <n v="1.68"/>
    <n v="0.35"/>
    <m/>
    <m/>
    <m/>
    <m/>
    <m/>
    <m/>
    <m/>
    <m/>
    <n v="0.63"/>
    <n v="0.11"/>
  </r>
  <r>
    <x v="1"/>
    <s v="These were originally analyzed separately, but the authors found no statistically significant differences between these subgroups. Therefore, for analysis purposes, they were grouped together as one category"/>
    <x v="11"/>
    <n v="1988"/>
    <x v="9"/>
    <x v="0"/>
    <x v="9"/>
    <m/>
    <m/>
    <x v="3"/>
    <x v="7"/>
    <x v="0"/>
    <x v="0"/>
    <x v="1"/>
    <s v="Nm"/>
    <s v="Nm/kg"/>
    <n v="143.1"/>
    <n v="6.1"/>
    <n v="122.7"/>
    <n v="5.2"/>
    <n v="1.76"/>
    <n v="0.06"/>
    <n v="1.51"/>
    <n v="0.05"/>
    <m/>
    <m/>
    <m/>
    <m/>
    <m/>
    <m/>
    <m/>
    <m/>
    <n v="0.89"/>
    <m/>
  </r>
  <r>
    <x v="1"/>
    <s v="These were originally analyzed separately, but the authors found no statistically significant differences between these subgroups. Therefore, for analysis purposes, they were grouped together as one category"/>
    <x v="11"/>
    <n v="1988"/>
    <x v="9"/>
    <x v="0"/>
    <x v="9"/>
    <m/>
    <m/>
    <x v="3"/>
    <x v="8"/>
    <x v="0"/>
    <x v="0"/>
    <x v="1"/>
    <s v="Nm"/>
    <s v="Nm/kg"/>
    <n v="142.4"/>
    <n v="5.3"/>
    <n v="121.6"/>
    <n v="5.0999999999999996"/>
    <n v="1.75"/>
    <n v="0.05"/>
    <n v="1.5"/>
    <n v="0.04"/>
    <m/>
    <m/>
    <m/>
    <m/>
    <m/>
    <m/>
    <m/>
    <m/>
    <n v="0.88"/>
    <m/>
  </r>
  <r>
    <x v="1"/>
    <s v="NCAA Division II University Football Players"/>
    <x v="11"/>
    <n v="1988"/>
    <x v="9"/>
    <x v="0"/>
    <x v="10"/>
    <m/>
    <m/>
    <x v="14"/>
    <x v="7"/>
    <x v="0"/>
    <x v="0"/>
    <x v="1"/>
    <s v="Nm"/>
    <s v="Nm/kg"/>
    <n v="148.4"/>
    <n v="3.9"/>
    <n v="135.5"/>
    <n v="5.5"/>
    <n v="1.35"/>
    <n v="0.06"/>
    <n v="1.23"/>
    <n v="0.06"/>
    <m/>
    <m/>
    <m/>
    <m/>
    <m/>
    <m/>
    <m/>
    <m/>
    <n v="0.89"/>
    <m/>
  </r>
  <r>
    <x v="1"/>
    <s v="NCAA Division II University Football Players"/>
    <x v="11"/>
    <n v="1988"/>
    <x v="9"/>
    <x v="0"/>
    <x v="10"/>
    <m/>
    <m/>
    <x v="14"/>
    <x v="8"/>
    <x v="0"/>
    <x v="0"/>
    <x v="1"/>
    <s v="Nm"/>
    <s v="Nm/kg"/>
    <n v="155.9"/>
    <n v="4.2"/>
    <n v="140"/>
    <n v="3.8"/>
    <n v="1.42"/>
    <n v="0.04"/>
    <n v="1.27"/>
    <n v="0.04"/>
    <m/>
    <m/>
    <m/>
    <m/>
    <m/>
    <m/>
    <m/>
    <m/>
    <n v="0.88"/>
    <m/>
  </r>
  <r>
    <x v="1"/>
    <s v="NCAA Division II University Football Players"/>
    <x v="11"/>
    <n v="1988"/>
    <x v="9"/>
    <x v="0"/>
    <x v="11"/>
    <m/>
    <m/>
    <x v="3"/>
    <x v="7"/>
    <x v="0"/>
    <x v="0"/>
    <x v="1"/>
    <s v="Nm"/>
    <s v="Nm/kg"/>
    <n v="148.4"/>
    <n v="4.5"/>
    <n v="130.30000000000001"/>
    <n v="4.8"/>
    <n v="1.48"/>
    <n v="0.04"/>
    <n v="1.3"/>
    <n v="0.04"/>
    <m/>
    <m/>
    <m/>
    <m/>
    <m/>
    <m/>
    <m/>
    <m/>
    <n v="0.91"/>
    <m/>
  </r>
  <r>
    <x v="1"/>
    <s v="NCAA Division II University Football Players"/>
    <x v="11"/>
    <n v="1988"/>
    <x v="9"/>
    <x v="0"/>
    <x v="11"/>
    <m/>
    <m/>
    <x v="3"/>
    <x v="8"/>
    <x v="0"/>
    <x v="0"/>
    <x v="1"/>
    <s v="Nm"/>
    <s v="Nm/kg"/>
    <n v="156.9"/>
    <n v="3.7"/>
    <n v="138"/>
    <n v="3.9"/>
    <n v="1.57"/>
    <n v="0.04"/>
    <n v="1.38"/>
    <n v="0.05"/>
    <m/>
    <m/>
    <m/>
    <m/>
    <m/>
    <m/>
    <m/>
    <m/>
    <n v="0.9"/>
    <m/>
  </r>
  <r>
    <x v="1"/>
    <s v="NCAA Division II University Football Players"/>
    <x v="11"/>
    <n v="1988"/>
    <x v="9"/>
    <x v="0"/>
    <x v="11"/>
    <m/>
    <m/>
    <x v="3"/>
    <x v="7"/>
    <x v="0"/>
    <x v="0"/>
    <x v="1"/>
    <s v="Nm"/>
    <s v="Nm/kg"/>
    <n v="139.69999999999999"/>
    <n v="4.8"/>
    <n v="125.2"/>
    <n v="3.7"/>
    <n v="1.68"/>
    <n v="0.05"/>
    <n v="1.51"/>
    <n v="0.04"/>
    <m/>
    <m/>
    <m/>
    <m/>
    <m/>
    <m/>
    <m/>
    <m/>
    <n v="0.85"/>
    <m/>
  </r>
  <r>
    <x v="1"/>
    <s v="NCAA Division II University Football Players"/>
    <x v="11"/>
    <n v="1988"/>
    <x v="9"/>
    <x v="0"/>
    <x v="11"/>
    <m/>
    <m/>
    <x v="3"/>
    <x v="8"/>
    <x v="0"/>
    <x v="0"/>
    <x v="1"/>
    <s v="Nm"/>
    <s v="Nm/kg"/>
    <n v="138.69999999999999"/>
    <n v="4.0999999999999996"/>
    <n v="122.4"/>
    <n v="3.4"/>
    <n v="1.67"/>
    <n v="0.05"/>
    <n v="1.48"/>
    <n v="0.04"/>
    <m/>
    <m/>
    <m/>
    <m/>
    <m/>
    <m/>
    <m/>
    <m/>
    <n v="0.85"/>
    <m/>
  </r>
  <r>
    <x v="2"/>
    <s v="These were originally analyzed separately, but the authors found no statistically significant differences between these subgroups. Therefore, for analysis purposes, they were grouped together as one category"/>
    <x v="11"/>
    <n v="1988"/>
    <x v="9"/>
    <x v="0"/>
    <x v="9"/>
    <m/>
    <m/>
    <x v="3"/>
    <x v="7"/>
    <x v="0"/>
    <x v="0"/>
    <x v="1"/>
    <s v="Nm"/>
    <s v="Nm/kg"/>
    <n v="195.1"/>
    <n v="5.4"/>
    <n v="150.80000000000001"/>
    <n v="6.3"/>
    <n v="2.4"/>
    <n v="0.06"/>
    <n v="1.86"/>
    <n v="0.05"/>
    <m/>
    <m/>
    <m/>
    <m/>
    <m/>
    <m/>
    <m/>
    <m/>
    <n v="0.77"/>
    <m/>
  </r>
  <r>
    <x v="2"/>
    <s v="These were originally analyzed separately, but the authors found no statistically significant differences between these subgroups. Therefore, for analysis purposes, they were grouped together as one category"/>
    <x v="11"/>
    <n v="1988"/>
    <x v="9"/>
    <x v="0"/>
    <x v="9"/>
    <m/>
    <m/>
    <x v="3"/>
    <x v="8"/>
    <x v="0"/>
    <x v="0"/>
    <x v="1"/>
    <s v="Nm"/>
    <s v="Nm/kg"/>
    <n v="193"/>
    <n v="6.4"/>
    <n v="146.4"/>
    <n v="6"/>
    <n v="2.38"/>
    <n v="0.06"/>
    <n v="1.8"/>
    <n v="0.05"/>
    <m/>
    <m/>
    <m/>
    <m/>
    <m/>
    <m/>
    <m/>
    <m/>
    <n v="0.76"/>
    <m/>
  </r>
  <r>
    <x v="2"/>
    <s v="NCAA Division II University Football Players"/>
    <x v="11"/>
    <n v="1988"/>
    <x v="9"/>
    <x v="0"/>
    <x v="10"/>
    <m/>
    <m/>
    <x v="14"/>
    <x v="7"/>
    <x v="0"/>
    <x v="0"/>
    <x v="1"/>
    <s v="Nm"/>
    <s v="Nm/kg"/>
    <n v="206.5"/>
    <n v="6.7"/>
    <n v="163.30000000000001"/>
    <n v="4.8"/>
    <n v="1.87"/>
    <n v="7.0000000000000007E-2"/>
    <n v="1.48"/>
    <n v="0.05"/>
    <m/>
    <m/>
    <m/>
    <m/>
    <m/>
    <m/>
    <m/>
    <m/>
    <n v="0.8"/>
    <m/>
  </r>
  <r>
    <x v="2"/>
    <s v="NCAA Division II University Football Players"/>
    <x v="11"/>
    <n v="1988"/>
    <x v="9"/>
    <x v="0"/>
    <x v="10"/>
    <m/>
    <m/>
    <x v="14"/>
    <x v="8"/>
    <x v="0"/>
    <x v="0"/>
    <x v="1"/>
    <s v="Nm"/>
    <s v="Nm/kg"/>
    <n v="209.2"/>
    <n v="8"/>
    <n v="166.8"/>
    <n v="6.6"/>
    <n v="1.9"/>
    <n v="0.06"/>
    <n v="1.51"/>
    <n v="0.06"/>
    <m/>
    <m/>
    <m/>
    <m/>
    <m/>
    <m/>
    <m/>
    <m/>
    <n v="0.8"/>
    <m/>
  </r>
  <r>
    <x v="2"/>
    <s v="NCAA Division II University Football Players"/>
    <x v="11"/>
    <n v="1988"/>
    <x v="9"/>
    <x v="0"/>
    <x v="12"/>
    <m/>
    <m/>
    <x v="14"/>
    <x v="7"/>
    <x v="0"/>
    <x v="0"/>
    <x v="1"/>
    <s v="Nm"/>
    <s v="Nm/kg"/>
    <n v="204.7"/>
    <n v="4.3"/>
    <n v="163.4"/>
    <n v="3.9"/>
    <n v="2.0499999999999998"/>
    <n v="0.04"/>
    <n v="1.63"/>
    <n v="0.03"/>
    <m/>
    <m/>
    <m/>
    <m/>
    <m/>
    <m/>
    <m/>
    <m/>
    <n v="0.8"/>
    <m/>
  </r>
  <r>
    <x v="2"/>
    <s v="NCAA Division II University Football Players"/>
    <x v="11"/>
    <n v="1988"/>
    <x v="9"/>
    <x v="0"/>
    <x v="13"/>
    <m/>
    <m/>
    <x v="3"/>
    <x v="8"/>
    <x v="0"/>
    <x v="0"/>
    <x v="1"/>
    <s v="Nm"/>
    <s v="Nm/kg"/>
    <n v="212.5"/>
    <n v="3.6"/>
    <n v="157.69999999999999"/>
    <n v="4.5999999999999996"/>
    <n v="2.12"/>
    <n v="0.04"/>
    <n v="1.58"/>
    <n v="0.04"/>
    <m/>
    <m/>
    <m/>
    <m/>
    <m/>
    <m/>
    <m/>
    <m/>
    <n v="0.8"/>
    <m/>
  </r>
  <r>
    <x v="2"/>
    <s v="NCAA Division II University Football Players"/>
    <x v="11"/>
    <n v="1988"/>
    <x v="9"/>
    <x v="0"/>
    <x v="13"/>
    <m/>
    <m/>
    <x v="3"/>
    <x v="7"/>
    <x v="0"/>
    <x v="0"/>
    <x v="1"/>
    <s v="Nm"/>
    <s v="Nm/kg"/>
    <n v="195.4"/>
    <n v="6.4"/>
    <n v="148.9"/>
    <n v="5.5"/>
    <n v="2.35"/>
    <n v="0.06"/>
    <n v="1.79"/>
    <n v="0.06"/>
    <m/>
    <m/>
    <m/>
    <m/>
    <m/>
    <m/>
    <m/>
    <m/>
    <n v="0.76"/>
    <m/>
  </r>
  <r>
    <x v="2"/>
    <s v="NCAA Division II University Football Players"/>
    <x v="11"/>
    <n v="1988"/>
    <x v="9"/>
    <x v="0"/>
    <x v="11"/>
    <m/>
    <m/>
    <x v="3"/>
    <x v="8"/>
    <x v="0"/>
    <x v="0"/>
    <x v="1"/>
    <s v="Nm"/>
    <s v="Nm/kg"/>
    <n v="187.7"/>
    <n v="4.4000000000000004"/>
    <n v="137.19999999999999"/>
    <n v="4.7"/>
    <n v="2.2599999999999998"/>
    <n v="0.04"/>
    <n v="1.65"/>
    <n v="0.05"/>
    <m/>
    <m/>
    <m/>
    <m/>
    <m/>
    <m/>
    <m/>
    <m/>
    <n v="0.73"/>
    <m/>
  </r>
  <r>
    <x v="0"/>
    <s v="randomized which limb was tested first"/>
    <x v="12"/>
    <n v="2022"/>
    <x v="4"/>
    <x v="3"/>
    <x v="0"/>
    <n v="24.5"/>
    <n v="3.9"/>
    <x v="15"/>
    <x v="8"/>
    <x v="0"/>
    <x v="0"/>
    <x v="0"/>
    <s v="Nm"/>
    <m/>
    <n v="245"/>
    <n v="26.9"/>
    <n v="144.4"/>
    <n v="19"/>
    <m/>
    <m/>
    <m/>
    <m/>
    <m/>
    <m/>
    <m/>
    <m/>
    <m/>
    <m/>
    <m/>
    <m/>
    <m/>
    <m/>
  </r>
  <r>
    <x v="0"/>
    <s v="randomized which limb was tested first"/>
    <x v="12"/>
    <n v="2022"/>
    <x v="4"/>
    <x v="3"/>
    <x v="0"/>
    <n v="24.5"/>
    <n v="3.9"/>
    <x v="15"/>
    <x v="7"/>
    <x v="0"/>
    <x v="0"/>
    <x v="0"/>
    <s v="Nm"/>
    <m/>
    <n v="250.1"/>
    <n v="25.5"/>
    <n v="151.9"/>
    <n v="29"/>
    <m/>
    <m/>
    <m/>
    <m/>
    <m/>
    <m/>
    <m/>
    <m/>
    <m/>
    <m/>
    <m/>
    <m/>
    <m/>
    <m/>
  </r>
  <r>
    <x v="1"/>
    <s v="randomized which limb was tested first"/>
    <x v="12"/>
    <n v="2022"/>
    <x v="4"/>
    <x v="3"/>
    <x v="0"/>
    <n v="24.5"/>
    <n v="3.9"/>
    <x v="15"/>
    <x v="8"/>
    <x v="0"/>
    <x v="0"/>
    <x v="0"/>
    <s v="Nm"/>
    <m/>
    <n v="138"/>
    <n v="16.899999999999999"/>
    <n v="87.1"/>
    <n v="89"/>
    <m/>
    <m/>
    <m/>
    <m/>
    <n v="276.89999999999998"/>
    <n v="41.6"/>
    <n v="165.6"/>
    <n v="38.299999999999997"/>
    <m/>
    <m/>
    <m/>
    <m/>
    <m/>
    <m/>
  </r>
  <r>
    <x v="1"/>
    <s v="randomized which limb was tested first"/>
    <x v="12"/>
    <n v="2022"/>
    <x v="4"/>
    <x v="3"/>
    <x v="0"/>
    <n v="24.5"/>
    <n v="3.9"/>
    <x v="15"/>
    <x v="7"/>
    <x v="0"/>
    <x v="0"/>
    <x v="0"/>
    <s v="Nm"/>
    <m/>
    <n v="132.80000000000001"/>
    <n v="13.6"/>
    <n v="89"/>
    <n v="18.2"/>
    <m/>
    <m/>
    <m/>
    <m/>
    <n v="266.2"/>
    <n v="36"/>
    <n v="161.6"/>
    <n v="44.1"/>
    <m/>
    <m/>
    <m/>
    <m/>
    <m/>
    <m/>
  </r>
  <r>
    <x v="2"/>
    <s v="randomized which limb was tested first"/>
    <x v="12"/>
    <n v="2022"/>
    <x v="4"/>
    <x v="3"/>
    <x v="0"/>
    <n v="24.5"/>
    <n v="3.9"/>
    <x v="15"/>
    <x v="8"/>
    <x v="0"/>
    <x v="0"/>
    <x v="0"/>
    <s v="Nm"/>
    <m/>
    <n v="176.1"/>
    <n v="15.9"/>
    <n v="110.8"/>
    <n v="15.6"/>
    <m/>
    <m/>
    <m/>
    <m/>
    <n v="284.60000000000002"/>
    <n v="29.5"/>
    <n v="178.7"/>
    <n v="30.8"/>
    <m/>
    <m/>
    <m/>
    <m/>
    <m/>
    <m/>
  </r>
  <r>
    <x v="2"/>
    <s v="randomized which limb was tested first"/>
    <x v="12"/>
    <n v="2022"/>
    <x v="4"/>
    <x v="3"/>
    <x v="0"/>
    <n v="24.5"/>
    <n v="3.9"/>
    <x v="15"/>
    <x v="7"/>
    <x v="0"/>
    <x v="0"/>
    <x v="0"/>
    <s v="Nm"/>
    <m/>
    <n v="172"/>
    <n v="13.3"/>
    <n v="113.5"/>
    <n v="18.5"/>
    <m/>
    <m/>
    <m/>
    <m/>
    <n v="275.89999999999998"/>
    <n v="31.2"/>
    <n v="182.9"/>
    <n v="32.9"/>
    <m/>
    <m/>
    <m/>
    <m/>
    <m/>
    <m/>
  </r>
  <r>
    <x v="0"/>
    <m/>
    <x v="13"/>
    <n v="2011"/>
    <x v="2"/>
    <x v="1"/>
    <x v="0"/>
    <n v="19.059999999999999"/>
    <n v="1.86"/>
    <x v="16"/>
    <x v="0"/>
    <x v="0"/>
    <x v="0"/>
    <x v="1"/>
    <s v="Nm"/>
    <s v="Nm/kg"/>
    <n v="235.9"/>
    <n v="34.4"/>
    <n v="158.5"/>
    <n v="26.1"/>
    <n v="3.31"/>
    <n v="0.36"/>
    <n v="2.23"/>
    <n v="0.28999999999999998"/>
    <m/>
    <m/>
    <m/>
    <m/>
    <m/>
    <m/>
    <m/>
    <m/>
    <n v="0.67600000000000005"/>
    <m/>
  </r>
  <r>
    <x v="0"/>
    <s v="7 Years  Played"/>
    <x v="14"/>
    <n v="2020"/>
    <x v="1"/>
    <x v="1"/>
    <x v="0"/>
    <n v="21.8"/>
    <n v="2.2000000000000002"/>
    <x v="15"/>
    <x v="3"/>
    <x v="0"/>
    <x v="0"/>
    <x v="2"/>
    <s v="Nm"/>
    <s v="Nm/kg"/>
    <n v="240.4"/>
    <n v="39.700000000000003"/>
    <n v="134.80000000000001"/>
    <n v="24.2"/>
    <n v="2.6"/>
    <n v="0.4"/>
    <n v="1.4"/>
    <n v="0.3"/>
    <n v="151.9"/>
    <n v="31.4"/>
    <n v="89.2"/>
    <n v="19.5"/>
    <n v="189.4"/>
    <n v="40.9"/>
    <n v="118.1"/>
    <n v="26.2"/>
    <n v="54.9"/>
    <n v="8.1999999999999993"/>
  </r>
  <r>
    <x v="0"/>
    <s v="7 Years  Played"/>
    <x v="14"/>
    <n v="2020"/>
    <x v="1"/>
    <x v="1"/>
    <x v="0"/>
    <n v="21.8"/>
    <n v="2.2000000000000002"/>
    <x v="15"/>
    <x v="4"/>
    <x v="0"/>
    <x v="0"/>
    <x v="2"/>
    <s v="Nm"/>
    <s v="Nm/kg"/>
    <n v="229.4"/>
    <n v="38.799999999999997"/>
    <n v="136.1"/>
    <n v="23.3"/>
    <n v="2.5"/>
    <n v="0.4"/>
    <n v="1.5"/>
    <n v="0.2"/>
    <n v="140.1"/>
    <n v="41.7"/>
    <n v="94.9"/>
    <n v="20.100000000000001"/>
    <n v="185.8"/>
    <n v="35.700000000000003"/>
    <n v="125.2"/>
    <n v="23"/>
    <n v="59.3"/>
    <n v="10"/>
  </r>
  <r>
    <x v="1"/>
    <s v="7 Years  Played"/>
    <x v="14"/>
    <n v="2020"/>
    <x v="1"/>
    <x v="1"/>
    <x v="0"/>
    <n v="21.8"/>
    <n v="2.2000000000000002"/>
    <x v="15"/>
    <x v="3"/>
    <x v="0"/>
    <x v="0"/>
    <x v="2"/>
    <s v="Nm"/>
    <s v="Nm/kg"/>
    <n v="147.19999999999999"/>
    <n v="24.5"/>
    <n v="109"/>
    <n v="26.6"/>
    <n v="1.4"/>
    <n v="0.2"/>
    <n v="1.4"/>
    <n v="0.2"/>
    <n v="230.8"/>
    <n v="51.9"/>
    <n v="156.80000000000001"/>
    <n v="36.1"/>
    <n v="87.8"/>
    <n v="15.3"/>
    <n v="66.7"/>
    <n v="12.5"/>
    <n v="74"/>
    <n v="17.899999999999999"/>
  </r>
  <r>
    <x v="1"/>
    <s v="7 Years  Played"/>
    <x v="14"/>
    <n v="2020"/>
    <x v="1"/>
    <x v="1"/>
    <x v="0"/>
    <n v="21.8"/>
    <n v="2.2000000000000002"/>
    <x v="15"/>
    <x v="4"/>
    <x v="0"/>
    <x v="0"/>
    <x v="2"/>
    <s v="Nm"/>
    <s v="Nm/kg"/>
    <n v="150.6"/>
    <n v="20.8"/>
    <n v="108.5"/>
    <n v="22.6"/>
    <n v="1.4"/>
    <n v="0.2"/>
    <n v="1.4"/>
    <n v="0.2"/>
    <n v="224.1"/>
    <n v="37.700000000000003"/>
    <n v="163.69999999999999"/>
    <n v="36.700000000000003"/>
    <n v="88.5"/>
    <n v="11.7"/>
    <n v="67.900000000000006"/>
    <n v="12.1"/>
    <n v="72.099999999999994"/>
    <n v="11.4"/>
  </r>
  <r>
    <x v="2"/>
    <s v="7 Years  Played"/>
    <x v="14"/>
    <n v="2020"/>
    <x v="1"/>
    <x v="1"/>
    <x v="0"/>
    <n v="21.8"/>
    <n v="2.2000000000000002"/>
    <x v="15"/>
    <x v="3"/>
    <x v="0"/>
    <x v="0"/>
    <x v="2"/>
    <s v="Nm"/>
    <s v="Nm/kg"/>
    <n v="179.3"/>
    <n v="24.9"/>
    <n v="120.8"/>
    <n v="21.4"/>
    <n v="1.9"/>
    <n v="0.2"/>
    <n v="1.2"/>
    <n v="0.2"/>
    <n v="256.10000000000002"/>
    <n v="36.799999999999997"/>
    <n v="167"/>
    <n v="30.8"/>
    <n v="133.80000000000001"/>
    <n v="17.100000000000001"/>
    <n v="92.3"/>
    <n v="13.2"/>
    <n v="66.900000000000006"/>
    <n v="9.3000000000000007"/>
  </r>
  <r>
    <x v="2"/>
    <s v="7 Years  Played"/>
    <x v="14"/>
    <n v="2020"/>
    <x v="1"/>
    <x v="1"/>
    <x v="0"/>
    <n v="21.8"/>
    <n v="2.2000000000000002"/>
    <x v="15"/>
    <x v="4"/>
    <x v="0"/>
    <x v="0"/>
    <x v="2"/>
    <s v="Nm"/>
    <s v="Nm/kg"/>
    <n v="173.3"/>
    <n v="25.2"/>
    <n v="122.2"/>
    <n v="21.2"/>
    <n v="1.8"/>
    <n v="0.2"/>
    <n v="1.2"/>
    <n v="0.2"/>
    <n v="240.4"/>
    <n v="40.799999999999997"/>
    <n v="172.5"/>
    <n v="38"/>
    <n v="130.1"/>
    <n v="20.399999999999999"/>
    <n v="96.3"/>
    <n v="18.100000000000001"/>
    <n v="71.3"/>
    <n v="9.1"/>
  </r>
  <r>
    <x v="2"/>
    <s v="Currently ranked by the United States Tennis Association (USTA),"/>
    <x v="15"/>
    <n v="2004"/>
    <x v="10"/>
    <x v="2"/>
    <x v="0"/>
    <n v="14.97"/>
    <n v="1.36"/>
    <x v="17"/>
    <x v="0"/>
    <x v="0"/>
    <x v="0"/>
    <x v="0"/>
    <s v="Ft*Lb"/>
    <m/>
    <n v="113.91"/>
    <n v="35.340000000000003"/>
    <n v="67.650000000000006"/>
    <n v="20.61"/>
    <m/>
    <m/>
    <m/>
    <m/>
    <n v="227.86"/>
    <n v="64.44"/>
    <n v="138.55000000000001"/>
    <n v="39.369999999999997"/>
    <n v="39.46"/>
    <m/>
    <m/>
    <m/>
    <m/>
    <m/>
  </r>
  <r>
    <x v="2"/>
    <s v="Currently ranked by the United States Tennis Association (USTA),"/>
    <x v="15"/>
    <n v="2004"/>
    <x v="10"/>
    <x v="2"/>
    <x v="0"/>
    <n v="14.97"/>
    <n v="1.36"/>
    <x v="6"/>
    <x v="0"/>
    <x v="2"/>
    <x v="0"/>
    <x v="0"/>
    <s v="Ft*Lb"/>
    <m/>
    <n v="86.89"/>
    <n v="7.53"/>
    <n v="47.4"/>
    <n v="13.45"/>
    <m/>
    <m/>
    <m/>
    <m/>
    <n v="171.84"/>
    <n v="29.61"/>
    <n v="100.54"/>
    <n v="25.36"/>
    <n v="39.369999999999997"/>
    <m/>
    <m/>
    <m/>
    <m/>
    <m/>
  </r>
  <r>
    <x v="2"/>
    <s v="Entire Group,  Currently ranked by the United States Tennis Association (USTA),"/>
    <x v="15"/>
    <n v="2004"/>
    <x v="10"/>
    <x v="2"/>
    <x v="0"/>
    <n v="14.97"/>
    <n v="1.36"/>
    <x v="18"/>
    <x v="0"/>
    <x v="1"/>
    <x v="0"/>
    <x v="0"/>
    <s v="Ft*Lb"/>
    <m/>
    <n v="105.47"/>
    <n v="33.590000000000003"/>
    <n v="61.32"/>
    <n v="20.76"/>
    <m/>
    <m/>
    <m/>
    <m/>
    <n v="210.36"/>
    <n v="61.36"/>
    <n v="126.68"/>
    <n v="39.46"/>
    <n v="25.36"/>
    <m/>
    <m/>
    <m/>
    <m/>
    <m/>
  </r>
  <r>
    <x v="0"/>
    <s v="Spanish Handball Team"/>
    <x v="16"/>
    <n v="2014"/>
    <x v="11"/>
    <x v="0"/>
    <x v="0"/>
    <n v="27.68"/>
    <n v="4.12"/>
    <x v="19"/>
    <x v="3"/>
    <x v="0"/>
    <x v="0"/>
    <x v="0"/>
    <s v="Nm"/>
    <s v="Nm/kg"/>
    <n v="267.60000000000002"/>
    <n v="46.4"/>
    <n v="166"/>
    <n v="44.4"/>
    <n v="2.91"/>
    <n v="0.53"/>
    <n v="1.76"/>
    <n v="0.28999999999999998"/>
    <m/>
    <m/>
    <m/>
    <m/>
    <m/>
    <m/>
    <m/>
    <m/>
    <m/>
    <m/>
  </r>
  <r>
    <x v="0"/>
    <s v="Spanish Handball Team"/>
    <x v="16"/>
    <n v="2014"/>
    <x v="11"/>
    <x v="0"/>
    <x v="0"/>
    <n v="27.68"/>
    <n v="4.12"/>
    <x v="19"/>
    <x v="4"/>
    <x v="0"/>
    <x v="0"/>
    <x v="0"/>
    <s v="Nm"/>
    <s v="Nm/kg"/>
    <n v="247.2"/>
    <n v="27.4"/>
    <n v="160.4"/>
    <n v="41.1"/>
    <n v="2.7"/>
    <n v="0.47"/>
    <n v="1.72"/>
    <n v="0.39"/>
    <m/>
    <m/>
    <m/>
    <m/>
    <m/>
    <m/>
    <m/>
    <m/>
    <m/>
    <m/>
  </r>
  <r>
    <x v="2"/>
    <s v="Spanish Handball Team"/>
    <x v="16"/>
    <n v="2014"/>
    <x v="11"/>
    <x v="0"/>
    <x v="0"/>
    <n v="27.68"/>
    <n v="4.12"/>
    <x v="19"/>
    <x v="3"/>
    <x v="0"/>
    <x v="0"/>
    <x v="0"/>
    <s v="Nm"/>
    <s v="Nm/kg"/>
    <n v="176.4"/>
    <n v="29.6"/>
    <n v="122.4"/>
    <n v="33.9"/>
    <n v="1.9"/>
    <n v="0.31"/>
    <n v="1.3"/>
    <n v="0.23"/>
    <m/>
    <m/>
    <m/>
    <m/>
    <m/>
    <m/>
    <m/>
    <m/>
    <m/>
    <m/>
  </r>
  <r>
    <x v="2"/>
    <s v="Spanish Handball Team"/>
    <x v="16"/>
    <n v="2014"/>
    <x v="11"/>
    <x v="0"/>
    <x v="0"/>
    <n v="27.68"/>
    <n v="4.12"/>
    <x v="19"/>
    <x v="4"/>
    <x v="0"/>
    <x v="0"/>
    <x v="0"/>
    <s v="Nm"/>
    <s v="Nm/kg"/>
    <n v="168.2"/>
    <n v="16.899999999999999"/>
    <n v="119.1"/>
    <n v="38.200000000000003"/>
    <n v="1.83"/>
    <n v="0.28999999999999998"/>
    <n v="1.27"/>
    <n v="0.35"/>
    <m/>
    <m/>
    <m/>
    <m/>
    <m/>
    <m/>
    <m/>
    <m/>
    <m/>
    <m/>
  </r>
  <r>
    <x v="0"/>
    <m/>
    <x v="17"/>
    <n v="2021"/>
    <x v="3"/>
    <x v="1"/>
    <x v="0"/>
    <n v="24.7"/>
    <s v="N/A"/>
    <x v="20"/>
    <x v="11"/>
    <x v="0"/>
    <x v="0"/>
    <x v="0"/>
    <s v="Nm"/>
    <s v="Nm/kg"/>
    <n v="175.9"/>
    <n v="51.2"/>
    <n v="120.9"/>
    <n v="31.5"/>
    <n v="2.31"/>
    <n v="0.52"/>
    <n v="1.61"/>
    <n v="0.33"/>
    <m/>
    <m/>
    <m/>
    <m/>
    <m/>
    <m/>
    <m/>
    <m/>
    <m/>
    <m/>
  </r>
  <r>
    <x v="0"/>
    <m/>
    <x v="17"/>
    <n v="2021"/>
    <x v="3"/>
    <x v="1"/>
    <x v="0"/>
    <n v="24.7"/>
    <s v="N/A"/>
    <x v="20"/>
    <x v="12"/>
    <x v="0"/>
    <x v="0"/>
    <x v="0"/>
    <s v="Nm"/>
    <s v="Nm/kg"/>
    <n v="237"/>
    <n v="56.2"/>
    <n v="132.6"/>
    <n v="31.7"/>
    <n v="3.11"/>
    <n v="0.52"/>
    <n v="1.76"/>
    <n v="0.32"/>
    <m/>
    <m/>
    <m/>
    <m/>
    <m/>
    <m/>
    <m/>
    <m/>
    <m/>
    <m/>
  </r>
  <r>
    <x v="0"/>
    <s v="Excluded ACL Injury and pain"/>
    <x v="18"/>
    <n v="2018"/>
    <x v="11"/>
    <x v="0"/>
    <x v="0"/>
    <n v="20.9"/>
    <n v="2.7"/>
    <x v="21"/>
    <x v="3"/>
    <x v="2"/>
    <x v="0"/>
    <x v="3"/>
    <s v="Nm"/>
    <s v="Nm/kg"/>
    <n v="166.3"/>
    <n v="24.4"/>
    <n v="95.4"/>
    <n v="14.1"/>
    <n v="2.42"/>
    <n v="0.32"/>
    <n v="1.39"/>
    <n v="0.17"/>
    <m/>
    <m/>
    <m/>
    <m/>
    <m/>
    <m/>
    <m/>
    <m/>
    <n v="0.57799999999999996"/>
    <n v="0.72"/>
  </r>
  <r>
    <x v="0"/>
    <s v="Excluded ACL Injury and pain"/>
    <x v="18"/>
    <n v="2018"/>
    <x v="11"/>
    <x v="0"/>
    <x v="0"/>
    <n v="20.9"/>
    <s v="N/A"/>
    <x v="21"/>
    <x v="4"/>
    <x v="2"/>
    <x v="0"/>
    <x v="3"/>
    <s v="Nm"/>
    <s v="Nm/kg"/>
    <n v="165.6"/>
    <n v="22.3"/>
    <n v="93"/>
    <n v="12.6"/>
    <n v="2.41"/>
    <n v="0.28999999999999998"/>
    <n v="1.35"/>
    <n v="0.15"/>
    <m/>
    <m/>
    <m/>
    <m/>
    <m/>
    <m/>
    <m/>
    <m/>
    <n v="0.56599999999999995"/>
    <n v="0.69"/>
  </r>
  <r>
    <x v="0"/>
    <s v="Excluded ACL Injury and pain"/>
    <x v="18"/>
    <n v="2018"/>
    <x v="9"/>
    <x v="0"/>
    <x v="0"/>
    <n v="20.9"/>
    <s v="N/A"/>
    <x v="22"/>
    <x v="3"/>
    <x v="2"/>
    <x v="0"/>
    <x v="3"/>
    <s v="Nm"/>
    <s v="Nm/kg"/>
    <n v="147.69999999999999"/>
    <n v="23.5"/>
    <n v="87.4"/>
    <n v="13.6"/>
    <n v="2.33"/>
    <n v="0.35"/>
    <n v="1.38"/>
    <n v="0.21"/>
    <m/>
    <m/>
    <m/>
    <m/>
    <m/>
    <m/>
    <m/>
    <m/>
    <n v="0.59599999999999997"/>
    <n v="7.5"/>
  </r>
  <r>
    <x v="0"/>
    <s v="Excluded ACL Injury and pain"/>
    <x v="18"/>
    <n v="2018"/>
    <x v="9"/>
    <x v="0"/>
    <x v="0"/>
    <n v="20.9"/>
    <s v="N/A"/>
    <x v="22"/>
    <x v="4"/>
    <x v="2"/>
    <x v="0"/>
    <x v="3"/>
    <s v="Nm"/>
    <s v="Nm/kg"/>
    <n v="146"/>
    <n v="24.9"/>
    <n v="85"/>
    <n v="13.7"/>
    <n v="2.2999999999999998"/>
    <n v="0.36"/>
    <n v="1.34"/>
    <n v="0.2"/>
    <m/>
    <m/>
    <m/>
    <m/>
    <m/>
    <m/>
    <m/>
    <m/>
    <n v="0.58899999999999997"/>
    <n v="0.8"/>
  </r>
  <r>
    <x v="1"/>
    <s v="National and international competition level"/>
    <x v="19"/>
    <n v="2015"/>
    <x v="1"/>
    <x v="0"/>
    <x v="0"/>
    <n v="16.78"/>
    <n v="0.88"/>
    <x v="23"/>
    <x v="3"/>
    <x v="2"/>
    <x v="0"/>
    <x v="0"/>
    <s v="Nm"/>
    <m/>
    <n v="128.83000000000001"/>
    <n v="31.52"/>
    <n v="101.78"/>
    <n v="18.22"/>
    <m/>
    <m/>
    <m/>
    <m/>
    <m/>
    <m/>
    <m/>
    <m/>
    <m/>
    <m/>
    <m/>
    <m/>
    <m/>
    <m/>
  </r>
  <r>
    <x v="1"/>
    <s v="National and international competition level"/>
    <x v="19"/>
    <n v="2015"/>
    <x v="1"/>
    <x v="0"/>
    <x v="0"/>
    <n v="16.78"/>
    <n v="0.88"/>
    <x v="23"/>
    <x v="4"/>
    <x v="2"/>
    <x v="0"/>
    <x v="0"/>
    <s v="Nm"/>
    <m/>
    <n v="126.28"/>
    <n v="35.94"/>
    <n v="102.24"/>
    <n v="18.170000000000002"/>
    <m/>
    <m/>
    <m/>
    <m/>
    <m/>
    <m/>
    <m/>
    <m/>
    <m/>
    <m/>
    <m/>
    <m/>
    <m/>
    <m/>
  </r>
  <r>
    <x v="3"/>
    <s v="National and international competition level"/>
    <x v="19"/>
    <n v="2015"/>
    <x v="1"/>
    <x v="0"/>
    <x v="0"/>
    <n v="16.78"/>
    <n v="0.88"/>
    <x v="23"/>
    <x v="3"/>
    <x v="2"/>
    <x v="0"/>
    <x v="0"/>
    <s v="Nm"/>
    <m/>
    <n v="133.96"/>
    <n v="20.75"/>
    <n v="94.43"/>
    <n v="12.92"/>
    <m/>
    <m/>
    <m/>
    <m/>
    <m/>
    <m/>
    <m/>
    <m/>
    <m/>
    <m/>
    <m/>
    <m/>
    <m/>
    <m/>
  </r>
  <r>
    <x v="3"/>
    <s v="National and international competition level"/>
    <x v="19"/>
    <n v="2015"/>
    <x v="1"/>
    <x v="0"/>
    <x v="0"/>
    <n v="16.78"/>
    <n v="0.88"/>
    <x v="23"/>
    <x v="4"/>
    <x v="2"/>
    <x v="0"/>
    <x v="0"/>
    <s v="Nm"/>
    <m/>
    <n v="128.83000000000001"/>
    <n v="31.52"/>
    <n v="96.48"/>
    <n v="13.31"/>
    <m/>
    <m/>
    <m/>
    <m/>
    <m/>
    <m/>
    <m/>
    <m/>
    <m/>
    <m/>
    <m/>
    <m/>
    <m/>
    <m/>
  </r>
  <r>
    <x v="2"/>
    <s v="National and international competition level"/>
    <x v="19"/>
    <n v="2015"/>
    <x v="1"/>
    <x v="0"/>
    <x v="0"/>
    <n v="16.78"/>
    <n v="0.88"/>
    <x v="23"/>
    <x v="3"/>
    <x v="2"/>
    <x v="0"/>
    <x v="0"/>
    <s v="Nm"/>
    <m/>
    <n v="152.88999999999999"/>
    <n v="25.08"/>
    <n v="90.49"/>
    <n v="14.53"/>
    <m/>
    <m/>
    <m/>
    <m/>
    <m/>
    <m/>
    <m/>
    <m/>
    <m/>
    <m/>
    <m/>
    <m/>
    <m/>
    <m/>
  </r>
  <r>
    <x v="2"/>
    <s v="National and international competition level"/>
    <x v="19"/>
    <n v="2015"/>
    <x v="1"/>
    <x v="0"/>
    <x v="0"/>
    <n v="16.78"/>
    <n v="0.88"/>
    <x v="23"/>
    <x v="4"/>
    <x v="2"/>
    <x v="0"/>
    <x v="0"/>
    <s v="Nm"/>
    <m/>
    <n v="146.38999999999999"/>
    <n v="21.83"/>
    <n v="89.15"/>
    <n v="14"/>
    <m/>
    <m/>
    <m/>
    <m/>
    <m/>
    <m/>
    <m/>
    <m/>
    <m/>
    <m/>
    <m/>
    <m/>
    <m/>
    <m/>
  </r>
  <r>
    <x v="0"/>
    <s v="Knee Osteoarthritis, Ages range from 65+"/>
    <x v="20"/>
    <n v="2011"/>
    <x v="2"/>
    <x v="4"/>
    <x v="0"/>
    <n v="68.8"/>
    <s v="N/A"/>
    <x v="24"/>
    <x v="0"/>
    <x v="2"/>
    <x v="0"/>
    <x v="0"/>
    <s v="Nm"/>
    <m/>
    <n v="100.66"/>
    <n v="30.15"/>
    <n v="47.76"/>
    <n v="14.45"/>
    <m/>
    <m/>
    <m/>
    <m/>
    <m/>
    <m/>
    <m/>
    <m/>
    <m/>
    <m/>
    <m/>
    <m/>
    <n v="0.49099999999999999"/>
    <n v="0.14799999999999999"/>
  </r>
  <r>
    <x v="2"/>
    <s v="Knee Osteoarthritis, Ages range from 65+"/>
    <x v="20"/>
    <n v="2011"/>
    <x v="2"/>
    <x v="4"/>
    <x v="0"/>
    <n v="68.8"/>
    <m/>
    <x v="24"/>
    <x v="0"/>
    <x v="2"/>
    <x v="0"/>
    <x v="0"/>
    <s v="Nm"/>
    <m/>
    <n v="79.89"/>
    <n v="22.25"/>
    <n v="41.11"/>
    <n v="12.53"/>
    <m/>
    <m/>
    <m/>
    <m/>
    <m/>
    <m/>
    <m/>
    <m/>
    <m/>
    <m/>
    <m/>
    <m/>
    <n v="0.52600000000000002"/>
    <n v="0.14599999999999999"/>
  </r>
  <r>
    <x v="0"/>
    <s v="European League, Some had Knee Injury"/>
    <x v="21"/>
    <n v="2009"/>
    <x v="1"/>
    <x v="3"/>
    <x v="0"/>
    <n v="28.3"/>
    <n v="6.3"/>
    <x v="4"/>
    <x v="3"/>
    <x v="0"/>
    <x v="0"/>
    <x v="1"/>
    <s v="Nm"/>
    <s v="Nm/kg"/>
    <n v="286.10000000000002"/>
    <n v="56.2"/>
    <n v="182.1"/>
    <n v="32.5"/>
    <n v="3"/>
    <n v="0.61"/>
    <s v="   "/>
    <n v="0.28999999999999998"/>
    <m/>
    <m/>
    <m/>
    <m/>
    <m/>
    <m/>
    <m/>
    <m/>
    <n v="0.65"/>
    <n v="0.12"/>
  </r>
  <r>
    <x v="0"/>
    <s v="European League"/>
    <x v="21"/>
    <n v="2009"/>
    <x v="1"/>
    <x v="3"/>
    <x v="0"/>
    <n v="28.3"/>
    <n v="6.3"/>
    <x v="4"/>
    <x v="4"/>
    <x v="0"/>
    <x v="0"/>
    <x v="1"/>
    <s v="Nm"/>
    <s v="Nm/kg"/>
    <n v="251.9"/>
    <n v="58.2"/>
    <n v="166.5"/>
    <n v="30.7"/>
    <n v="2.65"/>
    <n v="0.68"/>
    <n v="1.74"/>
    <n v="0.3"/>
    <m/>
    <m/>
    <m/>
    <m/>
    <m/>
    <m/>
    <m/>
    <m/>
    <n v="0.68"/>
    <n v="0.13"/>
  </r>
  <r>
    <x v="0"/>
    <m/>
    <x v="21"/>
    <n v="2009"/>
    <x v="1"/>
    <x v="5"/>
    <x v="0"/>
    <n v="18.899999999999999"/>
    <n v="1.2"/>
    <x v="6"/>
    <x v="3"/>
    <x v="0"/>
    <x v="0"/>
    <x v="1"/>
    <s v="Nm"/>
    <s v="Nm/kg"/>
    <n v="251.3"/>
    <n v="25.2"/>
    <n v="151.69999999999999"/>
    <n v="25.2"/>
    <n v="3.2"/>
    <n v="0.23"/>
    <n v="1.93"/>
    <n v="0.28000000000000003"/>
    <m/>
    <m/>
    <m/>
    <m/>
    <m/>
    <m/>
    <m/>
    <m/>
    <n v="0.6"/>
    <n v="7.0000000000000007E-2"/>
  </r>
  <r>
    <x v="0"/>
    <m/>
    <x v="21"/>
    <n v="2009"/>
    <x v="1"/>
    <x v="5"/>
    <x v="0"/>
    <n v="18.899999999999999"/>
    <n v="1.2"/>
    <x v="6"/>
    <x v="4"/>
    <x v="0"/>
    <x v="0"/>
    <x v="1"/>
    <s v="Nm"/>
    <s v="Nm/kg"/>
    <n v="243.3"/>
    <n v="31.9"/>
    <n v="139.1"/>
    <n v="17.7"/>
    <n v="3.09"/>
    <n v="0.38"/>
    <n v="1.77"/>
    <n v="0.16"/>
    <m/>
    <m/>
    <m/>
    <m/>
    <m/>
    <m/>
    <m/>
    <m/>
    <n v="0.57999999999999996"/>
    <n v="0.06"/>
  </r>
  <r>
    <x v="0"/>
    <m/>
    <x v="21"/>
    <n v="2009"/>
    <x v="1"/>
    <x v="1"/>
    <x v="0"/>
    <n v="23.5"/>
    <n v="3.3"/>
    <x v="0"/>
    <x v="3"/>
    <x v="0"/>
    <x v="0"/>
    <x v="1"/>
    <s v="Nm"/>
    <s v="Nm/kg"/>
    <n v="193.8"/>
    <n v="42.9"/>
    <n v="121.4"/>
    <n v="20.2"/>
    <n v="2.66"/>
    <n v="0.4"/>
    <n v="1.67"/>
    <n v="0.2"/>
    <m/>
    <m/>
    <m/>
    <m/>
    <m/>
    <m/>
    <m/>
    <m/>
    <m/>
    <m/>
  </r>
  <r>
    <x v="0"/>
    <m/>
    <x v="21"/>
    <n v="2009"/>
    <x v="1"/>
    <x v="1"/>
    <x v="0"/>
    <n v="23.5"/>
    <n v="3.3"/>
    <x v="0"/>
    <x v="4"/>
    <x v="0"/>
    <x v="0"/>
    <x v="1"/>
    <s v="Nm"/>
    <s v="Nm/kg"/>
    <n v="196.3"/>
    <s v=" "/>
    <n v="122.6"/>
    <n v="26.2"/>
    <n v="2.69"/>
    <n v="0.43"/>
    <n v="1.68"/>
    <n v="0.2"/>
    <m/>
    <m/>
    <m/>
    <m/>
    <m/>
    <m/>
    <m/>
    <m/>
    <m/>
    <m/>
  </r>
  <r>
    <x v="3"/>
    <s v="European League, Some had Knee Injury"/>
    <x v="21"/>
    <n v="2009"/>
    <x v="1"/>
    <x v="3"/>
    <x v="0"/>
    <n v="28.3"/>
    <n v="6.3"/>
    <x v="4"/>
    <x v="3"/>
    <x v="0"/>
    <x v="0"/>
    <x v="1"/>
    <s v="Nm"/>
    <s v="Nm/kg"/>
    <n v="176.3"/>
    <n v="56.2"/>
    <n v="117.8"/>
    <n v="21"/>
    <n v="1.85"/>
    <n v="0.39"/>
    <n v="1.23"/>
    <n v="0.19"/>
    <m/>
    <m/>
    <m/>
    <m/>
    <m/>
    <m/>
    <m/>
    <m/>
    <m/>
    <m/>
  </r>
  <r>
    <x v="3"/>
    <s v="European League"/>
    <x v="21"/>
    <n v="2009"/>
    <x v="1"/>
    <x v="3"/>
    <x v="0"/>
    <n v="28.3"/>
    <n v="6.3"/>
    <x v="4"/>
    <x v="4"/>
    <x v="0"/>
    <x v="0"/>
    <x v="1"/>
    <s v="Nm"/>
    <s v="Nm/kg"/>
    <n v="166.2"/>
    <n v="58.2"/>
    <n v="109.3"/>
    <n v="18.600000000000001"/>
    <n v="1.75"/>
    <n v="0.38"/>
    <n v="1.1399999999999999"/>
    <n v="0.2"/>
    <m/>
    <m/>
    <m/>
    <m/>
    <m/>
    <m/>
    <m/>
    <m/>
    <m/>
    <m/>
  </r>
  <r>
    <x v="3"/>
    <s v="European League, Some had Knee Injury"/>
    <x v="21"/>
    <n v="2009"/>
    <x v="1"/>
    <x v="5"/>
    <x v="0"/>
    <n v="18.899999999999999"/>
    <n v="1.2"/>
    <x v="6"/>
    <x v="3"/>
    <x v="0"/>
    <x v="0"/>
    <x v="1"/>
    <s v="Nm"/>
    <s v="Nm/kg"/>
    <n v="136.30000000000001"/>
    <n v="25.2"/>
    <n v="95.1"/>
    <n v="18.5"/>
    <n v="1.75"/>
    <n v="0.26"/>
    <n v="1.22"/>
    <n v="0.26"/>
    <m/>
    <m/>
    <m/>
    <m/>
    <m/>
    <m/>
    <m/>
    <m/>
    <m/>
    <m/>
  </r>
  <r>
    <x v="3"/>
    <s v="European League"/>
    <x v="21"/>
    <n v="2009"/>
    <x v="1"/>
    <x v="5"/>
    <x v="0"/>
    <n v="18.899999999999999"/>
    <n v="1.2"/>
    <x v="6"/>
    <x v="4"/>
    <x v="0"/>
    <x v="0"/>
    <x v="1"/>
    <s v="Nm"/>
    <s v="Nm/kg"/>
    <n v="142.30000000000001"/>
    <n v="31.9"/>
    <n v="89.1"/>
    <n v="16.899999999999999"/>
    <n v="1.82"/>
    <n v="0.16"/>
    <n v="1.1399999999999999"/>
    <n v="0.24"/>
    <m/>
    <m/>
    <m/>
    <m/>
    <m/>
    <m/>
    <m/>
    <m/>
    <m/>
    <m/>
  </r>
  <r>
    <x v="3"/>
    <s v="European League, Some had Knee Injury"/>
    <x v="21"/>
    <n v="2009"/>
    <x v="1"/>
    <x v="1"/>
    <x v="0"/>
    <n v="23.5"/>
    <n v="3.3"/>
    <x v="0"/>
    <x v="3"/>
    <x v="0"/>
    <x v="0"/>
    <x v="1"/>
    <s v="Nm"/>
    <s v="Nm/kg"/>
    <n v="124.5"/>
    <n v="42.9"/>
    <n v="82.5"/>
    <n v="22"/>
    <n v="1.72"/>
    <n v="0.22"/>
    <n v="1.1399999999999999"/>
    <n v="0.14000000000000001"/>
    <m/>
    <m/>
    <m/>
    <m/>
    <m/>
    <m/>
    <m/>
    <m/>
    <m/>
    <m/>
  </r>
  <r>
    <x v="3"/>
    <s v="European League"/>
    <x v="21"/>
    <n v="2009"/>
    <x v="1"/>
    <x v="1"/>
    <x v="0"/>
    <n v="23.5"/>
    <n v="3.3"/>
    <x v="0"/>
    <x v="4"/>
    <x v="0"/>
    <x v="0"/>
    <x v="1"/>
    <s v="Nm"/>
    <s v="Nm/kg"/>
    <n v="124.9"/>
    <n v="41.8"/>
    <n v="83.4"/>
    <n v="14.9"/>
    <n v="1.71"/>
    <n v="0.22"/>
    <n v="1.1399999999999999"/>
    <n v="0.1"/>
    <m/>
    <m/>
    <m/>
    <m/>
    <m/>
    <m/>
    <m/>
    <m/>
    <m/>
    <m/>
  </r>
  <r>
    <x v="2"/>
    <m/>
    <x v="22"/>
    <n v="2015"/>
    <x v="4"/>
    <x v="3"/>
    <x v="0"/>
    <n v="20"/>
    <m/>
    <x v="15"/>
    <x v="3"/>
    <x v="0"/>
    <x v="0"/>
    <x v="0"/>
    <s v="Nm"/>
    <m/>
    <n v="190.66"/>
    <n v="37.74"/>
    <n v="130.02000000000001"/>
    <n v="32.36"/>
    <m/>
    <m/>
    <m/>
    <m/>
    <m/>
    <m/>
    <m/>
    <m/>
    <m/>
    <m/>
    <m/>
    <m/>
    <m/>
    <m/>
  </r>
  <r>
    <x v="2"/>
    <m/>
    <x v="22"/>
    <n v="2015"/>
    <x v="4"/>
    <x v="3"/>
    <x v="0"/>
    <n v="20"/>
    <m/>
    <x v="15"/>
    <x v="4"/>
    <x v="0"/>
    <x v="0"/>
    <x v="0"/>
    <s v="Nm"/>
    <m/>
    <n v="197.56"/>
    <n v="38.07"/>
    <n v="128.44999999999999"/>
    <n v="28.7"/>
    <m/>
    <m/>
    <m/>
    <m/>
    <m/>
    <m/>
    <m/>
    <m/>
    <m/>
    <m/>
    <m/>
    <m/>
    <m/>
    <m/>
  </r>
  <r>
    <x v="2"/>
    <m/>
    <x v="22"/>
    <n v="2015"/>
    <x v="4"/>
    <x v="3"/>
    <x v="0"/>
    <n v="20"/>
    <m/>
    <x v="15"/>
    <x v="3"/>
    <x v="0"/>
    <x v="1"/>
    <x v="0"/>
    <s v="Nm"/>
    <m/>
    <n v="286.17"/>
    <n v="63.22"/>
    <n v="162.80000000000001"/>
    <n v="50.17"/>
    <m/>
    <m/>
    <m/>
    <m/>
    <m/>
    <m/>
    <m/>
    <m/>
    <m/>
    <m/>
    <m/>
    <m/>
    <m/>
    <m/>
  </r>
  <r>
    <x v="2"/>
    <m/>
    <x v="22"/>
    <n v="2015"/>
    <x v="4"/>
    <x v="3"/>
    <x v="0"/>
    <n v="20"/>
    <m/>
    <x v="15"/>
    <x v="4"/>
    <x v="0"/>
    <x v="1"/>
    <x v="0"/>
    <s v="Nm"/>
    <m/>
    <n v="287.39999999999998"/>
    <s v="71..94"/>
    <n v="161.4"/>
    <n v="40.909999999999997"/>
    <m/>
    <m/>
    <m/>
    <m/>
    <m/>
    <m/>
    <m/>
    <m/>
    <m/>
    <m/>
    <m/>
    <m/>
    <m/>
    <m/>
  </r>
  <r>
    <x v="2"/>
    <s v="Only  Dominant Limb"/>
    <x v="22"/>
    <n v="2015"/>
    <x v="4"/>
    <x v="3"/>
    <x v="1"/>
    <n v="20"/>
    <m/>
    <x v="10"/>
    <x v="3"/>
    <x v="0"/>
    <x v="0"/>
    <x v="0"/>
    <s v="Nm"/>
    <m/>
    <n v="209.58"/>
    <n v="31.07"/>
    <n v="147.85"/>
    <n v="22.15"/>
    <m/>
    <m/>
    <m/>
    <m/>
    <m/>
    <m/>
    <m/>
    <m/>
    <m/>
    <m/>
    <m/>
    <m/>
    <n v="0.71"/>
    <n v="0.11"/>
  </r>
  <r>
    <x v="2"/>
    <s v="Only  Dominant Limb"/>
    <x v="22"/>
    <n v="2015"/>
    <x v="4"/>
    <x v="3"/>
    <x v="2"/>
    <n v="20"/>
    <m/>
    <x v="25"/>
    <x v="3"/>
    <x v="0"/>
    <x v="0"/>
    <x v="0"/>
    <s v="Nm"/>
    <m/>
    <n v="166.22"/>
    <n v="36.770000000000003"/>
    <n v="118.67"/>
    <n v="41.54"/>
    <m/>
    <m/>
    <m/>
    <m/>
    <m/>
    <m/>
    <m/>
    <m/>
    <m/>
    <m/>
    <m/>
    <m/>
    <n v="0.69"/>
    <n v="0.18"/>
  </r>
  <r>
    <x v="2"/>
    <s v="Only  Dominant Limb"/>
    <x v="22"/>
    <n v="2015"/>
    <x v="4"/>
    <x v="3"/>
    <x v="3"/>
    <n v="20"/>
    <m/>
    <x v="26"/>
    <x v="3"/>
    <x v="0"/>
    <x v="0"/>
    <x v="0"/>
    <s v="Nm"/>
    <m/>
    <n v="197.85"/>
    <n v="35.4"/>
    <n v="126.58"/>
    <n v="27.34"/>
    <m/>
    <m/>
    <m/>
    <m/>
    <m/>
    <m/>
    <m/>
    <m/>
    <m/>
    <m/>
    <m/>
    <m/>
    <n v="0.64"/>
    <n v="0.13"/>
  </r>
  <r>
    <x v="2"/>
    <s v="Only  Dominant Limb"/>
    <x v="22"/>
    <n v="2015"/>
    <x v="4"/>
    <x v="3"/>
    <x v="1"/>
    <n v="20"/>
    <m/>
    <x v="10"/>
    <x v="3"/>
    <x v="0"/>
    <x v="1"/>
    <x v="0"/>
    <s v="Nm"/>
    <m/>
    <n v="344.85"/>
    <n v="39.06"/>
    <n v="197.9"/>
    <n v="42.17"/>
    <m/>
    <m/>
    <m/>
    <m/>
    <m/>
    <m/>
    <m/>
    <m/>
    <m/>
    <m/>
    <m/>
    <m/>
    <n v="0.97"/>
    <n v="0.32"/>
  </r>
  <r>
    <x v="2"/>
    <s v="Only  Dominant Limb"/>
    <x v="22"/>
    <n v="2015"/>
    <x v="4"/>
    <x v="3"/>
    <x v="2"/>
    <n v="20"/>
    <m/>
    <x v="25"/>
    <x v="3"/>
    <x v="0"/>
    <x v="1"/>
    <x v="0"/>
    <s v="Nm"/>
    <m/>
    <n v="241.51"/>
    <n v="56.76"/>
    <n v="138.63999999999999"/>
    <n v="45.82"/>
    <m/>
    <m/>
    <m/>
    <m/>
    <m/>
    <m/>
    <m/>
    <m/>
    <m/>
    <m/>
    <m/>
    <m/>
    <n v="0.83"/>
    <n v="0.22"/>
  </r>
  <r>
    <x v="2"/>
    <s v="Only  Dominant Limb"/>
    <x v="22"/>
    <n v="2015"/>
    <x v="4"/>
    <x v="3"/>
    <x v="3"/>
    <n v="20"/>
    <m/>
    <x v="26"/>
    <x v="3"/>
    <x v="0"/>
    <x v="1"/>
    <x v="0"/>
    <s v="Nm"/>
    <m/>
    <n v="281.23"/>
    <n v="50.95"/>
    <n v="157.61000000000001"/>
    <n v="49.51"/>
    <m/>
    <m/>
    <m/>
    <m/>
    <m/>
    <m/>
    <m/>
    <m/>
    <m/>
    <m/>
    <m/>
    <m/>
    <n v="0.82"/>
    <n v="0.26"/>
  </r>
  <r>
    <x v="0"/>
    <s v="Only looked at extension, significant assymetry limbs"/>
    <x v="23"/>
    <n v="2009"/>
    <x v="2"/>
    <x v="4"/>
    <x v="0"/>
    <n v="68.17"/>
    <n v="2.82"/>
    <x v="27"/>
    <x v="7"/>
    <x v="2"/>
    <x v="0"/>
    <x v="0"/>
    <s v="Nm"/>
    <m/>
    <n v="67"/>
    <n v="1.84"/>
    <m/>
    <m/>
    <m/>
    <m/>
    <m/>
    <m/>
    <n v="46"/>
    <n v="1.32"/>
    <m/>
    <m/>
    <n v="228"/>
    <n v="2.63"/>
    <m/>
    <m/>
    <m/>
    <m/>
  </r>
  <r>
    <x v="0"/>
    <s v="Only looked at extension, significant assymetry limbs"/>
    <x v="23"/>
    <n v="2009"/>
    <x v="2"/>
    <x v="4"/>
    <x v="0"/>
    <n v="68.17"/>
    <n v="2.82"/>
    <x v="27"/>
    <x v="8"/>
    <x v="2"/>
    <x v="0"/>
    <x v="0"/>
    <s v="Nm"/>
    <m/>
    <n v="52"/>
    <n v="2.33"/>
    <m/>
    <m/>
    <m/>
    <m/>
    <m/>
    <m/>
    <n v="31.32"/>
    <n v="1.02"/>
    <m/>
    <m/>
    <n v="117"/>
    <n v="1.56"/>
    <m/>
    <m/>
    <m/>
    <m/>
  </r>
  <r>
    <x v="2"/>
    <s v="Only looked at extension, significant assymetry limbs"/>
    <x v="23"/>
    <n v="2009"/>
    <x v="2"/>
    <x v="4"/>
    <x v="0"/>
    <n v="68.17"/>
    <n v="2.82"/>
    <x v="27"/>
    <x v="7"/>
    <x v="2"/>
    <x v="0"/>
    <x v="0"/>
    <s v="Nm"/>
    <m/>
    <n v="52"/>
    <n v="2.13"/>
    <m/>
    <m/>
    <m/>
    <m/>
    <m/>
    <m/>
    <n v="32.299999999999997"/>
    <n v="1.82"/>
    <m/>
    <m/>
    <n v="178"/>
    <n v="3.68"/>
    <m/>
    <m/>
    <m/>
    <m/>
  </r>
  <r>
    <x v="2"/>
    <s v="Only looked at extension, significant assymetry limbs"/>
    <x v="23"/>
    <n v="2009"/>
    <x v="2"/>
    <x v="4"/>
    <x v="0"/>
    <n v="68.17"/>
    <n v="2.82"/>
    <x v="27"/>
    <x v="8"/>
    <x v="2"/>
    <x v="0"/>
    <x v="0"/>
    <s v="Nm"/>
    <m/>
    <n v="45"/>
    <n v="3.26"/>
    <m/>
    <m/>
    <m/>
    <m/>
    <m/>
    <m/>
    <n v="24"/>
    <n v="2.21"/>
    <m/>
    <m/>
    <n v="200"/>
    <n v="2.58"/>
    <m/>
    <m/>
    <m/>
    <m/>
  </r>
  <r>
    <x v="0"/>
    <s v="No significant correlation between isokinetic knee strength"/>
    <x v="24"/>
    <n v="2020"/>
    <x v="9"/>
    <x v="0"/>
    <x v="0"/>
    <m/>
    <m/>
    <x v="28"/>
    <x v="7"/>
    <x v="0"/>
    <x v="0"/>
    <x v="4"/>
    <s v="Nm"/>
    <m/>
    <n v="258.39999999999998"/>
    <n v="58"/>
    <n v="153.30000000000001"/>
    <n v="29.7"/>
    <m/>
    <m/>
    <m/>
    <m/>
    <m/>
    <m/>
    <m/>
    <m/>
    <m/>
    <m/>
    <m/>
    <m/>
    <m/>
    <m/>
  </r>
  <r>
    <x v="0"/>
    <s v="No significant correlation between isokinetic knee strength"/>
    <x v="24"/>
    <n v="2020"/>
    <x v="9"/>
    <x v="0"/>
    <x v="0"/>
    <m/>
    <m/>
    <x v="28"/>
    <x v="8"/>
    <x v="0"/>
    <x v="0"/>
    <x v="4"/>
    <s v="Nm"/>
    <m/>
    <n v="235.2"/>
    <n v="58.1"/>
    <m/>
    <m/>
    <m/>
    <m/>
    <m/>
    <m/>
    <m/>
    <m/>
    <m/>
    <m/>
    <m/>
    <m/>
    <m/>
    <m/>
    <m/>
    <m/>
  </r>
  <r>
    <x v="0"/>
    <m/>
    <x v="24"/>
    <n v="2020"/>
    <x v="9"/>
    <x v="0"/>
    <x v="0"/>
    <n v="22"/>
    <m/>
    <x v="28"/>
    <x v="7"/>
    <x v="0"/>
    <x v="0"/>
    <x v="4"/>
    <s v="Nm"/>
    <m/>
    <n v="258.39999999999998"/>
    <n v="58"/>
    <n v="153.30000000000001"/>
    <n v="29.7"/>
    <m/>
    <m/>
    <m/>
    <m/>
    <m/>
    <m/>
    <m/>
    <m/>
    <m/>
    <m/>
    <m/>
    <m/>
    <m/>
    <m/>
  </r>
  <r>
    <x v="0"/>
    <m/>
    <x v="24"/>
    <n v="2020"/>
    <x v="9"/>
    <x v="0"/>
    <x v="0"/>
    <n v="22"/>
    <m/>
    <x v="28"/>
    <x v="8"/>
    <x v="0"/>
    <x v="0"/>
    <x v="4"/>
    <s v="Nm"/>
    <m/>
    <n v="235.2"/>
    <n v="58"/>
    <n v="146"/>
    <n v="38"/>
    <m/>
    <m/>
    <m/>
    <m/>
    <m/>
    <m/>
    <m/>
    <m/>
    <m/>
    <m/>
    <m/>
    <m/>
    <m/>
    <m/>
  </r>
  <r>
    <x v="1"/>
    <m/>
    <x v="24"/>
    <n v="2020"/>
    <x v="9"/>
    <x v="0"/>
    <x v="0"/>
    <n v="22"/>
    <m/>
    <x v="28"/>
    <x v="7"/>
    <x v="0"/>
    <x v="0"/>
    <x v="4"/>
    <s v="Nm"/>
    <m/>
    <n v="92.4"/>
    <n v="29.6"/>
    <n v="72.099999999999994"/>
    <n v="25.5"/>
    <m/>
    <m/>
    <m/>
    <m/>
    <m/>
    <m/>
    <m/>
    <m/>
    <m/>
    <m/>
    <m/>
    <m/>
    <m/>
    <m/>
  </r>
  <r>
    <x v="1"/>
    <m/>
    <x v="24"/>
    <n v="2020"/>
    <x v="9"/>
    <x v="0"/>
    <x v="0"/>
    <n v="22"/>
    <m/>
    <x v="28"/>
    <x v="8"/>
    <x v="0"/>
    <x v="0"/>
    <x v="4"/>
    <s v="Nm"/>
    <m/>
    <n v="97.8"/>
    <n v="24.3"/>
    <n v="74.900000000000006"/>
    <n v="23.4"/>
    <m/>
    <m/>
    <m/>
    <m/>
    <m/>
    <m/>
    <m/>
    <m/>
    <m/>
    <m/>
    <m/>
    <m/>
    <m/>
    <m/>
  </r>
  <r>
    <x v="0"/>
    <s v="4 Guards, 4 Forwards, 4 Centers"/>
    <x v="25"/>
    <n v="2000"/>
    <x v="1"/>
    <x v="3"/>
    <x v="0"/>
    <n v="20.92"/>
    <n v="3.03"/>
    <x v="19"/>
    <x v="3"/>
    <x v="0"/>
    <x v="0"/>
    <x v="1"/>
    <s v="Nm"/>
    <m/>
    <n v="287.16000000000003"/>
    <n v="62.94"/>
    <n v="187.66"/>
    <n v="44.64"/>
    <m/>
    <m/>
    <m/>
    <m/>
    <m/>
    <m/>
    <m/>
    <m/>
    <n v="315.91000000000003"/>
    <n v="85.61"/>
    <n v="211.5"/>
    <n v="51.42"/>
    <n v="65.5"/>
    <n v="6.3"/>
  </r>
  <r>
    <x v="0"/>
    <s v="4 Guards, 4 Forwards, 4 Centers"/>
    <x v="25"/>
    <n v="2000"/>
    <x v="1"/>
    <x v="3"/>
    <x v="0"/>
    <n v="20.92"/>
    <n v="3.03"/>
    <x v="19"/>
    <x v="4"/>
    <x v="0"/>
    <x v="0"/>
    <x v="1"/>
    <s v="Nm"/>
    <m/>
    <n v="274.08"/>
    <n v="51.54"/>
    <n v="174.916"/>
    <n v="48.93"/>
    <m/>
    <m/>
    <m/>
    <m/>
    <m/>
    <m/>
    <m/>
    <m/>
    <n v="303.75"/>
    <n v="64.44"/>
    <n v="194.25"/>
    <n v="50.25"/>
    <n v="65.5"/>
    <n v="6.3"/>
  </r>
  <r>
    <x v="2"/>
    <s v="4 Guards, 4 Forwards, 4 Centers"/>
    <x v="25"/>
    <n v="2000"/>
    <x v="1"/>
    <x v="3"/>
    <x v="0"/>
    <n v="20.92"/>
    <n v="3.03"/>
    <x v="19"/>
    <x v="3"/>
    <x v="0"/>
    <x v="0"/>
    <x v="1"/>
    <s v="Nm"/>
    <m/>
    <n v="151.66"/>
    <n v="37.53"/>
    <n v="127.25"/>
    <n v="29.22"/>
    <m/>
    <m/>
    <m/>
    <m/>
    <m/>
    <m/>
    <m/>
    <m/>
    <n v="172.91"/>
    <n v="37.369999999999997"/>
    <n v="136.75"/>
    <m/>
    <n v="84.66"/>
    <n v="8.64"/>
  </r>
  <r>
    <x v="2"/>
    <s v="4 Guards, 4 Forwards, 4 Centers"/>
    <x v="25"/>
    <n v="2000"/>
    <x v="1"/>
    <x v="3"/>
    <x v="0"/>
    <n v="20.92"/>
    <n v="3.03"/>
    <x v="19"/>
    <x v="4"/>
    <x v="0"/>
    <x v="0"/>
    <x v="1"/>
    <s v="Nm"/>
    <m/>
    <n v="154.75"/>
    <n v="41.82"/>
    <n v="127.58"/>
    <n v="33.04"/>
    <m/>
    <m/>
    <m/>
    <m/>
    <m/>
    <m/>
    <m/>
    <m/>
    <n v="170.58"/>
    <n v="41.26"/>
    <n v="130.83000000000001"/>
    <m/>
    <n v="84.66"/>
    <n v="8.64"/>
  </r>
  <r>
    <x v="0"/>
    <s v="Test-Retest Reliability,engage in regular physical activity or recreational sport"/>
    <x v="26"/>
    <n v="2023"/>
    <x v="2"/>
    <x v="1"/>
    <x v="0"/>
    <n v="35.5"/>
    <n v="10.5"/>
    <x v="23"/>
    <x v="3"/>
    <x v="0"/>
    <x v="0"/>
    <x v="0"/>
    <s v="Nm"/>
    <m/>
    <n v="185.4"/>
    <n v="63.7"/>
    <n v="93.7"/>
    <n v="28.4"/>
    <m/>
    <m/>
    <m/>
    <m/>
    <m/>
    <m/>
    <m/>
    <m/>
    <m/>
    <m/>
    <m/>
    <m/>
    <m/>
    <m/>
  </r>
  <r>
    <x v="0"/>
    <s v="Test-Retest Reliability,engage in regular physical activity or recreational sport"/>
    <x v="26"/>
    <n v="2023"/>
    <x v="2"/>
    <x v="1"/>
    <x v="0"/>
    <n v="35.5"/>
    <n v="10.5"/>
    <x v="23"/>
    <x v="4"/>
    <x v="0"/>
    <x v="0"/>
    <x v="0"/>
    <s v="Nm"/>
    <m/>
    <n v="187.2"/>
    <n v="58.9"/>
    <n v="98.8"/>
    <n v="34.200000000000003"/>
    <m/>
    <m/>
    <m/>
    <m/>
    <m/>
    <m/>
    <m/>
    <m/>
    <m/>
    <m/>
    <m/>
    <m/>
    <m/>
    <m/>
  </r>
  <r>
    <x v="0"/>
    <s v="H/Q ratios falling within the generally accepted injury-risk threshold ranges, suggesting balanced hamstring-to-quadriceps function in U15 soccer players."/>
    <x v="27"/>
    <n v="2025"/>
    <x v="4"/>
    <x v="2"/>
    <x v="7"/>
    <n v="14.53"/>
    <n v="0.68"/>
    <x v="10"/>
    <x v="0"/>
    <x v="0"/>
    <x v="0"/>
    <x v="0"/>
    <s v="Nm"/>
    <m/>
    <n v="189"/>
    <n v="56"/>
    <n v="109"/>
    <n v="40"/>
    <m/>
    <m/>
    <m/>
    <m/>
    <n v="121"/>
    <n v="35"/>
    <n v="68"/>
    <n v="28"/>
    <n v="497"/>
    <n v="138"/>
    <n v="325"/>
    <n v="136"/>
    <n v="0.56999999999999995"/>
    <m/>
  </r>
  <r>
    <x v="0"/>
    <s v="H/Q ratios falling within the generally accepted injury-risk threshold ranges, suggesting balanced hamstring-to-quadriceps function in U15 soccer players."/>
    <x v="27"/>
    <n v="2025"/>
    <x v="4"/>
    <x v="2"/>
    <x v="1"/>
    <n v="14.2"/>
    <n v="0.4"/>
    <x v="14"/>
    <x v="0"/>
    <x v="0"/>
    <x v="0"/>
    <x v="0"/>
    <s v="Nm"/>
    <m/>
    <n v="158"/>
    <n v="35"/>
    <n v="84"/>
    <n v="21"/>
    <m/>
    <m/>
    <m/>
    <m/>
    <n v="104"/>
    <n v="23"/>
    <n v="58"/>
    <n v="16"/>
    <n v="483"/>
    <n v="109"/>
    <n v="293"/>
    <n v="83"/>
    <n v="0.53"/>
    <m/>
  </r>
  <r>
    <x v="0"/>
    <s v="H/Q ratios falling within the generally accepted injury-risk threshold ranges, suggesting balanced hamstring-to-quadriceps function in U15 soccer players."/>
    <x v="27"/>
    <n v="2025"/>
    <x v="4"/>
    <x v="2"/>
    <x v="2"/>
    <n v="14.41"/>
    <n v="0.56000000000000005"/>
    <x v="4"/>
    <x v="0"/>
    <x v="0"/>
    <x v="0"/>
    <x v="0"/>
    <s v="Nm"/>
    <m/>
    <n v="138"/>
    <n v="29"/>
    <n v="80"/>
    <n v="21"/>
    <m/>
    <m/>
    <m/>
    <m/>
    <n v="91"/>
    <n v="23"/>
    <n v="55"/>
    <n v="14"/>
    <n v="426"/>
    <n v="134"/>
    <n v="274"/>
    <n v="87"/>
    <n v="0.57999999999999996"/>
    <m/>
  </r>
  <r>
    <x v="0"/>
    <s v="H/Q ratios falling within the generally accepted injury-risk threshold ranges, suggesting balanced hamstring-to-quadriceps function in U15 soccer players."/>
    <x v="27"/>
    <n v="2025"/>
    <x v="4"/>
    <x v="2"/>
    <x v="8"/>
    <n v="14.58"/>
    <n v="0.26"/>
    <x v="25"/>
    <x v="0"/>
    <x v="0"/>
    <x v="0"/>
    <x v="0"/>
    <s v="Nm"/>
    <m/>
    <n v="181"/>
    <n v="28"/>
    <n v="107"/>
    <n v="18"/>
    <m/>
    <m/>
    <m/>
    <m/>
    <n v="120"/>
    <n v="18"/>
    <n v="75"/>
    <n v="10"/>
    <n v="562"/>
    <n v="104"/>
    <n v="386"/>
    <n v="62"/>
    <n v="0.59"/>
    <m/>
  </r>
  <r>
    <x v="2"/>
    <s v="H/Q ratios falling within the generally accepted injury-risk threshold ranges, suggesting balanced hamstring-to-quadriceps function in U15 soccer players."/>
    <x v="27"/>
    <n v="2025"/>
    <x v="4"/>
    <x v="2"/>
    <x v="7"/>
    <n v="14.53"/>
    <n v="0.68"/>
    <x v="10"/>
    <x v="0"/>
    <x v="0"/>
    <x v="0"/>
    <x v="0"/>
    <s v="Nm"/>
    <m/>
    <n v="130"/>
    <n v="34"/>
    <n v="68"/>
    <n v="20"/>
    <m/>
    <m/>
    <m/>
    <m/>
    <n v="232"/>
    <n v="63"/>
    <n v="113"/>
    <n v="50"/>
    <n v="413"/>
    <n v="125"/>
    <n v="212"/>
    <n v="94"/>
    <n v="0.52"/>
    <m/>
  </r>
  <r>
    <x v="2"/>
    <s v="H/Q ratios falling within the generally accepted injury-risk threshold ranges, suggesting balanced hamstring-to-quadriceps function in U15 soccer players."/>
    <x v="27"/>
    <n v="2025"/>
    <x v="4"/>
    <x v="2"/>
    <x v="1"/>
    <n v="14.2"/>
    <n v="0.4"/>
    <x v="14"/>
    <x v="0"/>
    <x v="0"/>
    <x v="0"/>
    <x v="0"/>
    <s v="Nm"/>
    <m/>
    <n v="116"/>
    <n v="24"/>
    <n v="65"/>
    <n v="14"/>
    <m/>
    <m/>
    <m/>
    <m/>
    <n v="212"/>
    <n v="47"/>
    <n v="115"/>
    <n v="30"/>
    <n v="390"/>
    <n v="91"/>
    <n v="237"/>
    <n v="59"/>
    <n v="0.56000000000000005"/>
    <m/>
  </r>
  <r>
    <x v="2"/>
    <s v="H/Q ratios falling within the generally accepted injury-risk threshold ranges, suggesting balanced hamstring-to-quadriceps function in U15 soccer players."/>
    <x v="27"/>
    <n v="2025"/>
    <x v="4"/>
    <x v="2"/>
    <x v="2"/>
    <n v="14.41"/>
    <n v="0.56000000000000005"/>
    <x v="4"/>
    <x v="0"/>
    <x v="0"/>
    <x v="0"/>
    <x v="0"/>
    <s v="Nm"/>
    <m/>
    <n v="102"/>
    <n v="25"/>
    <n v="63"/>
    <n v="17"/>
    <m/>
    <m/>
    <m/>
    <m/>
    <n v="185"/>
    <n v="57"/>
    <n v="108"/>
    <n v="35"/>
    <n v="366"/>
    <n v="106"/>
    <n v="233"/>
    <n v="93"/>
    <n v="0.62"/>
    <m/>
  </r>
  <r>
    <x v="2"/>
    <s v="H/Q ratios falling within the generally accepted injury-risk threshold ranges, suggesting balanced hamstring-to-quadriceps function in U15 soccer players."/>
    <x v="27"/>
    <n v="2025"/>
    <x v="4"/>
    <x v="2"/>
    <x v="8"/>
    <n v="14.58"/>
    <n v="0.26"/>
    <x v="25"/>
    <x v="0"/>
    <x v="0"/>
    <x v="0"/>
    <x v="0"/>
    <s v="Nm"/>
    <m/>
    <n v="134"/>
    <n v="20"/>
    <n v="77"/>
    <n v="13"/>
    <m/>
    <m/>
    <m/>
    <m/>
    <n v="250"/>
    <n v="40"/>
    <n v="144"/>
    <n v="24"/>
    <n v="473"/>
    <n v="70"/>
    <n v="298"/>
    <n v="47"/>
    <n v="0.57999999999999996"/>
    <m/>
  </r>
  <r>
    <x v="1"/>
    <s v="H/Q ratios falling within the generally accepted injury-risk threshold ranges, suggesting balanced hamstring-to-quadriceps function in U15 soccer players."/>
    <x v="27"/>
    <n v="2025"/>
    <x v="4"/>
    <x v="2"/>
    <x v="7"/>
    <n v="14.53"/>
    <n v="0.68"/>
    <x v="10"/>
    <x v="0"/>
    <x v="0"/>
    <x v="0"/>
    <x v="0"/>
    <s v="Nm"/>
    <m/>
    <n v="96"/>
    <n v="26"/>
    <n v="57"/>
    <n v="17"/>
    <m/>
    <m/>
    <m/>
    <m/>
    <n v="227"/>
    <n v="82"/>
    <n v="85"/>
    <n v="54"/>
    <n v="294"/>
    <n v="109"/>
    <n v="123"/>
    <n v="77"/>
    <n v="0.61"/>
    <m/>
  </r>
  <r>
    <x v="1"/>
    <s v="H/Q ratios falling within the generally accepted injury-risk threshold ranges, suggesting balanced hamstring-to-quadriceps function in U15 soccer players."/>
    <x v="27"/>
    <n v="2025"/>
    <x v="4"/>
    <x v="2"/>
    <x v="1"/>
    <n v="14.2"/>
    <n v="0.4"/>
    <x v="14"/>
    <x v="0"/>
    <x v="0"/>
    <x v="0"/>
    <x v="0"/>
    <s v="Nm"/>
    <m/>
    <n v="86"/>
    <n v="16"/>
    <n v="52"/>
    <n v="10"/>
    <m/>
    <m/>
    <m/>
    <m/>
    <n v="221"/>
    <n v="44"/>
    <n v="101"/>
    <n v="32"/>
    <n v="287"/>
    <n v="56"/>
    <n v="149"/>
    <n v="42"/>
    <n v="0.61"/>
    <m/>
  </r>
  <r>
    <x v="1"/>
    <s v="H/Q ratios falling within the generally accepted injury-risk threshold ranges, suggesting balanced hamstring-to-quadriceps function in U15 soccer players."/>
    <x v="27"/>
    <n v="2025"/>
    <x v="4"/>
    <x v="2"/>
    <x v="2"/>
    <n v="14.41"/>
    <n v="0.56000000000000005"/>
    <x v="4"/>
    <x v="0"/>
    <x v="0"/>
    <x v="0"/>
    <x v="0"/>
    <s v="Nm"/>
    <m/>
    <n v="76"/>
    <n v="19"/>
    <n v="52"/>
    <n v="13"/>
    <m/>
    <m/>
    <m/>
    <m/>
    <n v="199"/>
    <n v="69"/>
    <n v="99"/>
    <n v="51"/>
    <n v="277"/>
    <n v="101"/>
    <n v="153"/>
    <n v="78"/>
    <n v="0.69"/>
    <m/>
  </r>
  <r>
    <x v="1"/>
    <s v="H/Q ratios falling within the generally accepted injury-risk threshold ranges, suggesting balanced hamstring-to-quadriceps function in U15 soccer players."/>
    <x v="27"/>
    <n v="2025"/>
    <x v="4"/>
    <x v="2"/>
    <x v="8"/>
    <n v="14.58"/>
    <n v="0.26"/>
    <x v="25"/>
    <x v="0"/>
    <x v="0"/>
    <x v="0"/>
    <x v="0"/>
    <s v="Nm"/>
    <m/>
    <n v="102"/>
    <n v="16"/>
    <n v="66"/>
    <n v="5"/>
    <m/>
    <m/>
    <m/>
    <m/>
    <n v="273"/>
    <n v="51"/>
    <n v="132"/>
    <n v="35"/>
    <n v="363"/>
    <n v="69"/>
    <n v="193"/>
    <n v="53"/>
    <n v="0.66"/>
    <m/>
  </r>
  <r>
    <x v="0"/>
    <s v="volleyball is expiremental group in article"/>
    <x v="28"/>
    <n v="2021"/>
    <x v="0"/>
    <x v="3"/>
    <x v="0"/>
    <n v="23.9"/>
    <n v="3.8"/>
    <x v="3"/>
    <x v="8"/>
    <x v="0"/>
    <x v="0"/>
    <x v="0"/>
    <s v="Nm"/>
    <m/>
    <n v="295.7"/>
    <n v="36.1"/>
    <n v="151.19999999999999"/>
    <n v="16.3"/>
    <m/>
    <m/>
    <m/>
    <m/>
    <m/>
    <m/>
    <m/>
    <m/>
    <m/>
    <m/>
    <m/>
    <m/>
    <m/>
    <m/>
  </r>
  <r>
    <x v="0"/>
    <s v="volleyball is expiremental group in article"/>
    <x v="28"/>
    <n v="2021"/>
    <x v="0"/>
    <x v="3"/>
    <x v="0"/>
    <n v="23.9"/>
    <n v="3.8"/>
    <x v="3"/>
    <x v="7"/>
    <x v="0"/>
    <x v="0"/>
    <x v="0"/>
    <s v="Nm"/>
    <m/>
    <n v="278.10000000000002"/>
    <n v="64.2"/>
    <n v="154.80000000000001"/>
    <n v="14.8"/>
    <m/>
    <m/>
    <m/>
    <m/>
    <m/>
    <m/>
    <m/>
    <m/>
    <m/>
    <m/>
    <m/>
    <m/>
    <m/>
    <m/>
  </r>
  <r>
    <x v="0"/>
    <s v="control in article"/>
    <x v="28"/>
    <n v="2021"/>
    <x v="0"/>
    <x v="1"/>
    <x v="0"/>
    <n v="23.6"/>
    <n v="1.9"/>
    <x v="3"/>
    <x v="8"/>
    <x v="0"/>
    <x v="0"/>
    <x v="0"/>
    <s v="Nm"/>
    <m/>
    <n v="223.2"/>
    <n v="42.9"/>
    <n v="102.8"/>
    <n v="26"/>
    <m/>
    <m/>
    <m/>
    <m/>
    <m/>
    <m/>
    <m/>
    <m/>
    <m/>
    <m/>
    <m/>
    <m/>
    <m/>
    <m/>
  </r>
  <r>
    <x v="0"/>
    <s v="control in article"/>
    <x v="28"/>
    <n v="2021"/>
    <x v="0"/>
    <x v="1"/>
    <x v="0"/>
    <n v="23.6"/>
    <n v="1.9"/>
    <x v="3"/>
    <x v="7"/>
    <x v="0"/>
    <x v="0"/>
    <x v="0"/>
    <s v="Nm"/>
    <m/>
    <n v="230.6"/>
    <n v="39"/>
    <n v="110.4"/>
    <n v="26.5"/>
    <m/>
    <m/>
    <m/>
    <m/>
    <m/>
    <m/>
    <m/>
    <m/>
    <m/>
    <m/>
    <m/>
    <m/>
    <m/>
    <m/>
  </r>
  <r>
    <x v="0"/>
    <s v="ACL Reconstruction,  Experimentals"/>
    <x v="29"/>
    <n v="2019"/>
    <x v="1"/>
    <x v="3"/>
    <x v="0"/>
    <n v="23.3"/>
    <n v="3.95"/>
    <x v="0"/>
    <x v="13"/>
    <x v="2"/>
    <x v="0"/>
    <x v="0"/>
    <s v="Nm"/>
    <m/>
    <n v="242.62"/>
    <n v="24.67"/>
    <n v="139.06"/>
    <n v="16.93"/>
    <m/>
    <m/>
    <m/>
    <m/>
    <n v="108.43"/>
    <n v="19.850000000000001"/>
    <n v="66"/>
    <n v="11.7"/>
    <m/>
    <m/>
    <m/>
    <m/>
    <n v="59.6"/>
    <n v="16.22"/>
  </r>
  <r>
    <x v="0"/>
    <s v="ACL Reconstruction,  Experimentals"/>
    <x v="29"/>
    <n v="2019"/>
    <x v="1"/>
    <x v="3"/>
    <x v="0"/>
    <n v="23.3"/>
    <n v="3.95"/>
    <x v="0"/>
    <x v="14"/>
    <x v="2"/>
    <x v="0"/>
    <x v="0"/>
    <s v="Nm"/>
    <m/>
    <n v="226.01"/>
    <n v="34.6"/>
    <n v="127.51"/>
    <n v="34.76"/>
    <m/>
    <m/>
    <m/>
    <m/>
    <n v="97.74"/>
    <n v="15.75"/>
    <n v="59.6"/>
    <n v="16.22"/>
    <m/>
    <m/>
    <m/>
    <m/>
    <n v="56.98"/>
    <n v="4.2300000000000004"/>
  </r>
  <r>
    <x v="0"/>
    <s v="ACL Reconstruction, Controls"/>
    <x v="29"/>
    <n v="2019"/>
    <x v="1"/>
    <x v="3"/>
    <x v="0"/>
    <n v="22"/>
    <n v="4.1100000000000003"/>
    <x v="6"/>
    <x v="13"/>
    <x v="2"/>
    <x v="0"/>
    <x v="0"/>
    <s v="Nm"/>
    <m/>
    <n v="202.57"/>
    <n v="58.91"/>
    <n v="117.63"/>
    <n v="33.369999999999997"/>
    <m/>
    <m/>
    <m/>
    <m/>
    <n v="99"/>
    <n v="21.61"/>
    <n v="58.83"/>
    <n v="15.15"/>
    <m/>
    <m/>
    <m/>
    <m/>
    <n v="55.83"/>
    <n v="10.31"/>
  </r>
  <r>
    <x v="0"/>
    <s v="ACL Reconstruction, Controls"/>
    <x v="29"/>
    <n v="2019"/>
    <x v="1"/>
    <x v="3"/>
    <x v="0"/>
    <n v="22"/>
    <n v="4.1100000000000003"/>
    <x v="6"/>
    <x v="14"/>
    <x v="2"/>
    <x v="0"/>
    <x v="0"/>
    <s v="Nm"/>
    <m/>
    <n v="200.96"/>
    <n v="58.91"/>
    <n v="107.85"/>
    <n v="26.11"/>
    <m/>
    <m/>
    <m/>
    <m/>
    <n v="101.67"/>
    <n v="18.82"/>
    <n v="58.33"/>
    <n v="10.31"/>
    <m/>
    <m/>
    <m/>
    <m/>
    <n v="58.33"/>
    <n v="9.4700000000000006"/>
  </r>
  <r>
    <x v="0"/>
    <s v="NFL Combine Data 08-11"/>
    <x v="30"/>
    <n v="2014"/>
    <x v="9"/>
    <x v="3"/>
    <x v="0"/>
    <n v="23.1"/>
    <m/>
    <x v="29"/>
    <x v="3"/>
    <x v="0"/>
    <x v="0"/>
    <x v="1"/>
    <s v="Nm"/>
    <s v="Nm/kg"/>
    <n v="313.60000000000002"/>
    <n v="70.709999999999994"/>
    <n v="209.8"/>
    <n v="44.6"/>
    <n v="2.9"/>
    <n v="0.63"/>
    <n v="1.94"/>
    <n v="0.38"/>
    <m/>
    <m/>
    <m/>
    <m/>
    <m/>
    <m/>
    <m/>
    <m/>
    <m/>
    <m/>
  </r>
  <r>
    <x v="0"/>
    <s v="NFL Combine Data 08-11"/>
    <x v="30"/>
    <n v="2014"/>
    <x v="9"/>
    <x v="3"/>
    <x v="0"/>
    <n v="23.1"/>
    <m/>
    <x v="29"/>
    <x v="4"/>
    <x v="0"/>
    <x v="0"/>
    <x v="1"/>
    <s v="Nm"/>
    <s v="Nm/kg"/>
    <n v="307.8"/>
    <n v="70.2"/>
    <n v="208.7"/>
    <n v="44.1"/>
    <n v="2.85"/>
    <n v="0.62"/>
    <n v="1.92"/>
    <n v="0.37"/>
    <m/>
    <m/>
    <m/>
    <m/>
    <m/>
    <m/>
    <m/>
    <m/>
    <m/>
    <m/>
  </r>
  <r>
    <x v="0"/>
    <s v="NFL Combine Data 08-11"/>
    <x v="30"/>
    <n v="2014"/>
    <x v="9"/>
    <x v="3"/>
    <x v="11"/>
    <m/>
    <m/>
    <x v="30"/>
    <x v="3"/>
    <x v="0"/>
    <x v="0"/>
    <x v="1"/>
    <s v="Nm"/>
    <s v="Nm/kg"/>
    <n v="285.2"/>
    <n v="66"/>
    <n v="185.5"/>
    <n v="37.700000000000003"/>
    <n v="3.08"/>
    <n v="0.67900000000000005"/>
    <n v="2"/>
    <n v="0.35799999999999998"/>
    <m/>
    <m/>
    <m/>
    <m/>
    <m/>
    <m/>
    <m/>
    <m/>
    <m/>
    <m/>
  </r>
  <r>
    <x v="0"/>
    <s v="NFL Combine Data 08-11"/>
    <x v="30"/>
    <n v="2014"/>
    <x v="9"/>
    <x v="3"/>
    <x v="11"/>
    <m/>
    <m/>
    <x v="30"/>
    <x v="4"/>
    <x v="0"/>
    <x v="0"/>
    <x v="1"/>
    <s v="Nm"/>
    <s v="Nm/kg"/>
    <n v="278.5"/>
    <n v="62.4"/>
    <n v="182.5"/>
    <n v="39.200000000000003"/>
    <n v="2.98"/>
    <n v="0.63800000000000001"/>
    <n v="1.97"/>
    <n v="0.379"/>
    <m/>
    <m/>
    <m/>
    <m/>
    <m/>
    <m/>
    <m/>
    <m/>
    <m/>
    <m/>
  </r>
  <r>
    <x v="0"/>
    <s v="NFL Combine Data 08-11"/>
    <x v="30"/>
    <n v="2014"/>
    <x v="9"/>
    <x v="3"/>
    <x v="13"/>
    <m/>
    <m/>
    <x v="31"/>
    <x v="3"/>
    <x v="0"/>
    <x v="0"/>
    <x v="1"/>
    <s v="Nm"/>
    <s v="Nm/kg"/>
    <n v="345.6"/>
    <n v="69.5"/>
    <n v="230.5"/>
    <n v="41.2"/>
    <n v="2.74"/>
    <n v="0.56299999999999994"/>
    <n v="1.83"/>
    <n v="0.32500000000000001"/>
    <m/>
    <m/>
    <m/>
    <m/>
    <m/>
    <m/>
    <m/>
    <m/>
    <m/>
    <m/>
  </r>
  <r>
    <x v="0"/>
    <s v="NFL Combine Data 08-11"/>
    <x v="30"/>
    <n v="2014"/>
    <x v="9"/>
    <x v="3"/>
    <x v="13"/>
    <m/>
    <m/>
    <x v="31"/>
    <x v="4"/>
    <x v="0"/>
    <x v="0"/>
    <x v="1"/>
    <s v="Nm"/>
    <s v="Nm/kg"/>
    <n v="339.5"/>
    <n v="72.7"/>
    <n v="232.6"/>
    <n v="38.1"/>
    <n v="2.7"/>
    <n v="0.59799999999999998"/>
    <n v="1.97"/>
    <n v="0.379"/>
    <m/>
    <m/>
    <m/>
    <m/>
    <m/>
    <m/>
    <m/>
    <m/>
    <m/>
    <m/>
  </r>
  <r>
    <x v="0"/>
    <s v="NFL Combine Data 08-11"/>
    <x v="30"/>
    <n v="2014"/>
    <x v="9"/>
    <x v="3"/>
    <x v="14"/>
    <m/>
    <m/>
    <x v="32"/>
    <x v="3"/>
    <x v="0"/>
    <x v="0"/>
    <x v="1"/>
    <s v="Nm"/>
    <s v="Nm/kg"/>
    <n v="276.5"/>
    <n v="65.099999999999994"/>
    <n v="178.5"/>
    <n v="34.299999999999997"/>
    <n v="2.98"/>
    <n v="0.64400000000000002"/>
    <n v="1.93"/>
    <n v="0.29799999999999999"/>
    <m/>
    <m/>
    <m/>
    <m/>
    <m/>
    <m/>
    <m/>
    <m/>
    <m/>
    <m/>
  </r>
  <r>
    <x v="0"/>
    <s v="NFL Combine Data 08-11"/>
    <x v="30"/>
    <n v="2014"/>
    <x v="9"/>
    <x v="3"/>
    <x v="14"/>
    <m/>
    <m/>
    <x v="32"/>
    <x v="4"/>
    <x v="0"/>
    <x v="0"/>
    <x v="1"/>
    <s v="Nm"/>
    <s v="Nm/kg"/>
    <n v="268.5"/>
    <n v="59.4"/>
    <n v="178.7"/>
    <n v="41.1"/>
    <n v="2.91"/>
    <n v="0.59799999999999998"/>
    <n v="1.94"/>
    <n v="0.39"/>
    <m/>
    <m/>
    <m/>
    <m/>
    <m/>
    <m/>
    <m/>
    <m/>
    <m/>
    <m/>
  </r>
  <r>
    <x v="0"/>
    <s v="NFL Combine Data 08-11"/>
    <x v="30"/>
    <n v="2014"/>
    <x v="9"/>
    <x v="3"/>
    <x v="15"/>
    <m/>
    <m/>
    <x v="33"/>
    <x v="3"/>
    <x v="0"/>
    <x v="0"/>
    <x v="1"/>
    <s v="Nm"/>
    <s v="Nm/kg"/>
    <n v="327.5"/>
    <n v="72.3"/>
    <n v="219"/>
    <n v="42.6"/>
    <n v="3.01"/>
    <n v="0.65900000000000003"/>
    <n v="2.02"/>
    <n v="0.40500000000000003"/>
    <m/>
    <m/>
    <m/>
    <m/>
    <m/>
    <m/>
    <m/>
    <m/>
    <m/>
    <m/>
  </r>
  <r>
    <x v="0"/>
    <s v="NFL Combine Data 08-11"/>
    <x v="30"/>
    <n v="2014"/>
    <x v="9"/>
    <x v="3"/>
    <x v="15"/>
    <m/>
    <m/>
    <x v="33"/>
    <x v="4"/>
    <x v="0"/>
    <x v="0"/>
    <x v="1"/>
    <s v="Nm"/>
    <s v="Nm/kg"/>
    <n v="316.5"/>
    <n v="69.7"/>
    <n v="211"/>
    <n v="35.299999999999997"/>
    <n v="2.91"/>
    <n v="0.63500000000000001"/>
    <n v="1.94"/>
    <n v="0.33100000000000002"/>
    <m/>
    <m/>
    <m/>
    <m/>
    <m/>
    <m/>
    <m/>
    <m/>
    <m/>
    <m/>
  </r>
  <r>
    <x v="0"/>
    <s v="NFL Combine Data 08-11"/>
    <x v="30"/>
    <n v="2014"/>
    <x v="9"/>
    <x v="3"/>
    <x v="10"/>
    <m/>
    <m/>
    <x v="34"/>
    <x v="3"/>
    <x v="0"/>
    <x v="0"/>
    <x v="1"/>
    <s v="Nm"/>
    <s v="Nm/kg"/>
    <n v="348.6"/>
    <n v="66.400000000000006"/>
    <n v="234.3"/>
    <n v="39.9"/>
    <n v="2.52"/>
    <n v="0.49199999999999999"/>
    <n v="1.69"/>
    <n v="0.27200000000000002"/>
    <m/>
    <m/>
    <m/>
    <m/>
    <m/>
    <m/>
    <m/>
    <m/>
    <m/>
    <m/>
  </r>
  <r>
    <x v="0"/>
    <s v="NFL Combine Data 08-11"/>
    <x v="30"/>
    <n v="2014"/>
    <x v="9"/>
    <x v="3"/>
    <x v="10"/>
    <m/>
    <m/>
    <x v="34"/>
    <x v="4"/>
    <x v="0"/>
    <x v="0"/>
    <x v="1"/>
    <s v="Nm"/>
    <s v="Nm/kg"/>
    <n v="342.7"/>
    <n v="63.7"/>
    <n v="235.3"/>
    <n v="38.799999999999997"/>
    <n v="2.48"/>
    <n v="0.47399999999999998"/>
    <n v="1.7"/>
    <n v="0.26800000000000002"/>
    <m/>
    <m/>
    <m/>
    <m/>
    <m/>
    <m/>
    <m/>
    <m/>
    <m/>
    <m/>
  </r>
  <r>
    <x v="0"/>
    <s v="NFL Combine Data 08-11"/>
    <x v="30"/>
    <n v="2014"/>
    <x v="9"/>
    <x v="3"/>
    <x v="16"/>
    <m/>
    <m/>
    <x v="35"/>
    <x v="3"/>
    <x v="0"/>
    <x v="0"/>
    <x v="1"/>
    <s v="Nm"/>
    <s v="Nm/kg"/>
    <n v="304.3"/>
    <n v="55.7"/>
    <n v="207.5"/>
    <n v="41.5"/>
    <n v="3"/>
    <n v="0.56299999999999994"/>
    <n v="2.04"/>
    <n v="0.378"/>
    <m/>
    <m/>
    <m/>
    <m/>
    <m/>
    <m/>
    <m/>
    <m/>
    <m/>
    <m/>
  </r>
  <r>
    <x v="0"/>
    <s v="NFL Combine Data 08-11"/>
    <x v="30"/>
    <n v="2014"/>
    <x v="9"/>
    <x v="3"/>
    <x v="16"/>
    <m/>
    <m/>
    <x v="35"/>
    <x v="4"/>
    <x v="0"/>
    <x v="0"/>
    <x v="1"/>
    <s v="Nm"/>
    <s v="Nm/kg"/>
    <n v="298.60000000000002"/>
    <n v="61.3"/>
    <n v="206.4"/>
    <n v="37.200000000000003"/>
    <n v="2.95"/>
    <n v="0.63200000000000001"/>
    <n v="2.0299999999999998"/>
    <n v="0.34599999999999997"/>
    <m/>
    <m/>
    <m/>
    <m/>
    <m/>
    <m/>
    <m/>
    <m/>
    <m/>
    <m/>
  </r>
  <r>
    <x v="0"/>
    <s v="NFL Combine Data 08-11"/>
    <x v="30"/>
    <n v="2014"/>
    <x v="9"/>
    <x v="3"/>
    <x v="17"/>
    <m/>
    <m/>
    <x v="36"/>
    <x v="3"/>
    <x v="0"/>
    <x v="0"/>
    <x v="1"/>
    <s v="Nm"/>
    <s v="Nm/kg"/>
    <n v="303.10000000000002"/>
    <n v="67.7"/>
    <n v="199.7"/>
    <n v="40.1"/>
    <n v="3.06"/>
    <n v="0.66200000000000003"/>
    <n v="2.02"/>
    <n v="0.39300000000000002"/>
    <m/>
    <m/>
    <m/>
    <m/>
    <m/>
    <m/>
    <m/>
    <m/>
    <m/>
    <m/>
  </r>
  <r>
    <x v="0"/>
    <s v="NFL Combine Data 08-11"/>
    <x v="30"/>
    <n v="2014"/>
    <x v="9"/>
    <x v="3"/>
    <x v="17"/>
    <m/>
    <m/>
    <x v="36"/>
    <x v="4"/>
    <x v="0"/>
    <x v="0"/>
    <x v="1"/>
    <s v="Nm"/>
    <s v="Nm/kg"/>
    <n v="296.60000000000002"/>
    <n v="64"/>
    <n v="197.7"/>
    <n v="38.9"/>
    <n v="2.99"/>
    <n v="0.626"/>
    <n v="2"/>
    <n v="0.379"/>
    <m/>
    <m/>
    <m/>
    <m/>
    <m/>
    <m/>
    <m/>
    <m/>
    <m/>
    <m/>
  </r>
  <r>
    <x v="0"/>
    <s v="NFL Combine Data 08-11"/>
    <x v="30"/>
    <n v="2014"/>
    <x v="9"/>
    <x v="3"/>
    <x v="18"/>
    <m/>
    <m/>
    <x v="37"/>
    <x v="3"/>
    <x v="0"/>
    <x v="0"/>
    <x v="1"/>
    <s v="Nm"/>
    <s v="Nm/kg"/>
    <n v="341.6"/>
    <n v="53"/>
    <n v="231.3"/>
    <n v="38.700000000000003"/>
    <n v="2.96"/>
    <n v="0.46800000000000003"/>
    <n v="2"/>
    <n v="0.32800000000000001"/>
    <m/>
    <m/>
    <m/>
    <m/>
    <m/>
    <m/>
    <m/>
    <m/>
    <m/>
    <m/>
  </r>
  <r>
    <x v="0"/>
    <s v="NFL Combine Data 08-11"/>
    <x v="30"/>
    <n v="2014"/>
    <x v="9"/>
    <x v="3"/>
    <x v="18"/>
    <m/>
    <m/>
    <x v="37"/>
    <x v="4"/>
    <x v="0"/>
    <x v="0"/>
    <x v="1"/>
    <s v="Nm"/>
    <s v="Nm/kg"/>
    <n v="336.8"/>
    <n v="58.2"/>
    <n v="230.2"/>
    <n v="37.200000000000003"/>
    <n v="2.92"/>
    <n v="0.52500000000000002"/>
    <n v="2"/>
    <n v="0.32500000000000001"/>
    <m/>
    <m/>
    <m/>
    <m/>
    <m/>
    <m/>
    <m/>
    <m/>
    <m/>
    <m/>
  </r>
  <r>
    <x v="0"/>
    <s v="NFL Combine Data 08-11"/>
    <x v="30"/>
    <n v="2014"/>
    <x v="9"/>
    <x v="3"/>
    <x v="19"/>
    <m/>
    <m/>
    <x v="38"/>
    <x v="3"/>
    <x v="0"/>
    <x v="0"/>
    <x v="1"/>
    <s v="Nm"/>
    <s v="Nm/kg"/>
    <n v="278.7"/>
    <n v="57.6"/>
    <n v="192.7"/>
    <n v="40.5"/>
    <n v="3.05"/>
    <n v="0.55700000000000005"/>
    <n v="2.1"/>
    <n v="0.375"/>
    <m/>
    <m/>
    <m/>
    <m/>
    <m/>
    <m/>
    <m/>
    <m/>
    <m/>
    <m/>
  </r>
  <r>
    <x v="0"/>
    <s v="NFL Combine Data 08-11"/>
    <x v="30"/>
    <n v="2014"/>
    <x v="9"/>
    <x v="3"/>
    <x v="19"/>
    <m/>
    <m/>
    <x v="38"/>
    <x v="4"/>
    <x v="0"/>
    <x v="0"/>
    <x v="1"/>
    <s v="Nm"/>
    <s v="Nm/kg"/>
    <n v="276.8"/>
    <n v="57.8"/>
    <n v="191.3"/>
    <n v="40.799999999999997"/>
    <n v="3.04"/>
    <n v="0.58399999999999996"/>
    <n v="2.09"/>
    <n v="0.39600000000000002"/>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39E6F6-192F-40CD-B262-1CF70E35A6E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9:E13" firstHeaderRow="0" firstDataRow="1" firstDataCol="1" rowPageCount="7" colPageCount="1"/>
  <pivotFields count="44">
    <pivotField axis="axisPage" showAll="0">
      <items count="8">
        <item x="0"/>
        <item x="2"/>
        <item x="6"/>
        <item x="1"/>
        <item x="5"/>
        <item x="3"/>
        <item x="4"/>
        <item t="default"/>
      </items>
    </pivotField>
    <pivotField showAll="0"/>
    <pivotField axis="axisRow" showAll="0">
      <items count="14">
        <item x="4"/>
        <item h="1" x="1"/>
        <item h="1" x="9"/>
        <item h="1" x="0"/>
        <item h="1" x="2"/>
        <item h="1" x="11"/>
        <item h="1" x="5"/>
        <item h="1" x="8"/>
        <item h="1" x="7"/>
        <item x="3"/>
        <item h="1" x="6"/>
        <item h="1" x="10"/>
        <item m="1" x="12"/>
        <item t="default"/>
      </items>
    </pivotField>
    <pivotField showAll="0"/>
    <pivotField axis="axisRow" showAll="0">
      <items count="6">
        <item x="3"/>
        <item x="0"/>
        <item x="1"/>
        <item x="2"/>
        <item h="1" m="1" x="4"/>
        <item t="default"/>
      </items>
    </pivotField>
    <pivotField axis="axisPage" showAll="0">
      <items count="8">
        <item x="0"/>
        <item x="5"/>
        <item x="2"/>
        <item x="3"/>
        <item x="1"/>
        <item x="4"/>
        <item m="1" x="6"/>
        <item t="default"/>
      </items>
    </pivotField>
    <pivotField axis="axisPage" showAll="0">
      <items count="14">
        <item x="4"/>
        <item x="3"/>
        <item m="1" x="8"/>
        <item m="1" x="12"/>
        <item m="1" x="11"/>
        <item m="1" x="10"/>
        <item x="0"/>
        <item x="5"/>
        <item x="7"/>
        <item x="6"/>
        <item x="1"/>
        <item m="1" x="9"/>
        <item x="2"/>
        <item t="default"/>
      </items>
    </pivotField>
    <pivotField showAll="0"/>
    <pivotField showAll="0"/>
    <pivotField showAll="0">
      <items count="21">
        <item x="16"/>
        <item x="17"/>
        <item x="18"/>
        <item x="2"/>
        <item x="7"/>
        <item x="19"/>
        <item x="5"/>
        <item x="4"/>
        <item x="13"/>
        <item x="14"/>
        <item x="11"/>
        <item x="0"/>
        <item x="15"/>
        <item x="8"/>
        <item x="9"/>
        <item x="3"/>
        <item x="10"/>
        <item x="6"/>
        <item x="12"/>
        <item x="1"/>
        <item t="default"/>
      </items>
    </pivotField>
    <pivotField showAll="0"/>
    <pivotField axis="axisPage" showAll="0">
      <items count="6">
        <item x="2"/>
        <item x="1"/>
        <item x="0"/>
        <item m="1" x="3"/>
        <item m="1" x="4"/>
        <item t="default"/>
      </items>
    </pivotField>
    <pivotField axis="axisPage" showAll="0">
      <items count="4">
        <item x="0"/>
        <item x="1"/>
        <item m="1" x="2"/>
        <item t="default"/>
      </items>
    </pivotField>
    <pivotField axis="axisPage" showAll="0">
      <items count="7">
        <item x="1"/>
        <item x="4"/>
        <item x="3"/>
        <item x="2"/>
        <item x="0"/>
        <item m="1" x="5"/>
        <item t="default"/>
      </items>
    </pivotField>
    <pivotField axis="axisPage" showAll="0">
      <items count="3">
        <item x="0"/>
        <item m="1" x="1"/>
        <item t="default"/>
      </items>
    </pivotField>
    <pivotField showAll="0"/>
    <pivotField showAll="0"/>
    <pivotField showAll="0"/>
    <pivotField showAll="0"/>
    <pivotField showAll="0"/>
    <pivotField showAll="0"/>
    <pivotField showAll="0"/>
    <pivotField showAll="0"/>
    <pivotField dataField="1"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4"/>
    <field x="2"/>
  </rowFields>
  <rowItems count="4">
    <i>
      <x/>
    </i>
    <i r="1">
      <x/>
    </i>
    <i r="1">
      <x v="9"/>
    </i>
    <i t="grand">
      <x/>
    </i>
  </rowItems>
  <colFields count="1">
    <field x="-2"/>
  </colFields>
  <colItems count="4">
    <i>
      <x/>
    </i>
    <i i="1">
      <x v="1"/>
    </i>
    <i i="2">
      <x v="2"/>
    </i>
    <i i="3">
      <x v="3"/>
    </i>
  </colItems>
  <pageFields count="7">
    <pageField fld="11" hier="-1"/>
    <pageField fld="0" hier="-1"/>
    <pageField fld="5" hier="-1"/>
    <pageField fld="6" hier="-1"/>
    <pageField fld="12" hier="-1"/>
    <pageField fld="14" item="0" hier="-1"/>
    <pageField fld="13" hier="-1"/>
  </pageFields>
  <dataFields count="4">
    <dataField name="Average of Dorsi Flexion Pk Torque/BW" fld="23" subtotal="average" baseField="4" baseItem="0" numFmtId="2"/>
    <dataField name="Average of Inversion PkTorque/BW" fld="26" subtotal="average" baseField="4" baseItem="0" numFmtId="2"/>
    <dataField name="Average of Eversion PkTorque/BW" fld="28" subtotal="average" baseField="4" baseItem="0"/>
    <dataField name="Average of Flex Pk Torque/BW" fld="25" subtotal="average" baseField="4" baseItem="0"/>
  </dataFields>
  <chartFormats count="4">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2"/>
          </reference>
        </references>
      </pivotArea>
    </chartFormat>
    <chartFormat chart="2"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F3E38C-9541-491C-82E3-91ADDF5047C4}" name="Knee Pivot Table " cacheId="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7" rowHeaderCaption=" ">
  <location ref="A8:C51" firstHeaderRow="0" firstDataRow="1" firstDataCol="1" rowPageCount="5" colPageCount="1"/>
  <pivotFields count="34">
    <pivotField axis="axisPage" showAll="0">
      <items count="6">
        <item x="0"/>
        <item x="4"/>
        <item x="2"/>
        <item x="3"/>
        <item x="1"/>
        <item t="default"/>
      </items>
    </pivotField>
    <pivotField showAll="0"/>
    <pivotField axis="axisRow" showAll="0">
      <items count="36">
        <item x="0"/>
        <item h="1" x="1"/>
        <item x="2"/>
        <item x="3"/>
        <item x="4"/>
        <item m="1" x="31"/>
        <item x="5"/>
        <item x="6"/>
        <item x="7"/>
        <item x="8"/>
        <item h="1" x="9"/>
        <item x="10"/>
        <item x="12"/>
        <item x="13"/>
        <item x="14"/>
        <item x="15"/>
        <item x="16"/>
        <item x="17"/>
        <item x="18"/>
        <item x="19"/>
        <item x="20"/>
        <item x="21"/>
        <item x="22"/>
        <item x="23"/>
        <item x="24"/>
        <item x="25"/>
        <item x="26"/>
        <item x="27"/>
        <item x="28"/>
        <item x="29"/>
        <item x="30"/>
        <item m="1" x="34"/>
        <item m="1" x="32"/>
        <item m="1" x="33"/>
        <item h="1" x="11"/>
        <item t="default"/>
      </items>
    </pivotField>
    <pivotField showAll="0"/>
    <pivotField axis="axisRow" showAll="0">
      <items count="16">
        <item x="1"/>
        <item x="7"/>
        <item x="9"/>
        <item x="2"/>
        <item x="11"/>
        <item m="1" x="14"/>
        <item x="6"/>
        <item x="5"/>
        <item m="1" x="12"/>
        <item x="3"/>
        <item x="4"/>
        <item x="10"/>
        <item x="0"/>
        <item x="8"/>
        <item m="1" x="13"/>
        <item t="default"/>
      </items>
    </pivotField>
    <pivotField axis="axisPage" showAll="0">
      <items count="11">
        <item x="1"/>
        <item x="4"/>
        <item x="0"/>
        <item m="1" x="6"/>
        <item x="5"/>
        <item m="1" x="9"/>
        <item x="3"/>
        <item m="1" x="7"/>
        <item x="2"/>
        <item m="1" x="8"/>
        <item t="default"/>
      </items>
    </pivotField>
    <pivotField axis="axisPage" showAll="0">
      <items count="35">
        <item x="6"/>
        <item x="5"/>
        <item x="4"/>
        <item m="1" x="30"/>
        <item m="1" x="20"/>
        <item x="12"/>
        <item m="1" x="32"/>
        <item m="1" x="22"/>
        <item m="1" x="31"/>
        <item x="0"/>
        <item m="1" x="33"/>
        <item m="1" x="28"/>
        <item m="1" x="23"/>
        <item m="1" x="21"/>
        <item m="1" x="24"/>
        <item m="1" x="25"/>
        <item x="1"/>
        <item x="3"/>
        <item x="7"/>
        <item x="2"/>
        <item x="8"/>
        <item m="1" x="26"/>
        <item m="1" x="27"/>
        <item m="1" x="29"/>
        <item x="11"/>
        <item x="13"/>
        <item x="14"/>
        <item x="15"/>
        <item x="10"/>
        <item x="16"/>
        <item x="17"/>
        <item x="18"/>
        <item x="19"/>
        <item x="9"/>
        <item t="default"/>
      </items>
    </pivotField>
    <pivotField showAll="0"/>
    <pivotField showAll="0"/>
    <pivotField showAll="0">
      <items count="41">
        <item x="10"/>
        <item x="25"/>
        <item x="26"/>
        <item x="2"/>
        <item x="6"/>
        <item x="12"/>
        <item x="19"/>
        <item x="14"/>
        <item x="3"/>
        <item x="4"/>
        <item x="11"/>
        <item x="23"/>
        <item x="0"/>
        <item x="15"/>
        <item x="17"/>
        <item x="28"/>
        <item m="1" x="39"/>
        <item x="18"/>
        <item x="13"/>
        <item x="32"/>
        <item x="1"/>
        <item x="5"/>
        <item x="37"/>
        <item x="27"/>
        <item x="20"/>
        <item x="7"/>
        <item x="35"/>
        <item x="24"/>
        <item x="9"/>
        <item x="8"/>
        <item x="36"/>
        <item x="33"/>
        <item x="21"/>
        <item x="38"/>
        <item x="22"/>
        <item x="34"/>
        <item x="31"/>
        <item x="30"/>
        <item x="16"/>
        <item x="29"/>
        <item t="default"/>
      </items>
    </pivotField>
    <pivotField showAll="0">
      <items count="16">
        <item x="6"/>
        <item x="3"/>
        <item x="5"/>
        <item x="14"/>
        <item x="8"/>
        <item x="0"/>
        <item x="4"/>
        <item x="2"/>
        <item x="10"/>
        <item x="1"/>
        <item x="9"/>
        <item x="11"/>
        <item x="12"/>
        <item x="7"/>
        <item x="13"/>
        <item t="default"/>
      </items>
    </pivotField>
    <pivotField axis="axisPage" showAll="0">
      <items count="5">
        <item x="2"/>
        <item x="0"/>
        <item x="1"/>
        <item m="1" x="3"/>
        <item t="default"/>
      </items>
    </pivotField>
    <pivotField axis="axisPage" showAll="0">
      <items count="4">
        <item x="0"/>
        <item x="1"/>
        <item m="1" x="2"/>
        <item t="default"/>
      </items>
    </pivotField>
    <pivotField showAll="0">
      <items count="6">
        <item x="0"/>
        <item x="1"/>
        <item x="4"/>
        <item x="2"/>
        <item x="3"/>
        <item t="default"/>
      </items>
    </pivotField>
    <pivotField showAll="0"/>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4"/>
    <field x="2"/>
  </rowFields>
  <rowItems count="43">
    <i>
      <x/>
    </i>
    <i r="1">
      <x/>
    </i>
    <i r="1">
      <x v="3"/>
    </i>
    <i r="1">
      <x v="14"/>
    </i>
    <i r="1">
      <x v="21"/>
    </i>
    <i r="1">
      <x v="25"/>
    </i>
    <i r="1">
      <x v="29"/>
    </i>
    <i>
      <x v="1"/>
    </i>
    <i r="1">
      <x v="6"/>
    </i>
    <i>
      <x v="2"/>
    </i>
    <i r="1">
      <x v="18"/>
    </i>
    <i r="1">
      <x v="24"/>
    </i>
    <i r="1">
      <x v="30"/>
    </i>
    <i>
      <x v="3"/>
    </i>
    <i r="1">
      <x/>
    </i>
    <i r="1">
      <x v="13"/>
    </i>
    <i r="1">
      <x v="20"/>
    </i>
    <i r="1">
      <x v="23"/>
    </i>
    <i r="1">
      <x v="26"/>
    </i>
    <i>
      <x v="4"/>
    </i>
    <i r="1">
      <x v="16"/>
    </i>
    <i r="1">
      <x v="18"/>
    </i>
    <i>
      <x v="6"/>
    </i>
    <i r="1">
      <x v="6"/>
    </i>
    <i>
      <x v="7"/>
    </i>
    <i r="1">
      <x v="6"/>
    </i>
    <i>
      <x v="9"/>
    </i>
    <i r="1">
      <x v="4"/>
    </i>
    <i r="1">
      <x v="17"/>
    </i>
    <i>
      <x v="10"/>
    </i>
    <i r="1">
      <x v="2"/>
    </i>
    <i r="1">
      <x v="7"/>
    </i>
    <i r="1">
      <x v="8"/>
    </i>
    <i r="1">
      <x v="9"/>
    </i>
    <i r="1">
      <x v="11"/>
    </i>
    <i r="1">
      <x v="12"/>
    </i>
    <i r="1">
      <x v="27"/>
    </i>
    <i>
      <x v="12"/>
    </i>
    <i r="1">
      <x/>
    </i>
    <i r="1">
      <x v="28"/>
    </i>
    <i>
      <x v="13"/>
    </i>
    <i r="1">
      <x v="6"/>
    </i>
    <i t="grand">
      <x/>
    </i>
  </rowItems>
  <colFields count="1">
    <field x="-2"/>
  </colFields>
  <colItems count="2">
    <i>
      <x/>
    </i>
    <i i="1">
      <x v="1"/>
    </i>
  </colItems>
  <pageFields count="5">
    <pageField fld="0" item="0" hier="-1"/>
    <pageField fld="11" hier="-1"/>
    <pageField fld="12" hier="-1"/>
    <pageField fld="5" hier="-1"/>
    <pageField fld="6" hier="-1"/>
  </pageFields>
  <dataFields count="2">
    <dataField name="Average of Extension Peak Force" fld="16" subtotal="average" baseField="2" baseItem="14"/>
    <dataField name="Average of Flexion Peak Force" fld="18" subtotal="average" baseField="2" baseItem="14"/>
  </dataFields>
  <formats count="24">
    <format dxfId="23">
      <pivotArea collapsedLevelsAreSubtotals="1" fieldPosition="0">
        <references count="1">
          <reference field="4" count="1">
            <x v="0"/>
          </reference>
        </references>
      </pivotArea>
    </format>
    <format dxfId="22">
      <pivotArea collapsedLevelsAreSubtotals="1" fieldPosition="0">
        <references count="2">
          <reference field="2" count="7">
            <x v="0"/>
            <x v="3"/>
            <x v="14"/>
            <x v="19"/>
            <x v="21"/>
            <x v="25"/>
            <x v="29"/>
          </reference>
          <reference field="4" count="1" selected="0">
            <x v="0"/>
          </reference>
        </references>
      </pivotArea>
    </format>
    <format dxfId="21">
      <pivotArea collapsedLevelsAreSubtotals="1" fieldPosition="0">
        <references count="1">
          <reference field="4" count="1">
            <x v="1"/>
          </reference>
        </references>
      </pivotArea>
    </format>
    <format dxfId="20">
      <pivotArea collapsedLevelsAreSubtotals="1" fieldPosition="0">
        <references count="2">
          <reference field="2" count="1">
            <x v="6"/>
          </reference>
          <reference field="4" count="1" selected="0">
            <x v="1"/>
          </reference>
        </references>
      </pivotArea>
    </format>
    <format dxfId="19">
      <pivotArea collapsedLevelsAreSubtotals="1" fieldPosition="0">
        <references count="1">
          <reference field="4" count="1">
            <x v="2"/>
          </reference>
        </references>
      </pivotArea>
    </format>
    <format dxfId="18">
      <pivotArea collapsedLevelsAreSubtotals="1" fieldPosition="0">
        <references count="2">
          <reference field="2" count="4">
            <x v="5"/>
            <x v="18"/>
            <x v="24"/>
            <x v="30"/>
          </reference>
          <reference field="4" count="1" selected="0">
            <x v="2"/>
          </reference>
        </references>
      </pivotArea>
    </format>
    <format dxfId="17">
      <pivotArea collapsedLevelsAreSubtotals="1" fieldPosition="0">
        <references count="1">
          <reference field="4" count="1">
            <x v="3"/>
          </reference>
        </references>
      </pivotArea>
    </format>
    <format dxfId="16">
      <pivotArea collapsedLevelsAreSubtotals="1" fieldPosition="0">
        <references count="2">
          <reference field="2" count="5">
            <x v="0"/>
            <x v="13"/>
            <x v="20"/>
            <x v="23"/>
            <x v="26"/>
          </reference>
          <reference field="4" count="1" selected="0">
            <x v="3"/>
          </reference>
        </references>
      </pivotArea>
    </format>
    <format dxfId="15">
      <pivotArea collapsedLevelsAreSubtotals="1" fieldPosition="0">
        <references count="1">
          <reference field="4" count="1">
            <x v="4"/>
          </reference>
        </references>
      </pivotArea>
    </format>
    <format dxfId="14">
      <pivotArea collapsedLevelsAreSubtotals="1" fieldPosition="0">
        <references count="2">
          <reference field="2" count="2">
            <x v="16"/>
            <x v="18"/>
          </reference>
          <reference field="4" count="1" selected="0">
            <x v="4"/>
          </reference>
        </references>
      </pivotArea>
    </format>
    <format dxfId="13">
      <pivotArea collapsedLevelsAreSubtotals="1" fieldPosition="0">
        <references count="1">
          <reference field="4" count="1">
            <x v="6"/>
          </reference>
        </references>
      </pivotArea>
    </format>
    <format dxfId="12">
      <pivotArea collapsedLevelsAreSubtotals="1" fieldPosition="0">
        <references count="2">
          <reference field="2" count="1">
            <x v="6"/>
          </reference>
          <reference field="4" count="1" selected="0">
            <x v="6"/>
          </reference>
        </references>
      </pivotArea>
    </format>
    <format dxfId="11">
      <pivotArea collapsedLevelsAreSubtotals="1" fieldPosition="0">
        <references count="1">
          <reference field="4" count="1">
            <x v="7"/>
          </reference>
        </references>
      </pivotArea>
    </format>
    <format dxfId="10">
      <pivotArea collapsedLevelsAreSubtotals="1" fieldPosition="0">
        <references count="2">
          <reference field="2" count="1">
            <x v="6"/>
          </reference>
          <reference field="4" count="1" selected="0">
            <x v="7"/>
          </reference>
        </references>
      </pivotArea>
    </format>
    <format dxfId="9">
      <pivotArea collapsedLevelsAreSubtotals="1" fieldPosition="0">
        <references count="1">
          <reference field="4" count="1">
            <x v="9"/>
          </reference>
        </references>
      </pivotArea>
    </format>
    <format dxfId="8">
      <pivotArea collapsedLevelsAreSubtotals="1" fieldPosition="0">
        <references count="2">
          <reference field="2" count="3">
            <x v="1"/>
            <x v="4"/>
            <x v="17"/>
          </reference>
          <reference field="4" count="1" selected="0">
            <x v="9"/>
          </reference>
        </references>
      </pivotArea>
    </format>
    <format dxfId="7">
      <pivotArea collapsedLevelsAreSubtotals="1" fieldPosition="0">
        <references count="1">
          <reference field="4" count="1">
            <x v="10"/>
          </reference>
        </references>
      </pivotArea>
    </format>
    <format dxfId="6">
      <pivotArea collapsedLevelsAreSubtotals="1" fieldPosition="0">
        <references count="2">
          <reference field="2" count="9">
            <x v="2"/>
            <x v="7"/>
            <x v="8"/>
            <x v="9"/>
            <x v="10"/>
            <x v="11"/>
            <x v="12"/>
            <x v="22"/>
            <x v="27"/>
          </reference>
          <reference field="4" count="1" selected="0">
            <x v="10"/>
          </reference>
        </references>
      </pivotArea>
    </format>
    <format dxfId="5">
      <pivotArea collapsedLevelsAreSubtotals="1" fieldPosition="0">
        <references count="1">
          <reference field="4" count="1">
            <x v="13"/>
          </reference>
        </references>
      </pivotArea>
    </format>
    <format dxfId="4">
      <pivotArea collapsedLevelsAreSubtotals="1" fieldPosition="0">
        <references count="2">
          <reference field="2" count="1">
            <x v="6"/>
          </reference>
          <reference field="4" count="1" selected="0">
            <x v="13"/>
          </reference>
        </references>
      </pivotArea>
    </format>
    <format dxfId="3">
      <pivotArea collapsedLevelsAreSubtotals="1" fieldPosition="0">
        <references count="1">
          <reference field="4" count="1">
            <x v="11"/>
          </reference>
        </references>
      </pivotArea>
    </format>
    <format dxfId="2">
      <pivotArea collapsedLevelsAreSubtotals="1" fieldPosition="0">
        <references count="2">
          <reference field="2" count="1">
            <x v="15"/>
          </reference>
          <reference field="4" count="1" selected="0">
            <x v="11"/>
          </reference>
        </references>
      </pivotArea>
    </format>
    <format dxfId="1">
      <pivotArea collapsedLevelsAreSubtotals="1" fieldPosition="0">
        <references count="1">
          <reference field="4" count="1">
            <x v="12"/>
          </reference>
        </references>
      </pivotArea>
    </format>
    <format dxfId="0">
      <pivotArea collapsedLevelsAreSubtotals="1" fieldPosition="0">
        <references count="2">
          <reference field="2" count="2">
            <x v="0"/>
            <x v="28"/>
          </reference>
          <reference field="4" count="1" selected="0">
            <x v="12"/>
          </reference>
        </references>
      </pivotArea>
    </format>
  </formats>
  <chartFormats count="4">
    <chartFormat chart="9" format="15"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0"/>
          </reference>
        </references>
      </pivotArea>
    </chartFormat>
    <chartFormat chart="9" format="16"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16306F-E0F4-42EF-ABB0-A49FCB4012D4}"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F9:H31" firstHeaderRow="0" firstDataRow="1" firstDataCol="1" rowPageCount="5" colPageCount="1"/>
  <pivotFields count="34">
    <pivotField axis="axisPage" showAll="0">
      <items count="6">
        <item x="0"/>
        <item x="4"/>
        <item x="2"/>
        <item x="3"/>
        <item x="1"/>
        <item t="default"/>
      </items>
    </pivotField>
    <pivotField showAll="0"/>
    <pivotField axis="axisRow" showAll="0" measureFilter="1">
      <items count="36">
        <item x="0"/>
        <item x="1"/>
        <item x="2"/>
        <item x="3"/>
        <item x="4"/>
        <item m="1" x="31"/>
        <item x="5"/>
        <item x="6"/>
        <item x="7"/>
        <item x="8"/>
        <item x="9"/>
        <item x="10"/>
        <item m="1" x="32"/>
        <item x="12"/>
        <item x="13"/>
        <item x="14"/>
        <item x="15"/>
        <item x="16"/>
        <item x="17"/>
        <item x="18"/>
        <item x="19"/>
        <item x="20"/>
        <item x="21"/>
        <item x="22"/>
        <item m="1" x="33"/>
        <item x="23"/>
        <item x="24"/>
        <item x="25"/>
        <item x="26"/>
        <item x="27"/>
        <item x="28"/>
        <item x="29"/>
        <item x="30"/>
        <item m="1" x="34"/>
        <item x="11"/>
        <item t="default"/>
      </items>
    </pivotField>
    <pivotField showAll="0"/>
    <pivotField axis="axisRow" showAll="0">
      <items count="16">
        <item x="1"/>
        <item x="7"/>
        <item x="9"/>
        <item x="2"/>
        <item x="11"/>
        <item m="1" x="14"/>
        <item x="6"/>
        <item x="5"/>
        <item m="1" x="12"/>
        <item x="3"/>
        <item x="4"/>
        <item x="8"/>
        <item x="10"/>
        <item x="0"/>
        <item m="1" x="13"/>
        <item t="default"/>
      </items>
    </pivotField>
    <pivotField axis="axisPage" showAll="0">
      <items count="11">
        <item x="1"/>
        <item x="4"/>
        <item x="0"/>
        <item m="1" x="6"/>
        <item x="5"/>
        <item m="1" x="9"/>
        <item x="3"/>
        <item m="1" x="7"/>
        <item x="2"/>
        <item m="1" x="8"/>
        <item t="default"/>
      </items>
    </pivotField>
    <pivotField axis="axisPage" showAll="0">
      <items count="35">
        <item x="6"/>
        <item x="5"/>
        <item x="4"/>
        <item m="1" x="30"/>
        <item m="1" x="20"/>
        <item x="12"/>
        <item m="1" x="32"/>
        <item m="1" x="22"/>
        <item m="1" x="31"/>
        <item x="0"/>
        <item m="1" x="33"/>
        <item m="1" x="28"/>
        <item m="1" x="23"/>
        <item m="1" x="21"/>
        <item m="1" x="24"/>
        <item m="1" x="25"/>
        <item x="1"/>
        <item x="3"/>
        <item x="7"/>
        <item x="2"/>
        <item x="8"/>
        <item m="1" x="26"/>
        <item m="1" x="27"/>
        <item m="1" x="29"/>
        <item x="11"/>
        <item x="13"/>
        <item x="14"/>
        <item x="15"/>
        <item x="10"/>
        <item x="16"/>
        <item x="17"/>
        <item x="18"/>
        <item x="19"/>
        <item x="9"/>
        <item t="default"/>
      </items>
    </pivotField>
    <pivotField showAll="0"/>
    <pivotField showAll="0"/>
    <pivotField showAll="0">
      <items count="41">
        <item x="10"/>
        <item x="25"/>
        <item x="26"/>
        <item x="2"/>
        <item x="6"/>
        <item x="12"/>
        <item x="19"/>
        <item x="14"/>
        <item x="3"/>
        <item x="4"/>
        <item x="11"/>
        <item x="23"/>
        <item x="0"/>
        <item x="15"/>
        <item x="17"/>
        <item x="28"/>
        <item m="1" x="39"/>
        <item x="18"/>
        <item x="13"/>
        <item x="32"/>
        <item x="1"/>
        <item x="5"/>
        <item x="37"/>
        <item x="27"/>
        <item x="20"/>
        <item x="7"/>
        <item x="35"/>
        <item x="24"/>
        <item x="9"/>
        <item x="8"/>
        <item x="36"/>
        <item x="33"/>
        <item x="21"/>
        <item x="38"/>
        <item x="22"/>
        <item x="34"/>
        <item x="31"/>
        <item x="30"/>
        <item x="16"/>
        <item x="29"/>
        <item t="default"/>
      </items>
    </pivotField>
    <pivotField showAll="0"/>
    <pivotField axis="axisPage" showAll="0">
      <items count="5">
        <item x="2"/>
        <item x="0"/>
        <item x="1"/>
        <item m="1" x="3"/>
        <item t="default"/>
      </items>
    </pivotField>
    <pivotField axis="axisPage" showAll="0">
      <items count="4">
        <item x="0"/>
        <item x="1"/>
        <item m="1" x="2"/>
        <item t="default"/>
      </items>
    </pivotField>
    <pivotField showAll="0">
      <items count="6">
        <item x="0"/>
        <item x="1"/>
        <item x="4"/>
        <item x="2"/>
        <item x="3"/>
        <item t="default"/>
      </items>
    </pivotField>
    <pivotField showAll="0"/>
    <pivotField showAll="0"/>
    <pivotField showAll="0"/>
    <pivotField showAll="0"/>
    <pivotField showAll="0"/>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2">
    <field x="4"/>
    <field x="2"/>
  </rowFields>
  <rowItems count="22">
    <i>
      <x/>
    </i>
    <i r="1">
      <x v="3"/>
    </i>
    <i r="1">
      <x v="15"/>
    </i>
    <i r="1">
      <x v="22"/>
    </i>
    <i>
      <x v="2"/>
    </i>
    <i r="1">
      <x v="19"/>
    </i>
    <i r="1">
      <x v="32"/>
    </i>
    <i r="1">
      <x v="34"/>
    </i>
    <i>
      <x v="3"/>
    </i>
    <i r="1">
      <x v="14"/>
    </i>
    <i>
      <x v="4"/>
    </i>
    <i r="1">
      <x v="17"/>
    </i>
    <i r="1">
      <x v="19"/>
    </i>
    <i>
      <x v="9"/>
    </i>
    <i r="1">
      <x v="1"/>
    </i>
    <i r="1">
      <x v="18"/>
    </i>
    <i>
      <x v="10"/>
    </i>
    <i r="1">
      <x v="7"/>
    </i>
    <i r="1">
      <x v="9"/>
    </i>
    <i r="1">
      <x v="10"/>
    </i>
    <i r="1">
      <x v="11"/>
    </i>
    <i t="grand">
      <x/>
    </i>
  </rowItems>
  <colFields count="1">
    <field x="-2"/>
  </colFields>
  <colItems count="2">
    <i>
      <x/>
    </i>
    <i i="1">
      <x v="1"/>
    </i>
  </colItems>
  <pageFields count="5">
    <pageField fld="0" hier="-1"/>
    <pageField fld="5" hier="-1"/>
    <pageField fld="6" hier="-1"/>
    <pageField fld="11" hier="-1"/>
    <pageField fld="12" hier="-1"/>
  </pageFields>
  <dataFields count="2">
    <dataField name="Average of Ext Pk Torque/BW" fld="20" subtotal="average" baseField="4" baseItem="0" numFmtId="1"/>
    <dataField name="Average of Flex Pk Torque/BW" fld="22" subtotal="average" baseField="4" baseItem="0" numFmtId="1"/>
  </dataField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2"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C95CAE-1FD5-44F5-99AC-F5AC607CC9B7}" name="PivotTable2" cacheId="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gridDropZones="1" multipleFieldFilters="0" chartFormat="12">
  <location ref="A8:F37" firstHeaderRow="1" firstDataRow="2" firstDataCol="2" rowPageCount="6" colPageCount="1"/>
  <pivotFields count="37">
    <pivotField axis="axisPage" compact="0" outline="0" showAll="0">
      <items count="8">
        <item x="3"/>
        <item x="0"/>
        <item x="5"/>
        <item x="4"/>
        <item x="1"/>
        <item x="6"/>
        <item x="2"/>
        <item t="default"/>
      </items>
    </pivotField>
    <pivotField compact="0" outline="0" showAll="0"/>
    <pivotField axis="axisRow" compact="0" outline="0" showAll="0">
      <items count="17">
        <item x="2"/>
        <item x="10"/>
        <item x="11"/>
        <item x="7"/>
        <item x="3"/>
        <item h="1" x="13"/>
        <item x="5"/>
        <item x="1"/>
        <item x="0"/>
        <item x="6"/>
        <item x="4"/>
        <item x="12"/>
        <item x="9"/>
        <item x="8"/>
        <item x="14"/>
        <item x="15"/>
        <item t="default"/>
      </items>
    </pivotField>
    <pivotField compact="0" outline="0" showAll="0"/>
    <pivotField axis="axisRow" compact="0" outline="0" showAll="0">
      <items count="11">
        <item x="1"/>
        <item x="0"/>
        <item x="5"/>
        <item x="2"/>
        <item x="4"/>
        <item x="3"/>
        <item x="6"/>
        <item x="7"/>
        <item x="8"/>
        <item x="9"/>
        <item t="default"/>
      </items>
    </pivotField>
    <pivotField axis="axisPage" compact="0" outline="0" showAll="0">
      <items count="6">
        <item x="3"/>
        <item x="0"/>
        <item x="1"/>
        <item x="4"/>
        <item x="2"/>
        <item t="default"/>
      </items>
    </pivotField>
    <pivotField axis="axisPage" compact="0" outline="0" showAll="0">
      <items count="9">
        <item x="5"/>
        <item x="4"/>
        <item x="2"/>
        <item x="6"/>
        <item x="0"/>
        <item x="3"/>
        <item x="1"/>
        <item x="7"/>
        <item t="default"/>
      </items>
    </pivotField>
    <pivotField compact="0" outline="0" showAll="0"/>
    <pivotField compact="0" outline="0" showAll="0"/>
    <pivotField compact="0" outline="0" showAll="0">
      <items count="16">
        <item x="1"/>
        <item x="14"/>
        <item x="11"/>
        <item x="8"/>
        <item x="4"/>
        <item x="7"/>
        <item x="0"/>
        <item x="9"/>
        <item x="3"/>
        <item x="10"/>
        <item x="12"/>
        <item x="5"/>
        <item x="6"/>
        <item x="13"/>
        <item x="2"/>
        <item t="default"/>
      </items>
    </pivotField>
    <pivotField compact="0" outline="0" showAll="0"/>
    <pivotField axis="axisPage" compact="0" outline="0" showAll="0">
      <items count="5">
        <item x="1"/>
        <item x="0"/>
        <item x="2"/>
        <item m="1" x="3"/>
        <item t="default"/>
      </items>
    </pivotField>
    <pivotField axis="axisPage" compact="0" outline="0" showAll="0">
      <items count="3">
        <item x="0"/>
        <item x="1"/>
        <item t="default"/>
      </items>
    </pivotField>
    <pivotField compact="0" outline="0" showAll="0">
      <items count="5">
        <item x="0"/>
        <item x="2"/>
        <item x="1"/>
        <item x="3"/>
        <item t="default"/>
      </items>
    </pivotField>
    <pivotField axis="axisPage" compact="0" outline="0" multipleItemSelectionAllowed="1" showAll="0">
      <items count="6">
        <item x="2"/>
        <item h="1" m="1" x="4"/>
        <item x="3"/>
        <item x="0"/>
        <item x="1"/>
        <item t="default"/>
      </items>
    </pivotField>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4"/>
    <field x="2"/>
  </rowFields>
  <rowItems count="28">
    <i>
      <x/>
      <x v="4"/>
    </i>
    <i r="1">
      <x v="6"/>
    </i>
    <i r="1">
      <x v="7"/>
    </i>
    <i r="1">
      <x v="9"/>
    </i>
    <i r="1">
      <x v="11"/>
    </i>
    <i t="default">
      <x/>
    </i>
    <i>
      <x v="1"/>
      <x v="8"/>
    </i>
    <i r="1">
      <x v="13"/>
    </i>
    <i t="default">
      <x v="1"/>
    </i>
    <i>
      <x v="2"/>
      <x v="1"/>
    </i>
    <i t="default">
      <x v="2"/>
    </i>
    <i>
      <x v="3"/>
      <x/>
    </i>
    <i r="1">
      <x v="2"/>
    </i>
    <i t="default">
      <x v="3"/>
    </i>
    <i>
      <x v="4"/>
      <x v="3"/>
    </i>
    <i r="1">
      <x v="12"/>
    </i>
    <i t="default">
      <x v="4"/>
    </i>
    <i>
      <x v="5"/>
      <x v="10"/>
    </i>
    <i r="1">
      <x v="14"/>
    </i>
    <i t="default">
      <x v="5"/>
    </i>
    <i>
      <x v="6"/>
      <x v="15"/>
    </i>
    <i t="default">
      <x v="6"/>
    </i>
    <i>
      <x v="7"/>
      <x v="15"/>
    </i>
    <i t="default">
      <x v="7"/>
    </i>
    <i>
      <x v="8"/>
      <x v="15"/>
    </i>
    <i t="default">
      <x v="8"/>
    </i>
    <i>
      <x v="9"/>
      <x v="15"/>
    </i>
    <i t="default">
      <x v="9"/>
    </i>
  </rowItems>
  <colFields count="1">
    <field x="-2"/>
  </colFields>
  <colItems count="4">
    <i>
      <x/>
    </i>
    <i i="1">
      <x v="1"/>
    </i>
    <i i="2">
      <x v="2"/>
    </i>
    <i i="3">
      <x v="3"/>
    </i>
  </colItems>
  <pageFields count="6">
    <pageField fld="0" hier="-1"/>
    <pageField fld="11" hier="-1"/>
    <pageField fld="6" hier="-1"/>
    <pageField fld="12" hier="-1"/>
    <pageField fld="14" hier="-1"/>
    <pageField fld="5" hier="-1"/>
  </pageFields>
  <dataFields count="4">
    <dataField name="Average of External Rotation" fld="15" subtotal="average" baseField="0" baseItem="0" numFmtId="1"/>
    <dataField name="Average of Internal Rotation" fld="17" subtotal="average" baseField="0" baseItem="0" numFmtId="1"/>
    <dataField name="Average of Flexion" fld="23" subtotal="average" baseField="0" baseItem="0" numFmtId="1"/>
    <dataField name="Average of Extension" fld="25" subtotal="average" baseField="0" baseItem="0" numFmtId="1"/>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4" format="12"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 chart="4" format="17" series="1">
      <pivotArea type="data" outline="0" fieldPosition="0">
        <references count="1">
          <reference field="4294967294" count="1" selected="0">
            <x v="3"/>
          </reference>
        </references>
      </pivotArea>
    </chartFormat>
    <chartFormat chart="4" format="18">
      <pivotArea type="data" outline="0" fieldPosition="0">
        <references count="3">
          <reference field="4294967294" count="1" selected="0">
            <x v="1"/>
          </reference>
          <reference field="2" count="1" selected="0">
            <x v="12"/>
          </reference>
          <reference field="4" count="1" selected="0">
            <x v="4"/>
          </reference>
        </references>
      </pivotArea>
    </chartFormat>
    <chartFormat chart="4" format="19">
      <pivotArea type="data" outline="0" fieldPosition="0">
        <references count="3">
          <reference field="4294967294" count="1" selected="0">
            <x v="3"/>
          </reference>
          <reference field="2" count="1" selected="0">
            <x v="15"/>
          </reference>
          <reference field="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CBDEFF-EA95-4A2B-AC3C-EBE96EAE7BF5}"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8:B9" firstHeaderRow="1" firstDataRow="1" firstDataCol="1" rowPageCount="6" colPageCount="1"/>
  <pivotFields count="37">
    <pivotField axis="axisPage" showAll="0">
      <items count="8">
        <item x="3"/>
        <item x="0"/>
        <item x="5"/>
        <item x="4"/>
        <item x="1"/>
        <item x="6"/>
        <item x="2"/>
        <item t="default"/>
      </items>
    </pivotField>
    <pivotField showAll="0"/>
    <pivotField axis="axisRow" showAll="0">
      <items count="17">
        <item x="2"/>
        <item x="10"/>
        <item x="11"/>
        <item x="7"/>
        <item x="3"/>
        <item x="13"/>
        <item x="5"/>
        <item x="15"/>
        <item x="1"/>
        <item x="0"/>
        <item x="6"/>
        <item x="4"/>
        <item x="12"/>
        <item x="9"/>
        <item x="8"/>
        <item x="14"/>
        <item t="default"/>
      </items>
    </pivotField>
    <pivotField showAll="0"/>
    <pivotField axis="axisRow" showAll="0">
      <items count="11">
        <item x="1"/>
        <item x="8"/>
        <item x="0"/>
        <item x="5"/>
        <item x="7"/>
        <item x="6"/>
        <item x="2"/>
        <item x="9"/>
        <item x="4"/>
        <item x="3"/>
        <item t="default"/>
      </items>
    </pivotField>
    <pivotField axis="axisPage" showAll="0">
      <items count="6">
        <item x="3"/>
        <item x="0"/>
        <item x="1"/>
        <item x="4"/>
        <item x="2"/>
        <item t="default"/>
      </items>
    </pivotField>
    <pivotField axis="axisPage" showAll="0">
      <items count="9">
        <item x="5"/>
        <item x="4"/>
        <item x="2"/>
        <item x="6"/>
        <item x="0"/>
        <item x="3"/>
        <item x="1"/>
        <item x="7"/>
        <item t="default"/>
      </items>
    </pivotField>
    <pivotField numFmtId="1" showAll="0"/>
    <pivotField showAll="0"/>
    <pivotField showAll="0">
      <items count="16">
        <item x="1"/>
        <item x="14"/>
        <item x="11"/>
        <item x="8"/>
        <item x="4"/>
        <item x="7"/>
        <item x="0"/>
        <item x="9"/>
        <item x="3"/>
        <item x="10"/>
        <item x="12"/>
        <item x="5"/>
        <item x="6"/>
        <item x="13"/>
        <item x="2"/>
        <item t="default"/>
      </items>
    </pivotField>
    <pivotField showAll="0"/>
    <pivotField axis="axisPage" showAll="0">
      <items count="5">
        <item x="1"/>
        <item x="0"/>
        <item x="2"/>
        <item m="1" x="3"/>
        <item t="default"/>
      </items>
    </pivotField>
    <pivotField axis="axisPage" showAll="0">
      <items count="3">
        <item x="0"/>
        <item x="1"/>
        <item t="default"/>
      </items>
    </pivotField>
    <pivotField showAll="0">
      <items count="5">
        <item x="0"/>
        <item x="2"/>
        <item x="1"/>
        <item x="3"/>
        <item t="default"/>
      </items>
    </pivotField>
    <pivotField axis="axisPage" showAll="0">
      <items count="6">
        <item x="2"/>
        <item m="1" x="4"/>
        <item x="3"/>
        <item x="0"/>
        <item x="1"/>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4"/>
    <field x="2"/>
  </rowFields>
  <rowItems count="1">
    <i t="grand">
      <x/>
    </i>
  </rowItems>
  <colItems count="1">
    <i/>
  </colItems>
  <pageFields count="6">
    <pageField fld="0" hier="-1"/>
    <pageField fld="5" hier="-1"/>
    <pageField fld="6" hier="-1"/>
    <pageField fld="11" hier="-1"/>
    <pageField fld="14" item="3" hier="-1"/>
    <pageField fld="12" hier="-1"/>
  </pageFields>
  <dataFields count="1">
    <dataField name="Average of Peak.TQBW _Ext.Rotation" fld="19" subtotal="average" baseField="4" baseItem="0" numFmtId="1"/>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aptionGreaterThan" evalOrder="-1" id="1" stringValue1=".01">
      <autoFilter ref="A1">
        <filterColumn colId="0">
          <customFilters>
            <customFilter operator="greaterThan" val="0.01"/>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77A0B0-A07C-4DE6-B095-687FEA8F3A21}"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1">
  <location ref="A7:E25" firstHeaderRow="0" firstDataRow="1" firstDataCol="1" rowPageCount="5" colPageCount="1"/>
  <pivotFields count="44">
    <pivotField axis="axisPage" showAll="0">
      <items count="8">
        <item x="0"/>
        <item x="2"/>
        <item x="1"/>
        <item x="5"/>
        <item x="3"/>
        <item x="4"/>
        <item x="6"/>
        <item t="default"/>
      </items>
    </pivotField>
    <pivotField showAll="0"/>
    <pivotField axis="axisRow" showAll="0">
      <items count="14">
        <item x="4"/>
        <item x="1"/>
        <item x="0"/>
        <item x="2"/>
        <item x="5"/>
        <item x="3"/>
        <item m="1" x="12"/>
        <item x="6"/>
        <item x="7"/>
        <item x="8"/>
        <item x="9"/>
        <item x="10"/>
        <item x="11"/>
        <item t="default"/>
      </items>
    </pivotField>
    <pivotField axis="axisPage" showAll="0">
      <items count="10">
        <item x="2"/>
        <item x="1"/>
        <item x="0"/>
        <item x="3"/>
        <item x="4"/>
        <item x="5"/>
        <item x="6"/>
        <item x="7"/>
        <item x="8"/>
        <item t="default"/>
      </items>
    </pivotField>
    <pivotField axis="axisRow" showAll="0">
      <items count="6">
        <item x="3"/>
        <item x="0"/>
        <item x="1"/>
        <item x="2"/>
        <item m="1" x="4"/>
        <item t="default"/>
      </items>
    </pivotField>
    <pivotField axis="axisPage" showAll="0">
      <items count="8">
        <item x="0"/>
        <item x="2"/>
        <item x="3"/>
        <item x="1"/>
        <item m="1" x="6"/>
        <item x="4"/>
        <item x="5"/>
        <item t="default"/>
      </items>
    </pivotField>
    <pivotField axis="axisPage" showAll="0">
      <items count="14">
        <item m="1" x="12"/>
        <item m="1" x="11"/>
        <item m="1" x="10"/>
        <item x="0"/>
        <item x="1"/>
        <item m="1" x="9"/>
        <item m="1" x="8"/>
        <item x="3"/>
        <item x="4"/>
        <item x="5"/>
        <item x="6"/>
        <item x="7"/>
        <item x="2"/>
        <item t="default"/>
      </items>
    </pivotField>
    <pivotField showAll="0"/>
    <pivotField showAll="0"/>
    <pivotField showAll="0">
      <items count="21">
        <item x="16"/>
        <item x="17"/>
        <item x="18"/>
        <item x="2"/>
        <item x="7"/>
        <item x="19"/>
        <item x="5"/>
        <item x="4"/>
        <item x="13"/>
        <item x="14"/>
        <item x="11"/>
        <item x="0"/>
        <item x="15"/>
        <item x="8"/>
        <item x="9"/>
        <item x="3"/>
        <item x="10"/>
        <item x="6"/>
        <item x="12"/>
        <item x="1"/>
        <item t="default"/>
      </items>
    </pivotField>
    <pivotField showAll="0"/>
    <pivotField showAll="0">
      <items count="6">
        <item x="2"/>
        <item x="1"/>
        <item x="0"/>
        <item m="1" x="3"/>
        <item m="1" x="4"/>
        <item t="default"/>
      </items>
    </pivotField>
    <pivotField axis="axisPage" showAll="0">
      <items count="4">
        <item x="0"/>
        <item x="1"/>
        <item m="1" x="2"/>
        <item t="default"/>
      </items>
    </pivotField>
    <pivotField showAll="0">
      <items count="7">
        <item x="1"/>
        <item x="4"/>
        <item x="3"/>
        <item x="2"/>
        <item x="0"/>
        <item m="1" x="5"/>
        <item t="default"/>
      </items>
    </pivotField>
    <pivotField showAll="0">
      <items count="3">
        <item x="0"/>
        <item h="1" m="1" x="1"/>
        <item t="default"/>
      </items>
    </pivotField>
    <pivotField dataField="1" showAll="0"/>
    <pivotField showAll="0"/>
    <pivotField dataField="1" showAll="0"/>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4"/>
    <field x="2"/>
  </rowFields>
  <rowItems count="18">
    <i>
      <x/>
    </i>
    <i r="1">
      <x/>
    </i>
    <i r="1">
      <x v="4"/>
    </i>
    <i r="1">
      <x v="5"/>
    </i>
    <i r="1">
      <x v="10"/>
    </i>
    <i r="1">
      <x v="11"/>
    </i>
    <i>
      <x v="1"/>
    </i>
    <i r="1">
      <x v="2"/>
    </i>
    <i r="1">
      <x v="3"/>
    </i>
    <i r="1">
      <x v="7"/>
    </i>
    <i r="1">
      <x v="9"/>
    </i>
    <i r="1">
      <x v="12"/>
    </i>
    <i>
      <x v="2"/>
    </i>
    <i r="1">
      <x v="1"/>
    </i>
    <i r="1">
      <x v="8"/>
    </i>
    <i>
      <x v="3"/>
    </i>
    <i r="1">
      <x v="3"/>
    </i>
    <i t="grand">
      <x/>
    </i>
  </rowItems>
  <colFields count="1">
    <field x="-2"/>
  </colFields>
  <colItems count="4">
    <i>
      <x/>
    </i>
    <i i="1">
      <x v="1"/>
    </i>
    <i i="2">
      <x v="2"/>
    </i>
    <i i="3">
      <x v="3"/>
    </i>
  </colItems>
  <pageFields count="5">
    <pageField fld="0" hier="-1"/>
    <pageField fld="3" hier="-1"/>
    <pageField fld="5" hier="-1"/>
    <pageField fld="6" hier="-1"/>
    <pageField fld="12" hier="-1"/>
  </pageFields>
  <dataFields count="4">
    <dataField name="Average of Plantar Flexion, Peak Torque" fld="17" subtotal="average" baseField="0" baseItem="0" numFmtId="1"/>
    <dataField name="Average of Dorsal Flexion, Peak Torque" fld="15" subtotal="average" baseField="0" baseItem="0" numFmtId="1"/>
    <dataField name="Average of Inversion, Peak Torque" fld="19" subtotal="average" baseField="0" baseItem="0" numFmtId="1"/>
    <dataField name="Average of Eversion, Peak Torque" fld="21" subtotal="average" baseField="0" baseItem="0" numFmtId="1"/>
  </dataFields>
  <chartFormats count="4">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 chart="8" format="6" series="1">
      <pivotArea type="data" outline="0" fieldPosition="0">
        <references count="1">
          <reference field="4294967294" count="1" selected="0">
            <x v="2"/>
          </reference>
        </references>
      </pivotArea>
    </chartFormat>
    <chartFormat chart="8"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grees4" xr10:uid="{44F01D8D-CBF3-473A-AC36-03C4AE852F03}" sourceName="Degrees">
  <pivotTables>
    <pivotTable tabId="13" name="PivotTable2"/>
  </pivotTables>
  <data>
    <tabular pivotCacheId="1357083683">
      <items count="7">
        <i x="3" s="1"/>
        <i x="0" s="1"/>
        <i x="5" s="1"/>
        <i x="4" s="1"/>
        <i x="1" s="1"/>
        <i x="6"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4" xr10:uid="{9413D248-5C87-4B55-83BA-6FC076A6E5DD}" sourceName="Sport">
  <pivotTables>
    <pivotTable tabId="13" name="PivotTable2"/>
  </pivotTables>
  <data>
    <tabular pivotCacheId="1357083683">
      <items count="10">
        <i x="1" s="1"/>
        <i x="8" s="1"/>
        <i x="0" s="1"/>
        <i x="5" s="1"/>
        <i x="7" s="1"/>
        <i x="6" s="1"/>
        <i x="2" s="1"/>
        <i x="9" s="1"/>
        <i x="4" s="1"/>
        <i x="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4" xr10:uid="{C0331305-0640-41D5-9866-4C287024DD0F}" sourceName="Group">
  <pivotTables>
    <pivotTable tabId="13" name="PivotTable2"/>
  </pivotTables>
  <data>
    <tabular pivotCacheId="1357083683">
      <items count="5">
        <i x="3" s="1"/>
        <i x="0" s="1"/>
        <i x="1" s="1"/>
        <i x="4"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s4" xr10:uid="{425D35AD-C739-4F0E-9873-B6386A415013}" sourceName="Positions">
  <pivotTables>
    <pivotTable tabId="13" name="PivotTable2"/>
  </pivotTables>
  <data>
    <tabular pivotCacheId="1357083683">
      <items count="8">
        <i x="5" s="1"/>
        <i x="4" s="1"/>
        <i x="2" s="1"/>
        <i x="6" s="1"/>
        <i x="0" s="1"/>
        <i x="3" s="1"/>
        <i x="1" s="1"/>
        <i x="7"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3" xr10:uid="{4CCB6477-812B-45CC-AE9E-6AFA291629A9}" sourceName="Gender">
  <pivotTables>
    <pivotTable tabId="13" name="PivotTable2"/>
  </pivotTables>
  <data>
    <tabular pivotCacheId="1357083683">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recton1" xr10:uid="{C9713BD7-1B6E-4CAF-9B15-A9AEA7DB5DE8}" sourceName="Directon">
  <pivotTables>
    <pivotTable tabId="13" name="PivotTable2"/>
  </pivotTables>
  <data>
    <tabular pivotCacheId="1357083683">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Type" xr10:uid="{3BEDBD90-53D4-4EC7-87F1-A0823FF36BE6}" sourceName="Machine Type">
  <pivotTables>
    <pivotTable tabId="13" name="PivotTable2"/>
  </pivotTables>
  <data>
    <tabular pivotCacheId="1357083683">
      <items count="4">
        <i x="0" s="1"/>
        <i x="2" s="1"/>
        <i x="1" s="1"/>
        <i x="3"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grees5" xr10:uid="{3A597699-3CDB-4F86-B3AB-2214FED58277}" sourceName="Degrees">
  <pivotTables>
    <pivotTable tabId="14" name="PivotTable1"/>
  </pivotTables>
  <data>
    <tabular pivotCacheId="1381888161">
      <items count="7">
        <i x="0" s="1"/>
        <i x="2" s="1"/>
        <i x="6" s="1"/>
        <i x="1" s="1"/>
        <i x="5" s="1"/>
        <i x="3" s="1"/>
        <i x="4"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5" xr10:uid="{2630D2FD-74D0-4A52-88B0-408BED81B72F}" sourceName="Sport">
  <pivotTables>
    <pivotTable tabId="14" name="PivotTable1"/>
  </pivotTables>
  <data>
    <tabular pivotCacheId="1381888161">
      <items count="5">
        <i x="3" s="1"/>
        <i x="0"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5" xr10:uid="{CC402C92-8A4A-4CE2-BE77-0D6686F9CBD3}" sourceName="Group">
  <pivotTables>
    <pivotTable tabId="14" name="PivotTable1"/>
  </pivotTables>
  <data>
    <tabular pivotCacheId="1381888161">
      <items count="7">
        <i x="0" s="1"/>
        <i x="5" s="1"/>
        <i x="2" s="1"/>
        <i x="3" s="1"/>
        <i x="1" s="1"/>
        <i x="4" s="1"/>
        <i x="6"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s5" xr10:uid="{93C2D12A-A2A2-489C-9A0A-0EBD1E48BFFC}" sourceName="Positions">
  <pivotTables>
    <pivotTable tabId="14" name="PivotTable1"/>
  </pivotTables>
  <data>
    <tabular pivotCacheId="1381888161">
      <items count="13">
        <i x="4" s="1"/>
        <i x="3" s="1"/>
        <i x="2" s="1"/>
        <i x="0" s="1"/>
        <i x="5" s="1"/>
        <i x="7" s="1"/>
        <i x="6" s="1"/>
        <i x="1" s="1"/>
        <i x="8" s="1" nd="1"/>
        <i x="12" s="1" nd="1"/>
        <i x="11" s="1" nd="1"/>
        <i x="10" s="1" nd="1"/>
        <i x="9"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Type2" xr10:uid="{70690A1B-A195-459A-9EFC-B5ED306E0362}" sourceName="Machine Type">
  <pivotTables>
    <pivotTable tabId="14" name="PivotTable1"/>
  </pivotTables>
  <data>
    <tabular pivotCacheId="1381888161">
      <items count="6">
        <i x="1" s="1"/>
        <i x="4" s="1"/>
        <i x="3" s="1"/>
        <i x="2" s="1"/>
        <i x="0" s="1"/>
        <i x="5"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Units" xr10:uid="{2CE5DADC-144B-457A-A547-82BC3178E664}" sourceName="Primary Units">
  <pivotTables>
    <pivotTable tabId="14" name="PivotTable1"/>
  </pivotTables>
  <data>
    <tabular pivotCacheId="1381888161">
      <items count="2">
        <i x="0" s="1"/>
        <i x="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4" xr10:uid="{41996517-68AD-4F3C-9B16-2C2CDB29DDCD}" sourceName="Gender">
  <pivotTables>
    <pivotTable tabId="14" name="PivotTable1"/>
  </pivotTables>
  <data>
    <tabular pivotCacheId="1381888161">
      <items count="5">
        <i x="2" s="1"/>
        <i x="1" s="1"/>
        <i x="0" s="1"/>
        <i x="3" s="1" nd="1"/>
        <i x="4"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recton2" xr10:uid="{DDF255A6-2C49-4E02-80DC-EC3F6AD462BD}" sourceName="Directon">
  <pivotTables>
    <pivotTable tabId="14" name="PivotTable1"/>
  </pivotTables>
  <data>
    <tabular pivotCacheId="1381888161">
      <items count="3">
        <i x="0" s="1"/>
        <i x="1" s="1"/>
        <i x="2"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1" xr10:uid="{B86EE99E-199A-4269-8E39-433D84359266}" sourceName="N">
  <pivotTables>
    <pivotTable tabId="13" name="PivotTable2"/>
  </pivotTables>
  <data>
    <tabular pivotCacheId="1357083683">
      <items count="15">
        <i x="1" s="1"/>
        <i x="14" s="1"/>
        <i x="11" s="1"/>
        <i x="8" s="1"/>
        <i x="4" s="1"/>
        <i x="7" s="1"/>
        <i x="0" s="1"/>
        <i x="9" s="1"/>
        <i x="3" s="1"/>
        <i x="10" s="1"/>
        <i x="12" s="1"/>
        <i x="5" s="1"/>
        <i x="6" s="1"/>
        <i x="13" s="1"/>
        <i x="2"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grees3" xr10:uid="{0603EC10-4BDF-47FC-A43F-E8AA36E44CB8}" sourceName="Degrees">
  <pivotTables>
    <pivotTable tabId="16" name="Knee Pivot Table "/>
  </pivotTables>
  <data>
    <tabular pivotCacheId="317977154">
      <items count="5">
        <i x="0" s="1"/>
        <i x="4"/>
        <i x="2"/>
        <i x="3"/>
        <i x="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2" xr10:uid="{D0F22E2E-1C7A-40B6-8A6B-4F74DBBDB5A7}" sourceName="Gender">
  <pivotTables>
    <pivotTable tabId="16" name="Knee Pivot Table "/>
  </pivotTables>
  <data>
    <tabular pivotCacheId="317977154">
      <items count="4">
        <i x="2" s="1"/>
        <i x="0" s="1"/>
        <i x="1" s="1" nd="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recton" xr10:uid="{B5C47252-C367-48F6-8C9E-A9A57E22DF5A}" sourceName="Directon">
  <pivotTables>
    <pivotTable tabId="16" name="Knee Pivot Table "/>
  </pivotTables>
  <data>
    <tabular pivotCacheId="317977154">
      <items count="3">
        <i x="0" s="1"/>
        <i x="1" s="1"/>
        <i x="2"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 xr10:uid="{34BAAEB4-5759-47AA-B808-D925B99A073D}" sourceName="N">
  <pivotTables>
    <pivotTable tabId="16" name="Knee Pivot Table "/>
  </pivotTables>
  <data>
    <tabular pivotCacheId="317977154">
      <items count="40">
        <i x="10" s="1"/>
        <i x="25" s="1"/>
        <i x="2" s="1"/>
        <i x="6" s="1"/>
        <i x="19" s="1"/>
        <i x="14" s="1"/>
        <i x="3" s="1"/>
        <i x="4" s="1"/>
        <i x="23" s="1"/>
        <i x="0" s="1"/>
        <i x="15" s="1"/>
        <i x="28" s="1"/>
        <i x="13" s="1"/>
        <i x="32" s="1"/>
        <i x="5" s="1"/>
        <i x="37" s="1"/>
        <i x="27" s="1"/>
        <i x="20" s="1"/>
        <i x="7" s="1"/>
        <i x="35" s="1"/>
        <i x="24" s="1"/>
        <i x="9" s="1"/>
        <i x="8" s="1"/>
        <i x="36" s="1"/>
        <i x="33" s="1"/>
        <i x="21" s="1"/>
        <i x="38" s="1"/>
        <i x="22" s="1"/>
        <i x="34" s="1"/>
        <i x="31" s="1"/>
        <i x="30" s="1"/>
        <i x="16" s="1"/>
        <i x="29" s="1"/>
        <i x="26" s="1" nd="1"/>
        <i x="12" s="1" nd="1"/>
        <i x="11" s="1" nd="1"/>
        <i x="17" s="1" nd="1"/>
        <i x="39" s="1" nd="1"/>
        <i x="18" s="1" nd="1"/>
        <i x="1" s="1"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s3" xr10:uid="{51C5A122-2178-4AE4-91E1-D8153D9B5154}" sourceName="Positions">
  <pivotTables>
    <pivotTable tabId="16" name="Knee Pivot Table "/>
  </pivotTables>
  <data>
    <tabular pivotCacheId="317977154">
      <items count="34">
        <i x="6" s="1"/>
        <i x="5" s="1"/>
        <i x="4" s="1"/>
        <i x="11" s="1"/>
        <i x="13" s="1"/>
        <i x="15" s="1"/>
        <i x="10" s="1"/>
        <i x="14" s="1"/>
        <i x="16" s="1"/>
        <i x="17" s="1"/>
        <i x="18" s="1"/>
        <i x="19" s="1"/>
        <i x="0" s="1"/>
        <i x="1" s="1"/>
        <i x="3" s="1"/>
        <i x="7" s="1"/>
        <i x="2" s="1"/>
        <i x="8" s="1"/>
        <i x="30" s="1" nd="1"/>
        <i x="20" s="1" nd="1"/>
        <i x="12" s="1" nd="1"/>
        <i x="9" s="1" nd="1"/>
        <i x="32" s="1" nd="1"/>
        <i x="22" s="1" nd="1"/>
        <i x="31" s="1" nd="1"/>
        <i x="33" s="1" nd="1"/>
        <i x="28" s="1" nd="1"/>
        <i x="23" s="1" nd="1"/>
        <i x="21" s="1" nd="1"/>
        <i x="24" s="1" nd="1"/>
        <i x="25" s="1" nd="1"/>
        <i x="26" s="1" nd="1"/>
        <i x="27" s="1" nd="1"/>
        <i x="29"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3" xr10:uid="{2758A13C-A0B9-487C-94BE-65F0BF996364}" sourceName="Group">
  <pivotTables>
    <pivotTable tabId="16" name="Knee Pivot Table "/>
  </pivotTables>
  <data>
    <tabular pivotCacheId="317977154">
      <items count="10">
        <i x="1" s="1"/>
        <i x="4" s="1"/>
        <i x="0" s="1"/>
        <i x="5" s="1"/>
        <i x="3" s="1"/>
        <i x="2" s="1"/>
        <i x="6" s="1" nd="1"/>
        <i x="9" s="1" nd="1"/>
        <i x="7" s="1" nd="1"/>
        <i x="8"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3" xr10:uid="{659FDC88-4718-488E-9392-65CE85098009}" sourceName="Sport">
  <pivotTables>
    <pivotTable tabId="16" name="Knee Pivot Table "/>
  </pivotTables>
  <data>
    <tabular pivotCacheId="317977154">
      <items count="15">
        <i x="1" s="1"/>
        <i x="7" s="1"/>
        <i x="9" s="1"/>
        <i x="2" s="1"/>
        <i x="11" s="1"/>
        <i x="6" s="1"/>
        <i x="5" s="1"/>
        <i x="3" s="1"/>
        <i x="4" s="1"/>
        <i x="8" s="1"/>
        <i x="0" s="1"/>
        <i x="14" s="1" nd="1"/>
        <i x="12" s="1" nd="1"/>
        <i x="10" s="1" nd="1"/>
        <i x="13" s="1"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Type1" xr10:uid="{5D0BB1CB-B5D1-4DF1-8B65-B061BD961342}" sourceName="Machine Type">
  <pivotTables>
    <pivotTable tabId="16" name="Knee Pivot Table "/>
  </pivotTables>
  <data>
    <tabular pivotCacheId="317977154">
      <items count="5">
        <i x="0" s="1"/>
        <i x="1" s="1"/>
        <i x="4" s="1"/>
        <i x="2" s="1"/>
        <i x="3" s="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grees6" xr10:uid="{BD0B2C09-22E0-49D4-9799-4CC45AA132C0}" sourceName="Degrees">
  <pivotTables>
    <pivotTable tabId="18" name="PivotTable2"/>
  </pivotTables>
  <data>
    <tabular pivotCacheId="317977154">
      <items count="5">
        <i x="0" s="1"/>
        <i x="2" s="1"/>
        <i x="3" s="1"/>
        <i x="1" s="1"/>
        <i x="4" s="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5" xr10:uid="{318B55DD-1A1F-4B47-8C09-D38301F82CED}" sourceName="Gender">
  <pivotTables>
    <pivotTable tabId="18" name="PivotTable2"/>
  </pivotTables>
  <data>
    <tabular pivotCacheId="31797715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recton3" xr10:uid="{DE486B08-5580-46A0-AD48-B9B3278AB071}" sourceName="Directon">
  <pivotTables>
    <pivotTable tabId="18" name="PivotTable2"/>
  </pivotTables>
  <data>
    <tabular pivotCacheId="317977154">
      <items count="3">
        <i x="0" s="1"/>
        <i x="1" s="1" nd="1"/>
        <i x="2" s="1" nd="1"/>
      </items>
    </tabular>
  </data>
  <extLst>
    <x:ext xmlns:x15="http://schemas.microsoft.com/office/spreadsheetml/2010/11/main" uri="{470722E0-AACD-4C17-9CDC-17EF765DBC7E}">
      <x15:slicerCacheHide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2" xr10:uid="{8A7E5F25-A6F2-4CD7-BC27-A93612DB0F37}" sourceName="N">
  <pivotTables>
    <pivotTable tabId="18" name="PivotTable2"/>
  </pivotTables>
  <data>
    <tabular pivotCacheId="317977154">
      <items count="40">
        <i x="10" s="1"/>
        <i x="6" s="1"/>
        <i x="12" s="1"/>
        <i x="19" s="1"/>
        <i x="14" s="1"/>
        <i x="3" s="1"/>
        <i x="4" s="1"/>
        <i x="11" s="1"/>
        <i x="0" s="1"/>
        <i x="15" s="1"/>
        <i x="13" s="1"/>
        <i x="32" s="1"/>
        <i x="1" s="1"/>
        <i x="5" s="1"/>
        <i x="37" s="1"/>
        <i x="20" s="1"/>
        <i x="7" s="1"/>
        <i x="35" s="1"/>
        <i x="9" s="1"/>
        <i x="36" s="1"/>
        <i x="33" s="1"/>
        <i x="21" s="1"/>
        <i x="38" s="1"/>
        <i x="22" s="1"/>
        <i x="34" s="1"/>
        <i x="31" s="1"/>
        <i x="30" s="1"/>
        <i x="16" s="1"/>
        <i x="29" s="1"/>
        <i x="25" s="1" nd="1"/>
        <i x="26" s="1" nd="1"/>
        <i x="2" s="1" nd="1"/>
        <i x="23" s="1" nd="1"/>
        <i x="17" s="1" nd="1"/>
        <i x="28" s="1" nd="1"/>
        <i x="39" s="1" nd="1"/>
        <i x="18" s="1" nd="1"/>
        <i x="27" s="1" nd="1"/>
        <i x="24" s="1" nd="1"/>
        <i x="8" s="1" nd="1"/>
      </items>
    </tabular>
  </data>
  <extLst>
    <x:ext xmlns:x15="http://schemas.microsoft.com/office/spreadsheetml/2010/11/main" uri="{470722E0-AACD-4C17-9CDC-17EF765DBC7E}">
      <x15:slicerCacheHideItemsWithNoData/>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s6" xr10:uid="{245512AB-89D5-474B-A793-8A76882794C5}" sourceName="Positions">
  <pivotTables>
    <pivotTable tabId="18" name="PivotTable2"/>
  </pivotTables>
  <data>
    <tabular pivotCacheId="317977154">
      <items count="34">
        <i x="6" s="1"/>
        <i x="5" s="1"/>
        <i x="4" s="1"/>
        <i x="12" s="1"/>
        <i x="11" s="1"/>
        <i x="13" s="1"/>
        <i x="15" s="1"/>
        <i x="9" s="1"/>
        <i x="10" s="1"/>
        <i x="14" s="1"/>
        <i x="16" s="1"/>
        <i x="17" s="1"/>
        <i x="18" s="1"/>
        <i x="19" s="1"/>
        <i x="0" s="1"/>
        <i x="1" s="1"/>
        <i x="7" s="1"/>
        <i x="2" s="1"/>
        <i x="8" s="1"/>
        <i x="30" s="1" nd="1"/>
        <i x="20" s="1" nd="1"/>
        <i x="32" s="1" nd="1"/>
        <i x="22" s="1" nd="1"/>
        <i x="31" s="1" nd="1"/>
        <i x="33" s="1" nd="1"/>
        <i x="28" s="1" nd="1"/>
        <i x="23" s="1" nd="1"/>
        <i x="21" s="1" nd="1"/>
        <i x="24" s="1" nd="1"/>
        <i x="25" s="1" nd="1"/>
        <i x="3" s="1" nd="1"/>
        <i x="26" s="1" nd="1"/>
        <i x="27" s="1" nd="1"/>
        <i x="29" s="1" nd="1"/>
      </items>
    </tabular>
  </data>
  <extLst>
    <x:ext xmlns:x15="http://schemas.microsoft.com/office/spreadsheetml/2010/11/main" uri="{470722E0-AACD-4C17-9CDC-17EF765DBC7E}">
      <x15:slicerCacheHideItemsWithNoData/>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6" xr10:uid="{FAB02DD1-6E95-4C54-974F-27FA53FF88DA}" sourceName="Group">
  <pivotTables>
    <pivotTable tabId="18" name="PivotTable2"/>
  </pivotTables>
  <data>
    <tabular pivotCacheId="317977154">
      <items count="10">
        <i x="1" s="1"/>
        <i x="0" s="1"/>
        <i x="5" s="1"/>
        <i x="3" s="1"/>
        <i x="2" s="1"/>
        <i x="4" s="1" nd="1"/>
        <i x="6" s="1" nd="1"/>
        <i x="9" s="1" nd="1"/>
        <i x="7" s="1" nd="1"/>
        <i x="8" s="1" nd="1"/>
      </items>
    </tabular>
  </data>
  <extLst>
    <x:ext xmlns:x15="http://schemas.microsoft.com/office/spreadsheetml/2010/11/main" uri="{470722E0-AACD-4C17-9CDC-17EF765DBC7E}">
      <x15:slicerCacheHide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6" xr10:uid="{F0E86407-A329-42A3-80BC-954DC3C54610}" sourceName="Sport">
  <pivotTables>
    <pivotTable tabId="18" name="PivotTable2"/>
  </pivotTables>
  <data>
    <tabular pivotCacheId="317977154">
      <items count="15">
        <i x="1" s="1"/>
        <i x="9" s="1"/>
        <i x="2" s="1"/>
        <i x="11" s="1"/>
        <i x="3" s="1"/>
        <i x="4" s="1"/>
        <i x="7" s="1" nd="1"/>
        <i x="14" s="1" nd="1"/>
        <i x="6" s="1" nd="1"/>
        <i x="5" s="1" nd="1"/>
        <i x="12" s="1" nd="1"/>
        <i x="8" s="1" nd="1"/>
        <i x="10" s="1" nd="1"/>
        <i x="0" s="1" nd="1"/>
        <i x="13" s="1" nd="1"/>
      </items>
    </tabular>
  </data>
  <extLst>
    <x:ext xmlns:x15="http://schemas.microsoft.com/office/spreadsheetml/2010/11/main" uri="{470722E0-AACD-4C17-9CDC-17EF765DBC7E}">
      <x15:slicerCacheHideItemsWithNoData/>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Type3" xr10:uid="{1E6BECCE-2E4F-4854-B62A-B43B696C43A8}" sourceName="Machine Type">
  <pivotTables>
    <pivotTable tabId="18" name="PivotTable2"/>
  </pivotTables>
  <data>
    <tabular pivotCacheId="317977154">
      <items count="5">
        <i x="0" s="1"/>
        <i x="1" s="1"/>
        <i x="2" s="1"/>
        <i x="3" s="1"/>
        <i x="4"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s_Key3" xr10:uid="{9B302325-D02B-4BC5-8E13-0BCFB17BF69A}" sourceName="Abbreviations Key">
  <pivotTables>
    <pivotTable tabId="16" name="Knee Pivot Table "/>
  </pivotTables>
  <data>
    <tabular pivotCacheId="317977154">
      <items count="15">
        <i x="6" s="1"/>
        <i x="3" s="1"/>
        <i x="5" s="1"/>
        <i x="14" s="1"/>
        <i x="8" s="1"/>
        <i x="0" s="1"/>
        <i x="4" s="1"/>
        <i x="10" s="1"/>
        <i x="9" s="1"/>
        <i x="11" s="1"/>
        <i x="12" s="1"/>
        <i x="7" s="1"/>
        <i x="13" s="1"/>
        <i x="2" s="1" nd="1"/>
        <i x="1" s="1" nd="1"/>
      </items>
    </tabular>
  </data>
  <extLst>
    <x:ext xmlns:x15="http://schemas.microsoft.com/office/spreadsheetml/2010/11/main" uri="{470722E0-AACD-4C17-9CDC-17EF765DBC7E}">
      <x15:slicerCacheHideItemsWithNoData/>
    </x:ext>
  </extLst>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grees7" xr10:uid="{6F30D3D3-1936-4A88-AB0E-9DFDC93E231A}" sourceName="Degrees">
  <pivotTables>
    <pivotTable tabId="21" name="PivotTable2"/>
  </pivotTables>
  <data>
    <tabular pivotCacheId="1357083683">
      <items count="7">
        <i x="3" s="1" nd="1"/>
        <i x="0" s="1" nd="1"/>
        <i x="5" s="1" nd="1"/>
        <i x="4" s="1" nd="1"/>
        <i x="1" s="1" nd="1"/>
        <i x="6" s="1" nd="1"/>
        <i x="2" s="1" nd="1"/>
      </items>
    </tabular>
  </data>
  <extLst>
    <x:ext xmlns:x15="http://schemas.microsoft.com/office/spreadsheetml/2010/11/main" uri="{470722E0-AACD-4C17-9CDC-17EF765DBC7E}">
      <x15:slicerCacheHideItemsWithNoData/>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7" xr10:uid="{6B64C289-8B15-4659-8CCD-D1B457433D6B}" sourceName="Sport">
  <pivotTables>
    <pivotTable tabId="21" name="PivotTable2"/>
  </pivotTables>
  <data>
    <tabular pivotCacheId="1357083683">
      <items count="10">
        <i x="1" s="1" nd="1"/>
        <i x="8" s="1" nd="1"/>
        <i x="0" s="1" nd="1"/>
        <i x="5" s="1" nd="1"/>
        <i x="7" s="1" nd="1"/>
        <i x="6" s="1" nd="1"/>
        <i x="2" s="1" nd="1"/>
        <i x="9" s="1" nd="1"/>
        <i x="4" s="1" nd="1"/>
        <i x="3" s="1" nd="1"/>
      </items>
    </tabular>
  </data>
  <extLst>
    <x:ext xmlns:x15="http://schemas.microsoft.com/office/spreadsheetml/2010/11/main" uri="{470722E0-AACD-4C17-9CDC-17EF765DBC7E}">
      <x15:slicerCacheHideItemsWithNoData/>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7" xr10:uid="{F229BCF4-5DEF-47C1-8AB0-CC4F02C7A81F}" sourceName="Group">
  <pivotTables>
    <pivotTable tabId="21" name="PivotTable2"/>
  </pivotTables>
  <data>
    <tabular pivotCacheId="1357083683">
      <items count="5">
        <i x="3" s="1" nd="1"/>
        <i x="0" s="1" nd="1"/>
        <i x="1" s="1" nd="1"/>
        <i x="4" s="1" nd="1"/>
        <i x="2" s="1" nd="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s7" xr10:uid="{2FCC596F-2189-4465-910B-8710F5CC6E7B}" sourceName="Positions">
  <pivotTables>
    <pivotTable tabId="21" name="PivotTable2"/>
  </pivotTables>
  <data>
    <tabular pivotCacheId="1357083683">
      <items count="8">
        <i x="5" s="1" nd="1"/>
        <i x="4" s="1" nd="1"/>
        <i x="2" s="1" nd="1"/>
        <i x="6" s="1" nd="1"/>
        <i x="0" s="1" nd="1"/>
        <i x="3" s="1" nd="1"/>
        <i x="1" s="1" nd="1"/>
        <i x="7" s="1" nd="1"/>
      </items>
    </tabular>
  </data>
  <extLst>
    <x:ext xmlns:x15="http://schemas.microsoft.com/office/spreadsheetml/2010/11/main" uri="{470722E0-AACD-4C17-9CDC-17EF765DBC7E}">
      <x15:slicerCacheHideItemsWithNoData/>
    </x:ext>
  </extLst>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3" xr10:uid="{9F33394F-3D72-48C7-9C88-E572B4D24FA2}" sourceName="N">
  <pivotTables>
    <pivotTable tabId="21" name="PivotTable2"/>
  </pivotTables>
  <data>
    <tabular pivotCacheId="1357083683">
      <items count="15">
        <i x="1" s="1" nd="1"/>
        <i x="14" s="1" nd="1"/>
        <i x="11" s="1" nd="1"/>
        <i x="8" s="1" nd="1"/>
        <i x="4" s="1" nd="1"/>
        <i x="7" s="1" nd="1"/>
        <i x="0" s="1" nd="1"/>
        <i x="9" s="1" nd="1"/>
        <i x="3" s="1" nd="1"/>
        <i x="10" s="1" nd="1"/>
        <i x="12" s="1" nd="1"/>
        <i x="5" s="1" nd="1"/>
        <i x="6" s="1" nd="1"/>
        <i x="13" s="1" nd="1"/>
        <i x="2" s="1" nd="1"/>
      </items>
    </tabular>
  </data>
  <extLst>
    <x:ext xmlns:x15="http://schemas.microsoft.com/office/spreadsheetml/2010/11/main" uri="{470722E0-AACD-4C17-9CDC-17EF765DBC7E}">
      <x15:slicerCacheHideItemsWithNoData/>
    </x:ext>
  </extLst>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6" xr10:uid="{36015F6C-E8D9-4A8D-B4AB-85120C379A8E}" sourceName="Gender">
  <pivotTables>
    <pivotTable tabId="21" name="PivotTable2"/>
  </pivotTables>
  <data>
    <tabular pivotCacheId="1357083683">
      <items count="4">
        <i x="1" s="1" nd="1"/>
        <i x="0" s="1" nd="1"/>
        <i x="2" s="1" nd="1"/>
        <i x="3" s="1" nd="1"/>
      </items>
    </tabular>
  </data>
  <extLst>
    <x:ext xmlns:x15="http://schemas.microsoft.com/office/spreadsheetml/2010/11/main" uri="{470722E0-AACD-4C17-9CDC-17EF765DBC7E}">
      <x15:slicerCacheHideItemsWithNoData/>
    </x:ext>
  </extLst>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recton4" xr10:uid="{2BA16003-E581-471D-A161-68716B17BD16}" sourceName="Directon">
  <pivotTables>
    <pivotTable tabId="21" name="PivotTable2"/>
  </pivotTables>
  <data>
    <tabular pivotCacheId="1357083683">
      <items count="2">
        <i x="0" s="1" nd="1"/>
        <i x="1" s="1" nd="1"/>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Type4" xr10:uid="{7A45471C-931A-4024-B6BC-FDA87907B7BD}" sourceName="Machine Type">
  <pivotTables>
    <pivotTable tabId="21" name="PivotTable2"/>
  </pivotTables>
  <data>
    <tabular pivotCacheId="1357083683">
      <items count="4">
        <i x="0" s="1" nd="1"/>
        <i x="2" s="1" nd="1"/>
        <i x="1" s="1" nd="1"/>
        <i x="3" s="1" nd="1"/>
      </items>
    </tabular>
  </data>
  <extLst>
    <x:ext xmlns:x15="http://schemas.microsoft.com/office/spreadsheetml/2010/11/main" uri="{470722E0-AACD-4C17-9CDC-17EF765DBC7E}">
      <x15:slicerCacheHideItemsWithNoData/>
    </x:ext>
  </extLst>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s2" xr10:uid="{C543E6D3-E0A6-435D-A61B-C345E7B915EB}" sourceName="Units">
  <pivotTables>
    <pivotTable tabId="21" name="PivotTable2"/>
  </pivotTables>
  <data>
    <tabular pivotCacheId="1357083683">
      <items count="5">
        <i x="2" nd="1"/>
        <i x="4" nd="1"/>
        <i x="3" nd="1"/>
        <i x="0" s="1" nd="1"/>
        <i x="1" nd="1"/>
      </items>
    </tabular>
  </data>
  <extLst>
    <x:ext xmlns:x15="http://schemas.microsoft.com/office/spreadsheetml/2010/11/main" uri="{470722E0-AACD-4C17-9CDC-17EF765DBC7E}">
      <x15:slicerCacheHideItemsWithNoData/>
    </x:ext>
  </extLst>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s1" xr10:uid="{9192E7D9-0BD8-44FE-BABB-0127CB5ABEFE}" sourceName="Units">
  <pivotTables>
    <pivotTable tabId="13" name="PivotTable2"/>
  </pivotTables>
  <data>
    <tabular pivotCacheId="1357083683">
      <items count="5">
        <i x="2" s="1"/>
        <i x="3" s="1"/>
        <i x="0" s="1"/>
        <i x="1" s="1"/>
        <i x="4" nd="1"/>
      </items>
    </tabular>
  </data>
  <extLst>
    <x:ext xmlns:x15="http://schemas.microsoft.com/office/spreadsheetml/2010/11/main" uri="{470722E0-AACD-4C17-9CDC-17EF765DBC7E}">
      <x15:slicerCacheHideItemsWithNoData/>
    </x:ext>
  </extLst>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4" xr10:uid="{3CFE4EF3-A6CD-4218-A1E0-7A1529E9B1EB}" sourceName="N">
  <pivotTables>
    <pivotTable tabId="14" name="PivotTable1"/>
  </pivotTables>
  <data>
    <tabular pivotCacheId="1381888161">
      <items count="20">
        <i x="16" s="1"/>
        <i x="17" s="1"/>
        <i x="18" s="1"/>
        <i x="2" s="1"/>
        <i x="7" s="1"/>
        <i x="5" s="1"/>
        <i x="4" s="1"/>
        <i x="13" s="1"/>
        <i x="14" s="1"/>
        <i x="11" s="1"/>
        <i x="0" s="1"/>
        <i x="15" s="1"/>
        <i x="8" s="1"/>
        <i x="9" s="1"/>
        <i x="3" s="1"/>
        <i x="10" s="1"/>
        <i x="6" s="1"/>
        <i x="12" s="1"/>
        <i x="1" s="1"/>
        <i x="19" s="1" nd="1"/>
      </items>
    </tabular>
  </data>
  <extLst>
    <x:ext xmlns:x15="http://schemas.microsoft.com/office/spreadsheetml/2010/11/main" uri="{470722E0-AACD-4C17-9CDC-17EF765DBC7E}">
      <x15:slicerCacheHideItemsWithNoData/>
    </x:ext>
  </extLst>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grees8" xr10:uid="{678E95EA-0814-43B9-AE2F-2E9071B0FFE5}" sourceName="Degrees">
  <pivotTables>
    <pivotTable tabId="22" name="PivotTable1"/>
  </pivotTables>
  <data>
    <tabular pivotCacheId="1381888161">
      <items count="7">
        <i x="0" s="1"/>
        <i x="2" s="1"/>
        <i x="5" s="1"/>
        <i x="6" s="1" nd="1"/>
        <i x="1" s="1" nd="1"/>
        <i x="3" s="1" nd="1"/>
        <i x="4" s="1" nd="1"/>
      </items>
    </tabular>
  </data>
  <extLst>
    <x:ext xmlns:x15="http://schemas.microsoft.com/office/spreadsheetml/2010/11/main" uri="{470722E0-AACD-4C17-9CDC-17EF765DBC7E}">
      <x15:slicerCacheHideItemsWithNoData/>
    </x:ext>
  </extLst>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7" xr10:uid="{37B04842-A095-4F8E-BA22-06B868E8A336}" sourceName="Gender">
  <pivotTables>
    <pivotTable tabId="22" name="PivotTable1"/>
  </pivotTables>
  <data>
    <tabular pivotCacheId="1381888161">
      <items count="5">
        <i x="1" s="1"/>
        <i x="2" s="1" nd="1"/>
        <i x="0" s="1" nd="1"/>
        <i x="3" s="1" nd="1"/>
        <i x="4" s="1" nd="1"/>
      </items>
    </tabular>
  </data>
  <extLst>
    <x:ext xmlns:x15="http://schemas.microsoft.com/office/spreadsheetml/2010/11/main" uri="{470722E0-AACD-4C17-9CDC-17EF765DBC7E}">
      <x15:slicerCacheHideItemsWithNoData/>
    </x:ext>
  </extLst>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recton5" xr10:uid="{1C9F3451-FE6D-464D-AEA8-924927E920F8}" sourceName="Directon">
  <pivotTables>
    <pivotTable tabId="22" name="PivotTable1"/>
  </pivotTables>
  <data>
    <tabular pivotCacheId="1381888161">
      <items count="3">
        <i x="0" s="1"/>
        <i x="1" s="1" nd="1"/>
        <i x="2" s="1" nd="1"/>
      </items>
    </tabular>
  </data>
  <extLst>
    <x:ext xmlns:x15="http://schemas.microsoft.com/office/spreadsheetml/2010/11/main" uri="{470722E0-AACD-4C17-9CDC-17EF765DBC7E}">
      <x15:slicerCacheHideItemsWithNoData/>
    </x:ext>
  </extLst>
</slicerCacheDefinition>
</file>

<file path=xl/slicerCaches/slicerCache4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5" xr10:uid="{671BCDCB-772B-4946-B778-546059B0477A}" sourceName="N">
  <pivotTables>
    <pivotTable tabId="22" name="PivotTable1"/>
  </pivotTables>
  <data>
    <tabular pivotCacheId="1381888161">
      <items count="20">
        <i x="7" s="1"/>
        <i x="19" s="1"/>
        <i x="5" s="1"/>
        <i x="4" s="1"/>
        <i x="3" s="1"/>
        <i x="16" s="1" nd="1"/>
        <i x="17" s="1" nd="1"/>
        <i x="18" s="1" nd="1"/>
        <i x="2" s="1" nd="1"/>
        <i x="13" s="1" nd="1"/>
        <i x="14" s="1" nd="1"/>
        <i x="11" s="1" nd="1"/>
        <i x="0" s="1" nd="1"/>
        <i x="15" s="1" nd="1"/>
        <i x="8" s="1" nd="1"/>
        <i x="9" s="1" nd="1"/>
        <i x="10" s="1" nd="1"/>
        <i x="6" s="1" nd="1"/>
        <i x="12" s="1" nd="1"/>
        <i x="1" s="1" nd="1"/>
      </items>
    </tabular>
  </data>
  <extLst>
    <x:ext xmlns:x15="http://schemas.microsoft.com/office/spreadsheetml/2010/11/main" uri="{470722E0-AACD-4C17-9CDC-17EF765DBC7E}">
      <x15:slicerCacheHideItemsWithNoData/>
    </x:ext>
  </extLst>
</slicerCacheDefinition>
</file>

<file path=xl/slicerCaches/slicerCache4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8" xr10:uid="{3D4E7276-5147-483A-8B35-9B56F7EE5F83}" sourceName="Sport">
  <pivotTables>
    <pivotTable tabId="22" name="PivotTable1"/>
  </pivotTables>
  <data>
    <tabular pivotCacheId="1381888161">
      <items count="5">
        <i x="3" s="1"/>
        <i x="0" s="1" nd="1"/>
        <i x="1" s="1" nd="1"/>
        <i x="2" s="1" nd="1"/>
        <i x="4" nd="1"/>
      </items>
    </tabular>
  </data>
  <extLst>
    <x:ext xmlns:x15="http://schemas.microsoft.com/office/spreadsheetml/2010/11/main" uri="{470722E0-AACD-4C17-9CDC-17EF765DBC7E}">
      <x15:slicerCacheHideItemsWithNoData/>
    </x:ext>
  </extLst>
</slicerCacheDefinition>
</file>

<file path=xl/slicerCaches/slicerCache5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8" xr10:uid="{652997D2-BBBE-43EE-93B9-8C707A27E394}" sourceName="Group">
  <pivotTables>
    <pivotTable tabId="22" name="PivotTable1"/>
  </pivotTables>
  <data>
    <tabular pivotCacheId="1381888161">
      <items count="7">
        <i x="1" s="1"/>
        <i x="0" s="1" nd="1"/>
        <i x="5" s="1" nd="1"/>
        <i x="2" s="1" nd="1"/>
        <i x="3" s="1" nd="1"/>
        <i x="4" s="1" nd="1"/>
        <i x="6" s="1" nd="1"/>
      </items>
    </tabular>
  </data>
  <extLst>
    <x:ext xmlns:x15="http://schemas.microsoft.com/office/spreadsheetml/2010/11/main" uri="{470722E0-AACD-4C17-9CDC-17EF765DBC7E}">
      <x15:slicerCacheHideItemsWithNoData/>
    </x:ext>
  </extLst>
</slicerCacheDefinition>
</file>

<file path=xl/slicerCaches/slicerCache5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s8" xr10:uid="{B9EE3F8B-8F7B-4363-BD30-D4F295464E92}" sourceName="Positions">
  <pivotTables>
    <pivotTable tabId="22" name="PivotTable1"/>
  </pivotTables>
  <data>
    <tabular pivotCacheId="1381888161">
      <items count="13">
        <i x="4" s="1"/>
        <i x="3" s="1"/>
        <i x="2" s="1"/>
        <i x="0" s="1"/>
        <i x="8" s="1" nd="1"/>
        <i x="12" s="1" nd="1"/>
        <i x="11" s="1" nd="1"/>
        <i x="10" s="1" nd="1"/>
        <i x="5" s="1" nd="1"/>
        <i x="7" s="1" nd="1"/>
        <i x="6" s="1" nd="1"/>
        <i x="1" s="1" nd="1"/>
        <i x="9" s="1" nd="1"/>
      </items>
    </tabular>
  </data>
  <extLst>
    <x:ext xmlns:x15="http://schemas.microsoft.com/office/spreadsheetml/2010/11/main" uri="{470722E0-AACD-4C17-9CDC-17EF765DBC7E}">
      <x15:slicerCacheHideItemsWithNoData/>
    </x:ext>
  </extLst>
</slicerCacheDefinition>
</file>

<file path=xl/slicerCaches/slicerCache5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Type5" xr10:uid="{94551470-7A16-426E-AC9D-E11FA5F95F99}" sourceName="Machine Type">
  <pivotTables>
    <pivotTable tabId="22" name="PivotTable1"/>
  </pivotTables>
  <data>
    <tabular pivotCacheId="1381888161">
      <items count="6">
        <i x="1" s="1"/>
        <i x="3" s="1"/>
        <i x="4" s="1" nd="1"/>
        <i x="2" s="1" nd="1"/>
        <i x="0" s="1" nd="1"/>
        <i x="5" s="1" nd="1"/>
      </items>
    </tabular>
  </data>
  <extLst>
    <x:ext xmlns:x15="http://schemas.microsoft.com/office/spreadsheetml/2010/11/main" uri="{470722E0-AACD-4C17-9CDC-17EF765DBC7E}">
      <x15:slicerCacheHideItemsWithNoData/>
    </x:ext>
  </extLst>
</slicerCacheDefinition>
</file>

<file path=xl/slicerCaches/slicerCache5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Units1" xr10:uid="{1D9224EB-A57F-4728-A466-9F8C4A80F970}" sourceName="Primary Units">
  <pivotTables>
    <pivotTable tabId="22" name="PivotTable1"/>
  </pivotTables>
  <data>
    <tabular pivotCacheId="1381888161">
      <items count="2">
        <i x="0" s="1"/>
        <i x="1" nd="1"/>
      </items>
    </tabular>
  </data>
  <extLst>
    <x:ext xmlns:x15="http://schemas.microsoft.com/office/spreadsheetml/2010/11/main" uri="{470722E0-AACD-4C17-9CDC-17EF765DBC7E}">
      <x15:slicerCacheHideItemsWithNoData/>
    </x:ext>
  </extLst>
</slicerCacheDefinition>
</file>

<file path=xl/slicerCaches/slicerCache5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 xr10:uid="{E7BE2380-FB90-4C9F-91C6-3101DF078488}" sourceName="Sport">
  <extLst>
    <x:ext xmlns:x15="http://schemas.microsoft.com/office/spreadsheetml/2010/11/main" uri="{2F2917AC-EB37-4324-AD4E-5DD8C200BD13}">
      <x15:tableSlicerCache tableId="2" column="4"/>
    </x:ext>
    <x:ext xmlns:x15="http://schemas.microsoft.com/office/spreadsheetml/2010/11/main" uri="{470722E0-AACD-4C17-9CDC-17EF765DBC7E}">
      <x15:slicerCacheHideItemsWithNoData/>
    </x:ext>
  </extLst>
</slicerCacheDefinition>
</file>

<file path=xl/slicerCaches/slicerCache5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grees" xr10:uid="{53A48334-9451-4386-A244-C8CB53A12FE2}" sourceName="Degrees">
  <extLst>
    <x:ext xmlns:x15="http://schemas.microsoft.com/office/spreadsheetml/2010/11/main" uri="{2F2917AC-EB37-4324-AD4E-5DD8C200BD13}">
      <x15:tableSlicerCache tableId="2" column="1"/>
    </x:ext>
    <x:ext xmlns:x15="http://schemas.microsoft.com/office/spreadsheetml/2010/11/main" uri="{470722E0-AACD-4C17-9CDC-17EF765DBC7E}">
      <x15:slicerCacheHideItemsWithNoData/>
    </x:ext>
  </extLst>
</slicerCacheDefinition>
</file>

<file path=xl/slicerCaches/slicerCache5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DF7E91F9-D5CE-47B9-8A78-370A065EB790}" sourceName="Group">
  <extLst>
    <x:ext xmlns:x15="http://schemas.microsoft.com/office/spreadsheetml/2010/11/main" uri="{2F2917AC-EB37-4324-AD4E-5DD8C200BD13}">
      <x15:tableSlicerCache tableId="2" column="5"/>
    </x:ext>
    <x:ext xmlns:x15="http://schemas.microsoft.com/office/spreadsheetml/2010/11/main" uri="{470722E0-AACD-4C17-9CDC-17EF765DBC7E}">
      <x15:slicerCacheHideItemsWithNoData/>
    </x:ext>
  </extLst>
</slicerCacheDefinition>
</file>

<file path=xl/slicerCaches/slicerCache5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DE4205-9997-4623-8C60-CCC3D5996B01}" sourceName="Year">
  <extLst>
    <x:ext xmlns:x15="http://schemas.microsoft.com/office/spreadsheetml/2010/11/main" uri="{2F2917AC-EB37-4324-AD4E-5DD8C200BD13}">
      <x15:tableSlicerCache tableId="2" column="33"/>
    </x:ext>
    <x:ext xmlns:x15="http://schemas.microsoft.com/office/spreadsheetml/2010/11/main" uri="{470722E0-AACD-4C17-9CDC-17EF765DBC7E}">
      <x15:slicerCacheHideItemsWithNoData/>
    </x:ext>
  </extLst>
</slicerCacheDefinition>
</file>

<file path=xl/slicerCaches/slicerCache5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s_Key" xr10:uid="{4F644F3F-2A66-49A0-AD8F-D7854CCCD877}" sourceName="Abbreviations Key">
  <extLst>
    <x:ext xmlns:x15="http://schemas.microsoft.com/office/spreadsheetml/2010/11/main" uri="{2F2917AC-EB37-4324-AD4E-5DD8C200BD13}">
      <x15:tableSlicerCache tableId="2" column="10"/>
    </x:ext>
    <x:ext xmlns:x15="http://schemas.microsoft.com/office/spreadsheetml/2010/11/main" uri="{470722E0-AACD-4C17-9CDC-17EF765DBC7E}">
      <x15:slicerCacheHideItemsWithNoData/>
    </x:ext>
  </extLst>
</slicerCacheDefinition>
</file>

<file path=xl/slicerCaches/slicerCache5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grees1" xr10:uid="{4352FB58-3E6B-4325-96CC-4DF78BA65C41}" sourceName="Degrees">
  <extLst>
    <x:ext xmlns:x15="http://schemas.microsoft.com/office/spreadsheetml/2010/11/main" uri="{2F2917AC-EB37-4324-AD4E-5DD8C200BD13}">
      <x15:tableSlicerCache tableId="1" column="1"/>
    </x:ext>
    <x:ext xmlns:x15="http://schemas.microsoft.com/office/spreadsheetml/2010/11/main" uri="{470722E0-AACD-4C17-9CDC-17EF765DBC7E}">
      <x15:slicerCacheHideItemsWithNoData/>
    </x:ext>
  </extLst>
</slicerCacheDefinition>
</file>

<file path=xl/slicerCaches/slicerCache6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61198ACD-8D77-4389-8192-0BCC36FB59C6}" sourceName="Year">
  <extLst>
    <x:ext xmlns:x15="http://schemas.microsoft.com/office/spreadsheetml/2010/11/main" uri="{2F2917AC-EB37-4324-AD4E-5DD8C200BD13}">
      <x15:tableSlicerCache tableId="1" column="4"/>
    </x:ext>
    <x:ext xmlns:x15="http://schemas.microsoft.com/office/spreadsheetml/2010/11/main" uri="{470722E0-AACD-4C17-9CDC-17EF765DBC7E}">
      <x15:slicerCacheHideItemsWithNoData/>
    </x:ext>
  </extLst>
</slicerCacheDefinition>
</file>

<file path=xl/slicerCaches/slicerCache6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1" xr10:uid="{60CA2942-DB01-4930-9526-2E8A6DB33E67}" sourceName="Sport">
  <extLst>
    <x:ext xmlns:x15="http://schemas.microsoft.com/office/spreadsheetml/2010/11/main" uri="{2F2917AC-EB37-4324-AD4E-5DD8C200BD13}">
      <x15:tableSlicerCache tableId="1" column="5"/>
    </x:ext>
    <x:ext xmlns:x15="http://schemas.microsoft.com/office/spreadsheetml/2010/11/main" uri="{470722E0-AACD-4C17-9CDC-17EF765DBC7E}">
      <x15:slicerCacheHideItemsWithNoData/>
    </x:ext>
  </extLst>
</slicerCacheDefinition>
</file>

<file path=xl/slicerCaches/slicerCache6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1" xr10:uid="{DB3D36FA-31B8-4A62-A8B2-5933EA308DC8}" sourceName="Group">
  <extLst>
    <x:ext xmlns:x15="http://schemas.microsoft.com/office/spreadsheetml/2010/11/main" uri="{2F2917AC-EB37-4324-AD4E-5DD8C200BD13}">
      <x15:tableSlicerCache tableId="1" column="6"/>
    </x:ext>
    <x:ext xmlns:x15="http://schemas.microsoft.com/office/spreadsheetml/2010/11/main" uri="{470722E0-AACD-4C17-9CDC-17EF765DBC7E}">
      <x15:slicerCacheHideItemsWithNoData/>
    </x:ext>
  </extLst>
</slicerCacheDefinition>
</file>

<file path=xl/slicerCaches/slicerCache6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s" xr10:uid="{FEF123D5-4744-4A56-BF3D-2B97FDFFA71B}" sourceName="Positions">
  <extLst>
    <x:ext xmlns:x15="http://schemas.microsoft.com/office/spreadsheetml/2010/11/main" uri="{2F2917AC-EB37-4324-AD4E-5DD8C200BD13}">
      <x15:tableSlicerCache tableId="1" column="7"/>
    </x:ext>
    <x:ext xmlns:x15="http://schemas.microsoft.com/office/spreadsheetml/2010/11/main" uri="{470722E0-AACD-4C17-9CDC-17EF765DBC7E}">
      <x15:slicerCacheHideItemsWithNoData/>
    </x:ext>
  </extLst>
</slicerCacheDefinition>
</file>

<file path=xl/slicerCaches/slicerCache6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A32BA3CA-A68F-4E2B-BACE-3A768CC1AFDD}" sourceName="Gender">
  <extLst>
    <x:ext xmlns:x15="http://schemas.microsoft.com/office/spreadsheetml/2010/11/main" uri="{2F2917AC-EB37-4324-AD4E-5DD8C200BD13}">
      <x15:tableSlicerCache tableId="1" column="12"/>
    </x:ext>
    <x:ext xmlns:x15="http://schemas.microsoft.com/office/spreadsheetml/2010/11/main" uri="{470722E0-AACD-4C17-9CDC-17EF765DBC7E}">
      <x15:slicerCacheHideItemsWithNoData/>
    </x:ext>
  </extLst>
</slicerCacheDefinition>
</file>

<file path=xl/slicerCaches/slicerCache6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s_Key1" xr10:uid="{9527412E-6BB7-4A56-9E98-BBA8EC1B7AF9}" sourceName="Abbreviations Key">
  <extLst>
    <x:ext xmlns:x15="http://schemas.microsoft.com/office/spreadsheetml/2010/11/main" uri="{2F2917AC-EB37-4324-AD4E-5DD8C200BD13}">
      <x15:tableSlicerCache tableId="1" column="11"/>
    </x:ext>
    <x:ext xmlns:x15="http://schemas.microsoft.com/office/spreadsheetml/2010/11/main" uri="{470722E0-AACD-4C17-9CDC-17EF765DBC7E}">
      <x15:slicerCacheHideItemsWithNoData/>
    </x:ext>
  </extLst>
</slicerCacheDefinition>
</file>

<file path=xl/slicerCaches/slicerCache6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s1" xr10:uid="{DE806F16-932F-40C9-A891-743670CCFE3A}" sourceName="Positions">
  <extLst>
    <x:ext xmlns:x15="http://schemas.microsoft.com/office/spreadsheetml/2010/11/main" uri="{2F2917AC-EB37-4324-AD4E-5DD8C200BD13}">
      <x15:tableSlicerCache tableId="2" column="6"/>
    </x:ext>
    <x:ext xmlns:x15="http://schemas.microsoft.com/office/spreadsheetml/2010/11/main" uri="{470722E0-AACD-4C17-9CDC-17EF765DBC7E}">
      <x15:slicerCacheHideItemsWithNoData/>
    </x:ext>
  </extLst>
</slicerCacheDefinition>
</file>

<file path=xl/slicerCaches/slicerCache6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grees2" xr10:uid="{16B6E447-4C69-4B42-963C-EE32BFB1C4F6}" sourceName="Degrees">
  <extLst>
    <x:ext xmlns:x15="http://schemas.microsoft.com/office/spreadsheetml/2010/11/main" uri="{2F2917AC-EB37-4324-AD4E-5DD8C200BD13}">
      <x15:tableSlicerCache tableId="3" column="1"/>
    </x:ext>
  </extLst>
</slicerCacheDefinition>
</file>

<file path=xl/slicerCaches/slicerCache6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7BEE96AC-EE22-4077-A38B-311E720CAC56}" sourceName="Year">
  <extLst>
    <x:ext xmlns:x15="http://schemas.microsoft.com/office/spreadsheetml/2010/11/main" uri="{2F2917AC-EB37-4324-AD4E-5DD8C200BD13}">
      <x15:tableSlicerCache tableId="3" column="4"/>
    </x:ext>
  </extLst>
</slicerCacheDefinition>
</file>

<file path=xl/slicerCaches/slicerCache6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2" xr10:uid="{74B5428D-DB22-44AF-AEC1-06FD0133AAA7}" sourceName="Sport">
  <extLst>
    <x:ext xmlns:x15="http://schemas.microsoft.com/office/spreadsheetml/2010/11/main" uri="{2F2917AC-EB37-4324-AD4E-5DD8C200BD13}">
      <x15:tableSlicerCache tableId="3" column="5"/>
    </x:ext>
  </extLst>
</slicerCacheDefinition>
</file>

<file path=xl/slicerCaches/slicerCache7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2" xr10:uid="{AF9B5E21-65A7-4555-AEF3-2493FDA7540F}" sourceName="Group">
  <extLst>
    <x:ext xmlns:x15="http://schemas.microsoft.com/office/spreadsheetml/2010/11/main" uri="{2F2917AC-EB37-4324-AD4E-5DD8C200BD13}">
      <x15:tableSlicerCache tableId="3" column="6"/>
    </x:ext>
  </extLst>
</slicerCacheDefinition>
</file>

<file path=xl/slicerCaches/slicerCache7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s2" xr10:uid="{B4F00867-01F8-4167-96F5-3C5D85677573}" sourceName="Positions">
  <extLst>
    <x:ext xmlns:x15="http://schemas.microsoft.com/office/spreadsheetml/2010/11/main" uri="{2F2917AC-EB37-4324-AD4E-5DD8C200BD13}">
      <x15:tableSlicerCache tableId="3" column="7"/>
    </x:ext>
  </extLst>
</slicerCacheDefinition>
</file>

<file path=xl/slicerCaches/slicerCache7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s_Key2" xr10:uid="{4E093447-2875-4F22-BBF6-FFD4E2B969A2}" sourceName="Abbreviations Key">
  <extLst>
    <x:ext xmlns:x15="http://schemas.microsoft.com/office/spreadsheetml/2010/11/main" uri="{2F2917AC-EB37-4324-AD4E-5DD8C200BD13}">
      <x15:tableSlicerCache tableId="3" column="11"/>
    </x:ext>
  </extLst>
</slicerCacheDefinition>
</file>

<file path=xl/slicerCaches/slicerCache7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BC715C18-4CF6-4EB5-9590-41C6AA39CBA4}" sourceName="Gender">
  <extLst>
    <x:ext xmlns:x15="http://schemas.microsoft.com/office/spreadsheetml/2010/11/main" uri="{2F2917AC-EB37-4324-AD4E-5DD8C200BD13}">
      <x15:tableSlicerCache tableId="3"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ort" xr10:uid="{2F9B3003-62AB-4BDA-8D5F-DAC9F34C65CF}" cache="Slicer_Sport" caption="Sport" rowHeight="257175"/>
  <slicer name="Degrees°" xr10:uid="{06E02681-E2EE-44B6-B2DE-8BFBC3C4DF9C}" cache="Slicer_Degrees" caption="Degrees" rowHeight="257175"/>
  <slicer name="Group" xr10:uid="{D0FE6F7E-A397-4EEF-96A6-2E229A6DAB69}" cache="Slicer_Group" caption="Group" rowHeight="257175"/>
  <slicer name="Year" xr10:uid="{CFC6D321-C2A0-4982-B1BF-0ACF9F05AB83}" cache="Slicer_Year" caption="Year" rowHeight="257175"/>
  <slicer name="Abbreviations Key" xr10:uid="{78431AA2-ADD4-4C6D-A593-57E26B4AA0C1}" cache="Slicer_Abbreviations_Key" caption="Abbreviations Key" rowHeight="257175"/>
  <slicer name="Positions 1" xr10:uid="{F0D2C18B-26AB-47BD-BB77-82710506852F}" cache="Slicer_Positions1" caption="Positions"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grees" xr10:uid="{14623929-1554-45AE-980C-6BF9229282EE}" cache="Slicer_Degrees1" caption="Degrees" rowHeight="274320"/>
  <slicer name="Year 1" xr10:uid="{088DF9FC-28D6-45C9-AD7A-8FDD21F407A1}" cache="Slicer_Year1" caption="Year" rowHeight="274320"/>
  <slicer name="Sport 1" xr10:uid="{5F987ECD-DEC9-4D99-BD9F-9E62D395C1A2}" cache="Slicer_Sport1" caption="Sport" startItem="3" rowHeight="274320"/>
  <slicer name="Group 1" xr10:uid="{57D7597B-F3A0-4FDB-89C4-B7128AA62B34}" cache="Slicer_Group1" caption="Group" rowHeight="257175"/>
  <slicer name="Positions" xr10:uid="{63872502-1D54-4DD7-8D80-1426A29658CD}" cache="Slicer_Positions" caption="Positions" rowHeight="257175"/>
  <slicer name="Gender" xr10:uid="{8F84F7F3-61F5-4C4B-AD84-45304EAC9949}" cache="Slicer_Gender" caption="Gender" rowHeight="257175"/>
  <slicer name="Abbreviations Key 1" xr10:uid="{5A849DF3-8D63-4008-B0EA-15380C2996AD}" cache="Slicer_Abbreviations_Key1" caption="Abbreviations Key"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grees 8" xr10:uid="{771D7DB2-52C7-48F0-9023-02128069A4CF}" cache="Slicer_Degrees2" caption="Degrees" startItem="1" rowHeight="274320"/>
  <slicer name="Year 3" xr10:uid="{58FFCA03-4D70-4973-A653-AC8B52EACE5B}" cache="Slicer_Year2" caption="Year" rowHeight="257175"/>
  <slicer name="Sport 9" xr10:uid="{40723BE2-BF5E-4EBB-990F-23D89339804F}" cache="Slicer_Sport2" caption="Sport" rowHeight="274320"/>
  <slicer name="Group 9" xr10:uid="{67CCEF92-7247-4B38-9F49-C08DC883AD81}" cache="Slicer_Group2" caption="Group" rowHeight="257175"/>
  <slicer name="Positions 9" xr10:uid="{B55B668F-6EA9-4C1D-AFC1-99C8902FBFB6}" cache="Slicer_Positions2" caption="Positions" rowHeight="274320"/>
  <slicer name="Abbreviations Key 2" xr10:uid="{E34A7CCD-8F7B-4376-8D3D-9ADD9796DAA8}" cache="Slicer_Abbreviations_Key2" caption="Abbreviations Key" rowHeight="274320"/>
  <slicer name="Gender 1" xr10:uid="{3600E85B-DE5A-434D-BD38-3530874B274C}" cache="Slicer_Gender1" caption="Gender"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grees 3" xr10:uid="{B9F6E50A-2052-4324-B35D-7517D95D53B6}" cache="Slicer_Degrees4" caption="Degrees" columnCount="2" style="Degrees°" rowHeight="257175"/>
  <slicer name="Sport 4" xr10:uid="{D2E40780-930C-4C98-BE3D-281EEFA5CCE9}" cache="Slicer_Sport4" caption="Sport" columnCount="2" style="Degrees°" rowHeight="257175"/>
  <slicer name="Group 5" xr10:uid="{9C84522A-AE59-4AC0-AA6F-A53A461775A4}" cache="Slicer_Group4" caption="Group" columnCount="2" style="Degrees°" rowHeight="257175"/>
  <slicer name="Positions 4" xr10:uid="{F55B3554-349A-4B86-AEA3-6BC08E15CA41}" cache="Slicer_Positions4" caption="Positions" startItem="2" columnCount="2" style="Degrees°" rowHeight="257175"/>
  <slicer name="Gender 3" xr10:uid="{DC8BE4FD-F598-4C15-B1CE-685080B7CF87}" cache="Slicer_Gender3" caption="Gender" style="Degrees°" rowHeight="257175"/>
  <slicer name="Directon 1" xr10:uid="{F2D01418-7022-4A8A-9D9E-829E72540F5B}" cache="Slicer_Directon1" caption="Directon" style="Degrees°" rowHeight="257175"/>
  <slicer name="Machine Type" xr10:uid="{EE038106-1B32-4107-996E-1A67F5543678}" cache="Slicer_Machine_Type" caption="Machine Type" columnCount="2" style="Degrees°" rowHeight="257175"/>
  <slicer name="Degrees 4" xr10:uid="{4C0C9A8D-DB2A-40C9-A8CB-AB1E5054A6B6}" cache="Slicer_Degrees5" caption="Degrees" columnCount="2" style="Degrees°" rowHeight="257175"/>
  <slicer name="Sport 5" xr10:uid="{6C22FA88-D137-4FDE-8E1D-54A556507E0D}" cache="Slicer_Sport5" caption="Sport" columnCount="2" style="Degrees°" rowHeight="257175"/>
  <slicer name="Group 4" xr10:uid="{535D8B45-7FB0-4899-88D6-75B7B7A33AEC}" cache="Slicer_Group5" caption="Group" columnCount="2" style="Degrees°" rowHeight="257175"/>
  <slicer name="Positions 5" xr10:uid="{8AA388A4-17D5-421B-BC35-58277BC7AF53}" cache="Slicer_Positions5" caption="Positions" columnCount="2" style="Degrees°" rowHeight="257175"/>
  <slicer name="Machine Type 2" xr10:uid="{B4857B0A-ED9B-4A8E-96E3-85D986F6CD7F}" cache="Slicer_Machine_Type2" caption="Machine Type" columnCount="2" style="Degrees°" rowHeight="257175"/>
  <slicer name="Primary Units" xr10:uid="{4DA98D9F-619F-41CA-BA77-B427238874B5}" cache="Slicer_Primary_Units" caption="Primary Units" showCaption="0" style="Degrees°" rowHeight="257175"/>
  <slicer name="Gender 4" xr10:uid="{373BE887-716E-49A0-936C-19B791BB760C}" cache="Slicer_Gender4" caption="Gender" style="Degrees°" rowHeight="257175"/>
  <slicer name="Directon 2" xr10:uid="{EDA7D2A9-E3C0-441E-A9A0-BFB1F6A0FFB1}" cache="Slicer_Directon2" caption="Directon" style="Degrees°" rowHeight="257175"/>
  <slicer name="N 1" xr10:uid="{B79ACA98-F3BC-4B39-8B94-EF12156F50F1}" cache="Slicer_N1" caption="N" columnCount="4" style="Degrees°" rowHeight="257175"/>
  <slicer name="Degrees 2" xr10:uid="{C75F3AFD-2AA1-495E-A40B-CD2206CAAC4E}" cache="Slicer_Degrees3" caption="Degrees" columnCount="2" style="Degrees°" rowHeight="257175"/>
  <slicer name="Gender 2" xr10:uid="{C5210D4C-D14A-4B14-A14F-3D12009E7ECE}" cache="Slicer_Gender2" caption="Gender" style="Degrees°" rowHeight="257175"/>
  <slicer name="Directon" xr10:uid="{14D3CDAF-D730-425D-BF39-21D3D12ED8A8}" cache="Slicer_Directon" caption="Directon" style="Degrees°" rowHeight="257175"/>
  <slicer name="N" xr10:uid="{D61AFF90-3229-49B6-BB1F-CC734AF8380C}" cache="Slicer_N" caption="N" columnCount="5" style="Degrees°" rowHeight="257175"/>
  <slicer name="Positions 3" xr10:uid="{0BA69BAE-1A53-47F3-A7F1-65128D9BDC74}" cache="Slicer_Positions3" caption="Positions" columnCount="2" style="Degrees°" rowHeight="257175"/>
  <slicer name="Group 3" xr10:uid="{5B806524-FFFE-4105-BA2E-CE84E695618C}" cache="Slicer_Group3" caption="Group" columnCount="2" style="Degrees°" rowHeight="257175"/>
  <slicer name="Sport 3" xr10:uid="{0A8E7169-897A-4B70-8E19-B74C8BDCA087}" cache="Slicer_Sport3" caption="Sport" columnCount="2" style="Degrees°" rowHeight="257175"/>
  <slicer name="Machine Type 3" xr10:uid="{482C8762-D51C-425B-B4EF-317BEA041C8D}" cache="Slicer_Machine_Type1" caption="Machine Type" columnCount="2" style="Degrees°" rowHeight="257175"/>
  <slicer name="Degrees 5" xr10:uid="{486D8105-9453-4DC5-9499-ADA8E009A9B7}" cache="Slicer_Degrees6" caption="Degrees" style="Degrees°" rowHeight="257175"/>
  <slicer name="Gender 5" xr10:uid="{7E3FFCE6-E497-4991-855F-939B4093985C}" cache="Slicer_Gender5" caption="Gender" style="Degrees°" rowHeight="257175"/>
  <slicer name="Directon 3" xr10:uid="{A0691939-8658-434D-AE6A-FB06B24701E6}" cache="Slicer_Directon3" caption="Directon" style="Degrees°" rowHeight="257175"/>
  <slicer name="N 2" xr10:uid="{1ADF6665-773D-4451-970F-21862EFB0A95}" cache="Slicer_N2" caption="N" columnCount="5" style="Degrees°" rowHeight="257175"/>
  <slicer name="Positions 6" xr10:uid="{B0A2FD00-E55E-4302-9B30-A620635E56E7}" cache="Slicer_Positions6" caption="Positions" columnCount="2" style="Degrees°" rowHeight="257175"/>
  <slicer name="Group 7" xr10:uid="{83FFC518-90D8-4683-9EE8-979377EAD834}" cache="Slicer_Group6" caption="Group" columnCount="2" style="Degrees°" rowHeight="257175"/>
  <slicer name="Sport 6" xr10:uid="{CC90202C-F391-4AD1-9D83-3D447A4ABFAB}" cache="Slicer_Sport6" caption="Sport" columnCount="2" style="Degrees°" rowHeight="257175"/>
  <slicer name="Machine Type 4" xr10:uid="{11D6FEEC-2855-48EC-8249-E219D2B4165D}" cache="Slicer_Machine_Type3" caption="Machine Type" columnCount="2" style="Degrees°" rowHeight="257175"/>
  <slicer name="Abbreviations Key 3" xr10:uid="{2EE32FEC-06C7-433D-A44B-543D0C01A084}" cache="Slicer_Abbreviations_Key3" caption="Abbreviations Key" columnCount="2" style="Degrees°" rowHeight="257175"/>
  <slicer name="Degrees 6" xr10:uid="{0AFBCED1-F22F-475F-95DA-591017FDF446}" cache="Slicer_Degrees7" caption="Degrees" style="Degrees°" rowHeight="257175"/>
  <slicer name="Sport 7" xr10:uid="{2E8F8150-9633-4C5D-8A01-7A0FF675F5BC}" cache="Slicer_Sport7" caption="Sport" columnCount="2" style="Degrees°" rowHeight="257175"/>
  <slicer name="Group 6" xr10:uid="{A47F6D0A-A24A-4131-B9CF-F41883436E6B}" cache="Slicer_Group7" caption="Group" columnCount="2" style="Degrees°" rowHeight="257175"/>
  <slicer name="Positions 7" xr10:uid="{1DA62915-4FE5-4E3C-A880-B34F753205E6}" cache="Slicer_Positions7" caption="Positions" columnCount="2" style="Degrees°" rowHeight="257175"/>
  <slicer name="N 3" xr10:uid="{AD3DA92C-9FE3-4ADE-AFFF-29AFAA0E56A0}" cache="Slicer_N3" caption="N" columnCount="5" style="Degrees°" rowHeight="257175"/>
  <slicer name="Gender 6" xr10:uid="{19A95024-4187-44C4-B57D-321DF96EF871}" cache="Slicer_Gender6" caption="Gender" style="Degrees°" rowHeight="257175"/>
  <slicer name="Directon 4" xr10:uid="{22E125CF-897E-4C7C-9F41-5C73900BA9E3}" cache="Slicer_Directon4" caption="Directon" style="Degrees°" rowHeight="257175"/>
  <slicer name="Machine Type 1" xr10:uid="{9DC3E1BB-A2C3-455C-9872-D3749FDB0825}" cache="Slicer_Machine_Type4" caption="Machine Type" style="Degrees°" rowHeight="257175"/>
  <slicer name="Units 2" xr10:uid="{F1C1FC12-E3D6-4895-8FB6-051F012F9E5B}" cache="Slicer_Units2" caption="Units" columnCount="2" showCaption="0" style="Degrees°" rowHeight="257175"/>
  <slicer name="Units 1" xr10:uid="{A33A3267-ADE9-46CF-8FAD-644AA36BFF43}" cache="Slicer_Units1" caption="Units" columnCount="4" showCaption="0" style="Degrees°" rowHeight="257175"/>
  <slicer name="N 4" xr10:uid="{A6F35524-3363-44BD-85E3-850DF5B90B12}" cache="Slicer_N4" caption="N" columnCount="5" style="Degrees°" rowHeight="257175"/>
  <slicer name="Degrees 7" xr10:uid="{377B2990-7CB6-414D-8C1F-218840BE5CE6}" cache="Slicer_Degrees8" caption="Degrees" style="Degrees°" rowHeight="257175"/>
  <slicer name="Gender 7" xr10:uid="{33C7565A-C30A-4139-A7C7-4B004F1A65AF}" cache="Slicer_Gender7" caption="Gender" style="Degrees°" rowHeight="257175"/>
  <slicer name="Directon 5" xr10:uid="{1FAEA748-51FB-499D-A207-CA0621E78912}" cache="Slicer_Directon5" caption="Directon" style="Degrees°" rowHeight="257175"/>
  <slicer name="N 5" xr10:uid="{6C08E04E-F506-450D-A4E7-6DFD436CF497}" cache="Slicer_N5" caption="N" columnCount="5" style="Degrees°" rowHeight="257175"/>
  <slicer name="Sport 8" xr10:uid="{FB619C3B-113D-430C-91E5-6B8E6072C224}" cache="Slicer_Sport8" caption="Sport" columnCount="2" style="Degrees°" rowHeight="257175"/>
  <slicer name="Group 8" xr10:uid="{56394CE7-38EF-4DF3-A449-B22BFF9A8F5F}" cache="Slicer_Group8" caption="Group" columnCount="2" style="Degrees°" rowHeight="257175"/>
  <slicer name="Positions 8" xr10:uid="{8092E0BD-2F38-478D-9968-090372CDDB5D}" cache="Slicer_Positions8" caption="Positions" columnCount="2" style="Degrees°" rowHeight="257175"/>
  <slicer name="Machine Type 5" xr10:uid="{D9B337D0-D1DE-4FA2-A8A6-4C0FCE6DA8B1}" cache="Slicer_Machine_Type5" caption="Machine Type" columnCount="2" style="Degrees°" rowHeight="257175"/>
  <slicer name="Primary Units 1" xr10:uid="{1D9A1AEE-5CA2-407F-A591-A7AA1AB98823}" cache="Slicer_Primary_Units1" caption="Primary Units" showCaption="0" style="Degrees°"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AEECB0E-0EF6-4BC3-9534-3DD79D7C5B7D}" name="KneeTable" displayName="KneeTable" ref="A370:AH620" totalsRowShown="0" headerRowDxfId="151" dataDxfId="150">
  <autoFilter ref="A370:AH620" xr:uid="{DAEECB0E-0EF6-4BC3-9534-3DD79D7C5B7D}"/>
  <sortState xmlns:xlrd2="http://schemas.microsoft.com/office/spreadsheetml/2017/richdata2" ref="A371:AH620">
    <sortCondition ref="C370:C620"/>
  </sortState>
  <tableColumns count="34">
    <tableColumn id="1" xr3:uid="{9940A457-102B-4235-A7D3-03519DBC00F0}" name="Degrees" dataDxfId="149"/>
    <tableColumn id="2" xr3:uid="{922B2B15-68EF-41CD-BABC-A591CE9C1ABC}" name="Notes" dataDxfId="148"/>
    <tableColumn id="3" xr3:uid="{03C4275A-02F0-4D5D-B243-3F246928107E}" name="Source" dataDxfId="147"/>
    <tableColumn id="33" xr3:uid="{381C957E-8B63-49EB-9085-094F07713265}" name="Year" dataDxfId="146" dataCellStyle="Hyperlink"/>
    <tableColumn id="4" xr3:uid="{F006D5C1-3088-4AB5-B013-687DB9B8CFA6}" name="Sport" dataDxfId="145"/>
    <tableColumn id="5" xr3:uid="{1D7FA1E6-C828-4F81-9C7F-45E73A676DE3}" name="Group" dataDxfId="144"/>
    <tableColumn id="6" xr3:uid="{54A4D2B8-1256-4FD5-8B3F-B6003C1E2315}" name="Positions" dataDxfId="143"/>
    <tableColumn id="7" xr3:uid="{58AB1494-1109-4257-B38A-BB8D2E09C8A2}" name="Average Age" dataDxfId="142"/>
    <tableColumn id="8" xr3:uid="{6B0EAA97-F10E-4A48-8774-5BAFCCD21D9C}" name="Age.SD" dataDxfId="141"/>
    <tableColumn id="9" xr3:uid="{6CC7618F-FC31-4EF0-A630-CFF1C05BD048}" name="N" dataDxfId="140"/>
    <tableColumn id="10" xr3:uid="{8FE154DA-FEA2-4039-AAA0-770C05A78341}" name="Abbreviations Key" dataDxfId="139"/>
    <tableColumn id="11" xr3:uid="{F40EEBCB-F5FE-42DF-B1FB-A6B4DC2E9DA7}" name="Gender" dataDxfId="138"/>
    <tableColumn id="12" xr3:uid="{90AB3CA4-1728-459F-8BC3-6C8E9FF72E0C}" name="Directon" dataDxfId="137"/>
    <tableColumn id="13" xr3:uid="{C276CD0A-4E71-4CD9-85BB-8152E1BC74F8}" name="Machine Type" dataDxfId="136"/>
    <tableColumn id="14" xr3:uid="{45E12ED8-740B-4E4C-BE9E-7FA8665B6966}" name="Absolute Units" dataDxfId="135"/>
    <tableColumn id="35" xr3:uid="{A1BB1EE4-9D4B-4113-8607-CEFCC332A43F}" name="Relative Units" dataDxfId="134"/>
    <tableColumn id="15" xr3:uid="{8FBB7452-9E75-4F78-BA8A-17EA5F497438}" name="Extension Peak Force" dataDxfId="133"/>
    <tableColumn id="16" xr3:uid="{CFA0924F-5DFE-40D1-9089-FC12094094A8}" name="Ext SD." dataDxfId="132"/>
    <tableColumn id="17" xr3:uid="{160A0DA8-C235-4D2A-B13B-9B1FCD2436A0}" name="Flexion Peak Force" dataDxfId="131"/>
    <tableColumn id="18" xr3:uid="{B7C182AB-8D5E-4D51-BBEA-A69009A4E15D}" name="Flexion SD." dataDxfId="130"/>
    <tableColumn id="19" xr3:uid="{12336749-2155-4FF7-A3AB-DE00E9A00E75}" name="Ext Pk Torque/BW" dataDxfId="129"/>
    <tableColumn id="20" xr3:uid="{F3337884-51FE-410A-96B8-87700B9C1965}" name="Ext BW SD" dataDxfId="128"/>
    <tableColumn id="21" xr3:uid="{3A06BC24-BFD8-4573-B9C3-81473FBE0DA9}" name="Flex Pk Torque/BW" dataDxfId="127"/>
    <tableColumn id="22" xr3:uid="{D3B8040F-C30E-49AD-A506-5DC54F8B77D3}" name="Flex BW SD" dataDxfId="126"/>
    <tableColumn id="23" xr3:uid="{0D6955D4-14BB-46C4-9863-44B7A469C703}" name="Power Ext (Watt)" dataDxfId="125"/>
    <tableColumn id="24" xr3:uid="{194DE48E-185A-40B0-B481-69FAEC584E38}" name="Power.Ext.SD" dataDxfId="124"/>
    <tableColumn id="25" xr3:uid="{0B752EBB-2291-4827-911A-376711F34D45}" name="Power Flex (Watt)" dataDxfId="123"/>
    <tableColumn id="26" xr3:uid="{4844F17B-AC0E-43CE-AD17-F78835F75260}" name="Power.Flex.SD" dataDxfId="122"/>
    <tableColumn id="27" xr3:uid="{10DCF79B-C6DA-4BF8-A0EC-B79F55628086}" name="Work Ext (Joule)" dataDxfId="121"/>
    <tableColumn id="28" xr3:uid="{977AD5F1-CB88-45EE-A024-75C31874602E}" name="Work.EXT.SD" dataDxfId="120"/>
    <tableColumn id="29" xr3:uid="{331F37CA-2450-4E95-BA2B-436E7DAE0F30}" name="Work Flex (Joule)" dataDxfId="119"/>
    <tableColumn id="30" xr3:uid="{5E474EB1-4396-4985-9EAA-ECC36720E64F}" name="Work.Flex.SD" dataDxfId="118"/>
    <tableColumn id="31" xr3:uid="{61F6FC2D-4DFC-4346-9E98-96A44946B147}" name="QHS Ratio" dataDxfId="117"/>
    <tableColumn id="32" xr3:uid="{B08BFCB7-2A26-4B5C-B712-A1E13FFBDA96}" name="QHS.SD" dataDxfId="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90989A-01FC-4822-B8DA-28A5E7E5A732}" name="Table1" displayName="Table1" ref="A177:AK323" totalsRowShown="0" headerRowDxfId="111" dataDxfId="110" tableBorderDxfId="109">
  <autoFilter ref="A177:AK323" xr:uid="{4E90989A-01FC-4822-B8DA-28A5E7E5A732}">
    <filterColumn colId="14">
      <filters>
        <filter val="N'*m"/>
        <filter val="Nm"/>
      </filters>
    </filterColumn>
  </autoFilter>
  <tableColumns count="37">
    <tableColumn id="1" xr3:uid="{E400959F-9DD1-4FFF-B21F-DABFD44A633F}" name="Degrees" dataDxfId="108"/>
    <tableColumn id="2" xr3:uid="{F8F96930-C94E-4E67-B1C6-3E69E013B363}" name="Notes" dataDxfId="107"/>
    <tableColumn id="3" xr3:uid="{1F0A30D0-BE34-43E9-8208-BF8B0B5D459B}" name="Source" dataDxfId="106"/>
    <tableColumn id="4" xr3:uid="{53B601C3-9AD5-45BD-984E-111E720AF52B}" name="Year" dataDxfId="105"/>
    <tableColumn id="5" xr3:uid="{EF5CC9B9-1ACB-406F-AE73-99D7ACD799D1}" name="Sport" dataDxfId="104"/>
    <tableColumn id="6" xr3:uid="{00AE34EC-C848-4B11-9328-E851E39EFB55}" name="Group" dataDxfId="103"/>
    <tableColumn id="7" xr3:uid="{99A40CC2-5980-4001-8F5A-8DA9618FD770}" name="Positions" dataDxfId="102"/>
    <tableColumn id="8" xr3:uid="{3658D73C-5064-4D2A-8D46-4257EEF0EDB9}" name="Average Age" dataDxfId="101"/>
    <tableColumn id="9" xr3:uid="{0B957CD6-0F54-43AF-BD5A-206872C92AAF}" name="Age.SD" dataDxfId="100"/>
    <tableColumn id="10" xr3:uid="{AF683005-3ADD-408D-B47F-FD238F244084}" name="N" dataDxfId="99"/>
    <tableColumn id="11" xr3:uid="{7447C92F-6F71-407C-AC4A-9604DA8894D8}" name="Abbreviations Key" dataDxfId="98"/>
    <tableColumn id="12" xr3:uid="{594E357A-48B9-455B-99BC-5C9D4673C050}" name="Gender" dataDxfId="97"/>
    <tableColumn id="13" xr3:uid="{FF1FC085-0043-4AC9-B900-A0BF9CA659E8}" name="Directon" dataDxfId="96"/>
    <tableColumn id="14" xr3:uid="{B07656C5-D2A2-4B9C-AA17-73621FC9A1EB}" name="Machine Type" dataDxfId="95"/>
    <tableColumn id="15" xr3:uid="{0B3E9C82-B320-4095-834B-B34E87D35983}" name="Units" dataDxfId="94"/>
    <tableColumn id="30" xr3:uid="{23F1C699-2D4E-45C8-AD31-F60F51AD6462}" name="External Rotation" dataDxfId="93"/>
    <tableColumn id="31" xr3:uid="{43CA2692-919E-48FD-8586-BF16BFAE5516}" name="Ext.SD" dataDxfId="92"/>
    <tableColumn id="32" xr3:uid="{E455EAA2-5F66-4F8E-BFC4-3FE38839AABA}" name="Internal Rotation" dataDxfId="91"/>
    <tableColumn id="33" xr3:uid="{497E8F64-4393-417D-938C-2C042D288C6D}" name="Int.SD" dataDxfId="90"/>
    <tableColumn id="19" xr3:uid="{3040D75C-86D6-4963-978D-0755D5367A08}" name="Peak.TQBW _Ext.Rotation" dataDxfId="89"/>
    <tableColumn id="18" xr3:uid="{65D7A142-5120-48D7-BBE8-A606C40F93D4}" name="BW.EXT.SD" dataDxfId="88"/>
    <tableColumn id="17" xr3:uid="{773E9118-DD4D-4781-AB7B-CC07613B46C1}" name="Peak.TQBW _Int.Rotation" dataDxfId="87"/>
    <tableColumn id="16" xr3:uid="{E5231677-AE21-438D-BF28-C1ECCA5A3E74}" name="BW.Int.SD" dataDxfId="86"/>
    <tableColumn id="34" xr3:uid="{F0EBF8A6-CAB5-40D5-A873-3D361B47198E}" name="Flexion" dataDxfId="85"/>
    <tableColumn id="35" xr3:uid="{8A0A5C4A-C809-4B3F-BC42-7CF10F2E0984}" name="Flex.SD" dataDxfId="84"/>
    <tableColumn id="36" xr3:uid="{522F06C2-9B7A-4CEF-B28D-F0B2F0FAEC25}" name="Extension" dataDxfId="83"/>
    <tableColumn id="37" xr3:uid="{79576135-9F5D-4824-B351-262E0DCE9121}" name="Ext.SD2" dataDxfId="82"/>
    <tableColumn id="38" xr3:uid="{AD034BC4-E18A-433E-B014-53BDCC755F6A}" name="Power Ext (Watt)" dataDxfId="81"/>
    <tableColumn id="39" xr3:uid="{8EDE211E-9F6D-4DD3-9F78-CB7DD06D2FF3}" name="Pwr.Ext.SD" dataDxfId="80"/>
    <tableColumn id="40" xr3:uid="{A5298221-BB17-4459-B18C-303A6D952F60}" name="Power Int (Watt)" dataDxfId="79"/>
    <tableColumn id="41" xr3:uid="{832E8542-9019-4A52-BAF6-1ED8141D5C99}" name="Pwr.Int.SD" dataDxfId="78"/>
    <tableColumn id="42" xr3:uid="{917E0251-C197-46CE-A895-D64D32D612AE}" name="Work Ext (Joule)" dataDxfId="77"/>
    <tableColumn id="43" xr3:uid="{3C21BB08-F7FB-4473-9F8F-79CE5AEC864B}" name="Work.Ext.SD" dataDxfId="76"/>
    <tableColumn id="44" xr3:uid="{900E22D5-DF57-4DE8-AF06-AEB03FDD0712}" name="Work  Int(Joule)" dataDxfId="75"/>
    <tableColumn id="45" xr3:uid="{E8277E53-66E4-44EE-BCB2-25AB5063DFC5}" name="Work.Int.SD" dataDxfId="74"/>
    <tableColumn id="46" xr3:uid="{98B986CC-1C23-41C8-9909-4CA0D7562616}" name="ER/IR Ratio" dataDxfId="73"/>
    <tableColumn id="47" xr3:uid="{5D1FC14B-A0A0-4A0B-BF5F-A3873E2D0804}" name="Ratio.SD" dataDxfId="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5102C20-C341-4D2F-A49B-AD678E8F3206}" name="Table3" displayName="Table3" ref="A235:AR340" totalsRowShown="0" headerRowDxfId="69" dataDxfId="68">
  <autoFilter ref="A235:AR340" xr:uid="{A5102C20-C341-4D2F-A49B-AD678E8F3206}"/>
  <tableColumns count="44">
    <tableColumn id="1" xr3:uid="{D625F176-E4EA-4F59-878E-335FA20126FB}" name="Degrees" dataDxfId="67"/>
    <tableColumn id="2" xr3:uid="{E7339241-452D-4017-9B3E-92953AA2E82B}" name="Notes" dataDxfId="66"/>
    <tableColumn id="3" xr3:uid="{881CBDE1-ECB9-4E77-A04D-71AE8F670018}" name="Source" dataDxfId="65" dataCellStyle="Hyperlink"/>
    <tableColumn id="4" xr3:uid="{DC14A449-0310-4548-A8A2-D8A137FF2411}" name="Year" dataDxfId="64"/>
    <tableColumn id="5" xr3:uid="{E73653F3-3FF2-4969-BC1E-1479896B6BC6}" name="Sport" dataDxfId="63"/>
    <tableColumn id="6" xr3:uid="{48645666-1103-4AE0-903B-0A924146A78F}" name="Group" dataDxfId="62"/>
    <tableColumn id="7" xr3:uid="{D8766A3C-963E-4651-8FE7-7EC19F58FDFA}" name="Positions" dataDxfId="61"/>
    <tableColumn id="8" xr3:uid="{24B7B744-72EA-4A0C-8A1D-A8DFDE6896AA}" name="Average Age" dataDxfId="60"/>
    <tableColumn id="9" xr3:uid="{2C559BC4-DAFC-40AF-B89B-38805C85FDEA}" name="Age.SD" dataDxfId="59"/>
    <tableColumn id="10" xr3:uid="{84F502D6-3381-4C95-B25B-3D79891DEE4B}" name="N" dataDxfId="58"/>
    <tableColumn id="11" xr3:uid="{CC6EF432-FECE-44C4-8A9F-2F2946A6EAC8}" name="Abbreviations Key" dataDxfId="57"/>
    <tableColumn id="12" xr3:uid="{32B0250D-FCF0-4DA2-A03A-0079196F74B1}" name="Gender" dataDxfId="56"/>
    <tableColumn id="13" xr3:uid="{EB2DACD8-6B9B-45C4-A97C-02E91331B4D4}" name="Directon" dataDxfId="55"/>
    <tableColumn id="14" xr3:uid="{01495627-8F65-417B-9DFA-7038C930488E}" name="Machine Type" dataDxfId="54"/>
    <tableColumn id="15" xr3:uid="{8A6B3FBC-25AF-4ED7-9021-C1ECFF4A35B9}" name="Primary Units" dataDxfId="53"/>
    <tableColumn id="16" xr3:uid="{659518D3-8C21-447D-B607-C6E24B876C1B}" name="Dorsal Flexion, Peak Torque" dataDxfId="52"/>
    <tableColumn id="17" xr3:uid="{0D32E844-2AE3-405E-B950-C741E63B0378}" name="SD" dataDxfId="51"/>
    <tableColumn id="18" xr3:uid="{0D7BA5C1-DE9E-4E21-A3CB-4756829D7F7A}" name="Plantar Flexion, Peak Torque" dataDxfId="50"/>
    <tableColumn id="19" xr3:uid="{D16D4247-160D-4FB7-912D-7F42164852AE}" name="PF.SD" dataDxfId="49"/>
    <tableColumn id="20" xr3:uid="{FE942F99-FF31-4F37-93DE-DD01AC799FD6}" name="Inversion, Peak Torque" dataDxfId="48"/>
    <tableColumn id="21" xr3:uid="{59761812-E2D2-4F16-A602-5D9FA7300551}" name="IV.SD" dataDxfId="47"/>
    <tableColumn id="22" xr3:uid="{85EACD7D-7DA4-4E09-B70A-F616FBEA7B80}" name="Eversion, Peak Torque" dataDxfId="46"/>
    <tableColumn id="23" xr3:uid="{0C7EF5B2-F921-471F-93AF-C99EFB609C0E}" name="EV.SD" dataDxfId="45"/>
    <tableColumn id="24" xr3:uid="{BE34B12D-A352-4AFA-BC84-1EB4792A944E}" name="Dorsi Flexion Pk Torque/BW" dataDxfId="44"/>
    <tableColumn id="25" xr3:uid="{44AD62F1-7735-4E09-9CFA-D8BF45FF2728}" name="DF.BW.SD" dataDxfId="43"/>
    <tableColumn id="26" xr3:uid="{B8C0D59F-D846-40A5-92F7-4ADF14B174A8}" name="Flex Pk Torque/BW" dataDxfId="42"/>
    <tableColumn id="37" xr3:uid="{391712C7-61B7-4D89-96C5-BCB9232A0F69}" name="Inversion PkTorque/BW" dataDxfId="41"/>
    <tableColumn id="42" xr3:uid="{2A3FF240-86F4-4681-AC80-9BD458CAF0BC}" name="SD2" dataDxfId="40"/>
    <tableColumn id="43" xr3:uid="{3C112855-01F9-45E2-AC86-C097499BEE40}" name="Eversion PkTorque/BW" dataDxfId="39"/>
    <tableColumn id="44" xr3:uid="{8A1100D6-7350-4FF4-B6AC-592268A2F7B0}" name="SD3" dataDxfId="38"/>
    <tableColumn id="27" xr3:uid="{B2EFEE13-2CB7-4240-ABF8-E83D96CBE2F5}" name="Fl.BW.SD" dataDxfId="37"/>
    <tableColumn id="40" xr3:uid="{2D794B82-7EB5-45D8-9580-EC66828D9F0F}" name="Power DF (Watt)" dataDxfId="36"/>
    <tableColumn id="41" xr3:uid="{52EE356C-09B5-464B-8AA4-9F99AB2F128B}" name="P.DF.SD" dataDxfId="35"/>
    <tableColumn id="39" xr3:uid="{C950F4B0-115F-4A45-990A-22B9DA191EFE}" name="Power PF (Watt)" dataDxfId="34"/>
    <tableColumn id="38" xr3:uid="{C1D4BCDE-0444-442D-88F7-BDE46C5EE1E0}" name="P.PF.SD" dataDxfId="33"/>
    <tableColumn id="28" xr3:uid="{4B0BC6A8-403E-4C60-96FF-8491317DA920}" name="Power Eve (Watt)2" dataDxfId="32"/>
    <tableColumn id="29" xr3:uid="{546E8F89-A529-4E7B-9247-74504F38F79E}" name="P.E.SD" dataDxfId="31"/>
    <tableColumn id="30" xr3:uid="{B6E8C71E-A94B-4C85-BC69-696771828C9C}" name="P.INV.SD" dataDxfId="30"/>
    <tableColumn id="31" xr3:uid="{BC0A0A0F-4479-4FD7-A70A-51AFFC7F7C0F}" name="Dorsiflexion Work (Joule)" dataDxfId="29"/>
    <tableColumn id="32" xr3:uid="{39F28220-82A4-4238-B1F3-5E4573AAEE5E}" name="DF.W.SD" dataDxfId="28"/>
    <tableColumn id="33" xr3:uid="{725DCF19-B0AE-41F6-A3BE-778E921DD9A2}" name="Plantar Flexion (Joule)" dataDxfId="27"/>
    <tableColumn id="34" xr3:uid="{1EF7D8A5-FC78-485F-90AA-2CD8947AE553}" name="PF.W.SD" dataDxfId="26"/>
    <tableColumn id="35" xr3:uid="{355B4844-39A3-4158-AA7C-62E364714FAB}" name="Ratio" dataDxfId="25"/>
    <tableColumn id="36" xr3:uid="{23103B5C-F10B-4740-A471-EC907835D143}" name="Ratio.SD" dataDxfId="24"/>
  </tableColumns>
  <tableStyleInfo name="TableStyleMedium2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548" dT="2025-06-14T19:42:07.32" personId="{FB5D25D0-FDF8-4ED8-97DD-1220F0068CB7}" id="{82661447-535C-40AE-A07F-D3B6A087637E}">
    <text xml:space="preserve">Finish 240 degrees
</text>
  </threadedComment>
  <threadedComment ref="U575" dT="2025-06-14T23:15:09.05" personId="{FB5D25D0-FDF8-4ED8-97DD-1220F0068CB7}" id="{828CEADA-867C-4B30-A422-12AFFD26AF35}">
    <text xml:space="preserve">N*m*kg-1
</text>
  </threadedComment>
</ThreadedComments>
</file>

<file path=xl/threadedComments/threadedComment2.xml><?xml version="1.0" encoding="utf-8"?>
<ThreadedComments xmlns="http://schemas.microsoft.com/office/spreadsheetml/2018/threadedcomments" xmlns:x="http://schemas.openxmlformats.org/spreadsheetml/2006/main">
  <threadedComment ref="AQ333" dT="2025-09-15T21:42:26.87" personId="{FB5D25D0-FDF8-4ED8-97DD-1220F0068CB7}" id="{6BFFC9ED-7BA0-46B1-90A5-4AED19AD654A}">
    <text xml:space="preserve">Eversion/Inversion Ratio
</text>
  </threadedComment>
</ThreadedComments>
</file>

<file path=xl/threadedComments/threadedComment3.xml><?xml version="1.0" encoding="utf-8"?>
<ThreadedComments xmlns="http://schemas.microsoft.com/office/spreadsheetml/2018/threadedcomments" xmlns:x="http://schemas.openxmlformats.org/spreadsheetml/2006/main">
  <threadedComment ref="S331" dT="2025-06-14T23:15:09.05" personId="{FB5D25D0-FDF8-4ED8-97DD-1220F0068CB7}" id="{9E1FCFD9-DD1C-4243-B11F-70589BDA6B38}">
    <text xml:space="preserve">N*m*kg-1
</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6" Type="http://schemas.openxmlformats.org/officeDocument/2006/relationships/hyperlink" Target="https://journals.lww.com/nsca-jscr/fulltext/2018/08000/Normative_Quadriceps_and_Hamstring_Muscle_Strength.25.aspx" TargetMode="External"/><Relationship Id="rId21" Type="http://schemas.openxmlformats.org/officeDocument/2006/relationships/hyperlink" Target="https://www.sciencedirect.com/science/article/abs/pii/S1466853X21000559" TargetMode="External"/><Relationship Id="rId42" Type="http://schemas.openxmlformats.org/officeDocument/2006/relationships/hyperlink" Target="https://link.springer.com/article/10.1186/s13102-022-00432-2" TargetMode="External"/><Relationship Id="rId47" Type="http://schemas.openxmlformats.org/officeDocument/2006/relationships/hyperlink" Target="https://www.jospt.org/doi/abs/10.2519/jospt.1988.9.11.365" TargetMode="External"/><Relationship Id="rId63" Type="http://schemas.openxmlformats.org/officeDocument/2006/relationships/hyperlink" Target="https://journals.lww.com/nsca-jscr/abstract/2000/11000/Knee_Strength_of_Professional_Basketball_Players.14.aspx" TargetMode="External"/><Relationship Id="rId68" Type="http://schemas.openxmlformats.org/officeDocument/2006/relationships/hyperlink" Target="https://www.jospt.org/doi/abs/10.2519/jospt.1988.9.11.365" TargetMode="External"/><Relationship Id="rId84" Type="http://schemas.openxmlformats.org/officeDocument/2006/relationships/hyperlink" Target="https://www.researchgate.net/profile/Khaled-Ahmed-2/publication/325619756_Isokinetic_quadriceps_peak_torque_average_power_and_total_work_at_different_angular_knee_velocities/links/5b190bbfaca272021ceed33b/Isokinetic-quadriceps-peak-torque-average-power-and-total-work-at-different-angular-knee-velocities.pdf" TargetMode="External"/><Relationship Id="rId89" Type="http://schemas.openxmlformats.org/officeDocument/2006/relationships/hyperlink" Target="https://sciendo.com/pdf/10.37190/abb-02470-2024-02" TargetMode="External"/><Relationship Id="rId16" Type="http://schemas.openxmlformats.org/officeDocument/2006/relationships/hyperlink" Target="https://www.jsams.org/article/S1440-2440(09)00178-9/fulltext" TargetMode="External"/><Relationship Id="rId11" Type="http://schemas.openxmlformats.org/officeDocument/2006/relationships/hyperlink" Target="https://pubmed.ncbi.nlm.nih.gov/19180217/" TargetMode="External"/><Relationship Id="rId32" Type="http://schemas.openxmlformats.org/officeDocument/2006/relationships/hyperlink" Target="https://sciendo.com/pdf/10.37190/abb-02470-2024-02" TargetMode="External"/><Relationship Id="rId37" Type="http://schemas.openxmlformats.org/officeDocument/2006/relationships/hyperlink" Target="https://www.researchgate.net/publication/348755668_Examination_of_the_Relationship_between_Dominant_Non-dominant_Isokinetic_Knee_Strength_and_the_Body_Composition_in_Basketball_Players" TargetMode="External"/><Relationship Id="rId53" Type="http://schemas.openxmlformats.org/officeDocument/2006/relationships/hyperlink" Target="https://pubmed.ncbi.nlm.nih.gov/19800844/" TargetMode="External"/><Relationship Id="rId58" Type="http://schemas.openxmlformats.org/officeDocument/2006/relationships/hyperlink" Target="https://www.mdpi.com/2409-9279/6/2/26" TargetMode="External"/><Relationship Id="rId74" Type="http://schemas.openxmlformats.org/officeDocument/2006/relationships/hyperlink" Target="https://link.springer.com/article/10.1007/s11332-017-0360-y" TargetMode="External"/><Relationship Id="rId79" Type="http://schemas.openxmlformats.org/officeDocument/2006/relationships/hyperlink" Target="https://pubmed.ncbi.nlm.nih.gov/19800844/" TargetMode="External"/><Relationship Id="rId102" Type="http://schemas.openxmlformats.org/officeDocument/2006/relationships/comments" Target="../comments1.xml"/><Relationship Id="rId5" Type="http://schemas.openxmlformats.org/officeDocument/2006/relationships/hyperlink" Target="https://www.mdpi.com/1660-4601/19/2/671" TargetMode="External"/><Relationship Id="rId90" Type="http://schemas.openxmlformats.org/officeDocument/2006/relationships/hyperlink" Target="https://www.researchgate.net/publication/348755668_Examination_of_the_Relationship_between_Dominant_Non-dominant_Isokinetic_Knee_Strength_and_the_Body_Composition_in_Basketball_Players" TargetMode="External"/><Relationship Id="rId95" Type="http://schemas.openxmlformats.org/officeDocument/2006/relationships/printerSettings" Target="../printerSettings/printerSettings1.bin"/><Relationship Id="rId22" Type="http://schemas.openxmlformats.org/officeDocument/2006/relationships/hyperlink" Target="https://pmc.ncbi.nlm.nih.gov/articles/PMC4384850/" TargetMode="External"/><Relationship Id="rId27" Type="http://schemas.openxmlformats.org/officeDocument/2006/relationships/hyperlink" Target="https://journals.lww.com/nsca-jscr/fulltext/2018/08000/Normative_Quadriceps_and_Hamstring_Muscle_Strength.25.aspx" TargetMode="External"/><Relationship Id="rId43" Type="http://schemas.openxmlformats.org/officeDocument/2006/relationships/hyperlink" Target="https://www.journalofsportsmedicine.org/full-text/528/eng" TargetMode="External"/><Relationship Id="rId48" Type="http://schemas.openxmlformats.org/officeDocument/2006/relationships/hyperlink" Target="https://www.jospt.org/doi/abs/10.2519/jospt.1988.9.11.365" TargetMode="External"/><Relationship Id="rId64" Type="http://schemas.openxmlformats.org/officeDocument/2006/relationships/hyperlink" Target="https://pmc.ncbi.nlm.nih.gov/articles/PMC4120456/" TargetMode="External"/><Relationship Id="rId69" Type="http://schemas.openxmlformats.org/officeDocument/2006/relationships/hyperlink" Target="https://www.jospt.org/doi/abs/10.2519/jospt.1988.9.11.365" TargetMode="External"/><Relationship Id="rId80" Type="http://schemas.openxmlformats.org/officeDocument/2006/relationships/hyperlink" Target="https://pubmed.ncbi.nlm.nih.gov/19800844/" TargetMode="External"/><Relationship Id="rId85" Type="http://schemas.openxmlformats.org/officeDocument/2006/relationships/hyperlink" Target="https://www.researchgate.net/profile/Khaled-Ahmed-2/publication/325619756_Isokinetic_quadriceps_peak_torque_average_power_and_total_work_at_different_angular_knee_velocities/links/5b190bbfaca272021ceed33b/Isokinetic-quadriceps-peak-torque-average-power-and-total-work-at-different-angular-knee-velocities.pdf" TargetMode="External"/><Relationship Id="rId12" Type="http://schemas.openxmlformats.org/officeDocument/2006/relationships/hyperlink" Target="https://pmc.ncbi.nlm.nih.gov/articles/PMC6282246/" TargetMode="External"/><Relationship Id="rId17" Type="http://schemas.openxmlformats.org/officeDocument/2006/relationships/hyperlink" Target="https://www.jsams.org/article/S1440-2440(09)00178-9/fulltext" TargetMode="External"/><Relationship Id="rId25" Type="http://schemas.openxmlformats.org/officeDocument/2006/relationships/hyperlink" Target="https://pubmed.ncbi.nlm.nih.gov/23820564/" TargetMode="External"/><Relationship Id="rId33" Type="http://schemas.openxmlformats.org/officeDocument/2006/relationships/hyperlink" Target="https://sciendo.com/pdf/10.37190/abb-02470-2024-02" TargetMode="External"/><Relationship Id="rId38" Type="http://schemas.openxmlformats.org/officeDocument/2006/relationships/hyperlink" Target="https://journals.lww.com/nsca-jscr/fulltext/2009/07000/Isokinetic_Leg_Strength_Profile_of_Elite_Male.41.aspx" TargetMode="External"/><Relationship Id="rId46" Type="http://schemas.openxmlformats.org/officeDocument/2006/relationships/hyperlink" Target="https://www.journalofsportsmedicine.org/full-text/528/eng" TargetMode="External"/><Relationship Id="rId59" Type="http://schemas.openxmlformats.org/officeDocument/2006/relationships/hyperlink" Target="https://link.springer.com/article/10.1007/s11332-017-0360-y" TargetMode="External"/><Relationship Id="rId67" Type="http://schemas.openxmlformats.org/officeDocument/2006/relationships/hyperlink" Target="https://www.researchgate.net/publication/228928987_Isokinetic_performance_in_elite_volleyball_and_basketball_players" TargetMode="External"/><Relationship Id="rId103" Type="http://schemas.microsoft.com/office/2017/10/relationships/threadedComment" Target="../threadedComments/threadedComment1.xml"/><Relationship Id="rId20" Type="http://schemas.openxmlformats.org/officeDocument/2006/relationships/hyperlink" Target="https://www.sciencedirect.com/science/article/abs/pii/S1466853X21000559" TargetMode="External"/><Relationship Id="rId41" Type="http://schemas.openxmlformats.org/officeDocument/2006/relationships/hyperlink" Target="https://yadda.icm.edu.pl/baztech/element/bwmeta1.element.baztech-a27a8dc9-e941-411f-991c-9cc039ff04ac" TargetMode="External"/><Relationship Id="rId54" Type="http://schemas.openxmlformats.org/officeDocument/2006/relationships/hyperlink" Target="https://pubmed.ncbi.nlm.nih.gov/19800844/" TargetMode="External"/><Relationship Id="rId62" Type="http://schemas.openxmlformats.org/officeDocument/2006/relationships/hyperlink" Target="https://pmc.ncbi.nlm.nih.gov/articles/PMC3761700/" TargetMode="External"/><Relationship Id="rId70" Type="http://schemas.openxmlformats.org/officeDocument/2006/relationships/hyperlink" Target="https://www.researchgate.net/publication/348755668_Examination_of_the_Relationship_between_Dominant_Non-dominant_Isokinetic_Knee_Strength_and_the_Body_Composition_in_Basketball_Players" TargetMode="External"/><Relationship Id="rId75" Type="http://schemas.openxmlformats.org/officeDocument/2006/relationships/hyperlink" Target="https://link.springer.com/article/10.1007/s11332-017-0360-y" TargetMode="External"/><Relationship Id="rId83" Type="http://schemas.openxmlformats.org/officeDocument/2006/relationships/hyperlink" Target="https://www.researchgate.net/profile/Khaled-Ahmed-2/publication/325619756_Isokinetic_quadriceps_peak_torque_average_power_and_total_work_at_different_angular_knee_velocities/links/5b190bbfaca272021ceed33b/Isokinetic-quadriceps-peak-torque-average-power-and-total-work-at-different-angular-knee-velocities.pdf" TargetMode="External"/><Relationship Id="rId88" Type="http://schemas.openxmlformats.org/officeDocument/2006/relationships/hyperlink" Target="https://journals.lww.com/nsca-jscr/fulltext/2009/07000/Isokinetic_Leg_Strength_Profile_of_Elite_Male.41.aspx" TargetMode="External"/><Relationship Id="rId91" Type="http://schemas.openxmlformats.org/officeDocument/2006/relationships/hyperlink" Target="https://www.researchgate.net/profile/Khaled-Ahmed-2/publication/325619756_Isokinetic_quadriceps_peak_torque_average_power_and_total_work_at_different_angular_knee_velocities/links/5b190bbfaca272021ceed33b/Isokinetic-quadriceps-peak-torque-average-power-and-total-work-at-different-angular-knee-velocities.pdf" TargetMode="External"/><Relationship Id="rId96" Type="http://schemas.openxmlformats.org/officeDocument/2006/relationships/drawing" Target="../drawings/drawing2.xml"/><Relationship Id="rId1" Type="http://schemas.openxmlformats.org/officeDocument/2006/relationships/hyperlink" Target="https://pmc.ncbi.nlm.nih.gov/articles/PMC2629038/" TargetMode="External"/><Relationship Id="rId6" Type="http://schemas.openxmlformats.org/officeDocument/2006/relationships/hyperlink" Target="https://www.mdpi.com/1660-4601/18/13/6780" TargetMode="External"/><Relationship Id="rId15" Type="http://schemas.openxmlformats.org/officeDocument/2006/relationships/hyperlink" Target="https://pmc.ncbi.nlm.nih.gov/articles/PMC8775831/" TargetMode="External"/><Relationship Id="rId23" Type="http://schemas.openxmlformats.org/officeDocument/2006/relationships/hyperlink" Target="https://pmc.ncbi.nlm.nih.gov/articles/PMC4384850/" TargetMode="External"/><Relationship Id="rId28" Type="http://schemas.openxmlformats.org/officeDocument/2006/relationships/hyperlink" Target="https://www.researchgate.net/profile/Adrian-Wilk/publication/389047497_Motor_skills_of_U15_category_soccer_players_playing_in_different_positions_on_the_field/links/67b2ff7d4c479b26c9e30f5b/Motor-skills-of-U15-category-soccer-players-playing-in-different-positions-on-the-field.pdf" TargetMode="External"/><Relationship Id="rId36" Type="http://schemas.openxmlformats.org/officeDocument/2006/relationships/hyperlink" Target="https://www.researchgate.net/publication/348755668_Examination_of_the_Relationship_between_Dominant_Non-dominant_Isokinetic_Knee_Strength_and_the_Body_Composition_in_Basketball_Players" TargetMode="External"/><Relationship Id="rId49" Type="http://schemas.openxmlformats.org/officeDocument/2006/relationships/hyperlink" Target="https://www.mdpi.com/2075-4663/10/12/204" TargetMode="External"/><Relationship Id="rId57" Type="http://schemas.openxmlformats.org/officeDocument/2006/relationships/hyperlink" Target="https://www.mdpi.com/2409-9279/6/2/26" TargetMode="External"/><Relationship Id="rId10" Type="http://schemas.openxmlformats.org/officeDocument/2006/relationships/hyperlink" Target="https://pubmed.ncbi.nlm.nih.gov/19180217/" TargetMode="External"/><Relationship Id="rId31" Type="http://schemas.openxmlformats.org/officeDocument/2006/relationships/hyperlink" Target="https://sciendo.com/pdf/10.37190/abb-02470-2024-02" TargetMode="External"/><Relationship Id="rId44" Type="http://schemas.openxmlformats.org/officeDocument/2006/relationships/hyperlink" Target="https://www.journalofsportsmedicine.org/full-text/528/eng" TargetMode="External"/><Relationship Id="rId52" Type="http://schemas.openxmlformats.org/officeDocument/2006/relationships/hyperlink" Target="https://pubmed.ncbi.nlm.nih.gov/19800844/" TargetMode="External"/><Relationship Id="rId60" Type="http://schemas.openxmlformats.org/officeDocument/2006/relationships/hyperlink" Target="https://link.springer.com/article/10.1007/s11332-017-0360-y" TargetMode="External"/><Relationship Id="rId65" Type="http://schemas.openxmlformats.org/officeDocument/2006/relationships/hyperlink" Target="https://pmc.ncbi.nlm.nih.gov/articles/PMC4120456/" TargetMode="External"/><Relationship Id="rId73" Type="http://schemas.openxmlformats.org/officeDocument/2006/relationships/hyperlink" Target="https://www.researchgate.net/profile/Henry-Vandewalle/publication/315838246_Assessment_of_Isokinetic_Knee_Strength_in_Elite_Young_Female_Basketball_Players_Correlation_with_Vertical_Jump/links/596c209d458515e9afb1d013/Assessment-of-Isokinetic-Knee-Strength-in-Elite-Young-Female-Basketball-Players-Correlation-with-Vertical-Jump.pdf" TargetMode="External"/><Relationship Id="rId78" Type="http://schemas.openxmlformats.org/officeDocument/2006/relationships/hyperlink" Target="https://pubmed.ncbi.nlm.nih.gov/19800844/" TargetMode="External"/><Relationship Id="rId81" Type="http://schemas.openxmlformats.org/officeDocument/2006/relationships/hyperlink" Target="https://pubmed.ncbi.nlm.nih.gov/19800844/" TargetMode="External"/><Relationship Id="rId86" Type="http://schemas.openxmlformats.org/officeDocument/2006/relationships/hyperlink" Target="https://www.mdpi.com/2075-4663/10/12/204" TargetMode="External"/><Relationship Id="rId94" Type="http://schemas.openxmlformats.org/officeDocument/2006/relationships/hyperlink" Target="https://link.springer.com/article/10.1007/s11332-017-0360-y" TargetMode="External"/><Relationship Id="rId99" Type="http://schemas.openxmlformats.org/officeDocument/2006/relationships/image" Target="../media/image13.emf"/><Relationship Id="rId101" Type="http://schemas.microsoft.com/office/2007/relationships/slicer" Target="../slicers/slicer1.xml"/><Relationship Id="rId4" Type="http://schemas.openxmlformats.org/officeDocument/2006/relationships/hyperlink" Target="https://www.mdpi.com/1660-4601/19/2/671" TargetMode="External"/><Relationship Id="rId9" Type="http://schemas.openxmlformats.org/officeDocument/2006/relationships/hyperlink" Target="https://pubmed.ncbi.nlm.nih.gov/19800844/" TargetMode="External"/><Relationship Id="rId13" Type="http://schemas.openxmlformats.org/officeDocument/2006/relationships/hyperlink" Target="https://pmc.ncbi.nlm.nih.gov/articles/PMC6282246/" TargetMode="External"/><Relationship Id="rId18" Type="http://schemas.openxmlformats.org/officeDocument/2006/relationships/hyperlink" Target="https://pmc.ncbi.nlm.nih.gov/articles/PMC4120456/" TargetMode="External"/><Relationship Id="rId39" Type="http://schemas.openxmlformats.org/officeDocument/2006/relationships/hyperlink" Target="https://link.springer.com/article/10.1186/s13102-024-00966-7" TargetMode="External"/><Relationship Id="rId34" Type="http://schemas.openxmlformats.org/officeDocument/2006/relationships/hyperlink" Target="https://www.scielo.br/j/rbcdh/a/3JHr3JNjqQ3wcfvgt8D8R6x/?format=pdf&amp;lang=en" TargetMode="External"/><Relationship Id="rId50" Type="http://schemas.openxmlformats.org/officeDocument/2006/relationships/hyperlink" Target="https://www.mdpi.com/2075-4663/10/12/204" TargetMode="External"/><Relationship Id="rId55" Type="http://schemas.openxmlformats.org/officeDocument/2006/relationships/hyperlink" Target="https://www.researchgate.net/figure/Participants-anthropometric-characteristics_tbl1_268438168" TargetMode="External"/><Relationship Id="rId76" Type="http://schemas.openxmlformats.org/officeDocument/2006/relationships/hyperlink" Target="https://pmc.ncbi.nlm.nih.gov/articles/PMC3761700/" TargetMode="External"/><Relationship Id="rId97" Type="http://schemas.openxmlformats.org/officeDocument/2006/relationships/vmlDrawing" Target="../drawings/vmlDrawing2.vml"/><Relationship Id="rId7" Type="http://schemas.openxmlformats.org/officeDocument/2006/relationships/hyperlink" Target="https://www.mdpi.com/1660-4601/18/13/6780" TargetMode="External"/><Relationship Id="rId71" Type="http://schemas.openxmlformats.org/officeDocument/2006/relationships/hyperlink" Target="https://www.researchgate.net/publication/348755668_Examination_of_the_Relationship_between_Dominant_Non-dominant_Isokinetic_Knee_Strength_and_the_Body_Composition_in_Basketball_Players" TargetMode="External"/><Relationship Id="rId92" Type="http://schemas.openxmlformats.org/officeDocument/2006/relationships/hyperlink" Target="https://www.researchgate.net/profile/Henry-Vandewalle/publication/315838246_Assessment_of_Isokinetic_Knee_Strength_in_Elite_Young_Female_Basketball_Players_Correlation_with_Vertical_Jump/links/596c209d458515e9afb1d013/Assessment-of-Isokinetic-Knee-Strength-in-Elite-Young-Female-Basketball-Players-Correlation-with-Vertical-Jump.pdf" TargetMode="External"/><Relationship Id="rId2" Type="http://schemas.openxmlformats.org/officeDocument/2006/relationships/hyperlink" Target="https://link.springer.com/article/10.1186/s13102-018-0112-6" TargetMode="External"/><Relationship Id="rId29" Type="http://schemas.openxmlformats.org/officeDocument/2006/relationships/hyperlink" Target="https://sciendo.com/pdf/10.2478/bhk-2025-0004" TargetMode="External"/><Relationship Id="rId24" Type="http://schemas.openxmlformats.org/officeDocument/2006/relationships/hyperlink" Target="https://pubmed.ncbi.nlm.nih.gov/23820564/" TargetMode="External"/><Relationship Id="rId40" Type="http://schemas.openxmlformats.org/officeDocument/2006/relationships/hyperlink" Target="https://link.springer.com/article/10.1186/s13102-024-00966-7" TargetMode="External"/><Relationship Id="rId45" Type="http://schemas.openxmlformats.org/officeDocument/2006/relationships/hyperlink" Target="https://www.journalofsportsmedicine.org/full-text/528/eng" TargetMode="External"/><Relationship Id="rId66" Type="http://schemas.openxmlformats.org/officeDocument/2006/relationships/hyperlink" Target="https://www.researchgate.net/publication/228928987_Isokinetic_performance_in_elite_volleyball_and_basketball_players" TargetMode="External"/><Relationship Id="rId87" Type="http://schemas.openxmlformats.org/officeDocument/2006/relationships/hyperlink" Target="https://www.researchgate.net/publication/228928987_Isokinetic_performance_in_elite_volleyball_and_basketball_players" TargetMode="External"/><Relationship Id="rId61" Type="http://schemas.openxmlformats.org/officeDocument/2006/relationships/hyperlink" Target="https://pmc.ncbi.nlm.nih.gov/articles/PMC3761700/" TargetMode="External"/><Relationship Id="rId82" Type="http://schemas.openxmlformats.org/officeDocument/2006/relationships/hyperlink" Target="https://www.sciencedirect.com/science/article/abs/pii/S0167494310001342" TargetMode="External"/><Relationship Id="rId19" Type="http://schemas.openxmlformats.org/officeDocument/2006/relationships/hyperlink" Target="https://pmc.ncbi.nlm.nih.gov/articles/PMC4120456/" TargetMode="External"/><Relationship Id="rId14" Type="http://schemas.openxmlformats.org/officeDocument/2006/relationships/hyperlink" Target="https://pmc.ncbi.nlm.nih.gov/articles/PMC8775831/" TargetMode="External"/><Relationship Id="rId30" Type="http://schemas.openxmlformats.org/officeDocument/2006/relationships/hyperlink" Target="https://sciendo.com/pdf/10.2478/bhk-2025-0004" TargetMode="External"/><Relationship Id="rId35" Type="http://schemas.openxmlformats.org/officeDocument/2006/relationships/hyperlink" Target="https://www.scielo.br/j/rbcdh/a/3JHr3JNjqQ3wcfvgt8D8R6x/?format=pdf&amp;lang=en" TargetMode="External"/><Relationship Id="rId56" Type="http://schemas.openxmlformats.org/officeDocument/2006/relationships/hyperlink" Target="https://www.sciencedirect.com/science/article/abs/pii/S0167494310001342" TargetMode="External"/><Relationship Id="rId77" Type="http://schemas.openxmlformats.org/officeDocument/2006/relationships/hyperlink" Target="https://pmc.ncbi.nlm.nih.gov/articles/PMC3761700/" TargetMode="External"/><Relationship Id="rId100" Type="http://schemas.openxmlformats.org/officeDocument/2006/relationships/table" Target="../tables/table1.xml"/><Relationship Id="rId8" Type="http://schemas.openxmlformats.org/officeDocument/2006/relationships/hyperlink" Target="https://pubmed.ncbi.nlm.nih.gov/19800844/" TargetMode="External"/><Relationship Id="rId51" Type="http://schemas.openxmlformats.org/officeDocument/2006/relationships/hyperlink" Target="https://pubmed.ncbi.nlm.nih.gov/19800844/" TargetMode="External"/><Relationship Id="rId72" Type="http://schemas.openxmlformats.org/officeDocument/2006/relationships/hyperlink" Target="https://www.researchgate.net/profile/Henry-Vandewalle/publication/315838246_Assessment_of_Isokinetic_Knee_Strength_in_Elite_Young_Female_Basketball_Players_Correlation_with_Vertical_Jump/links/596c209d458515e9afb1d013/Assessment-of-Isokinetic-Knee-Strength-in-Elite-Young-Female-Basketball-Players-Correlation-with-Vertical-Jump.pdf" TargetMode="External"/><Relationship Id="rId93" Type="http://schemas.openxmlformats.org/officeDocument/2006/relationships/hyperlink" Target="https://journals.lww.com/nsca-jscr/abstract/2000/11000/Knee_Strength_of_Professional_Basketball_Players.14.aspx" TargetMode="External"/><Relationship Id="rId98" Type="http://schemas.openxmlformats.org/officeDocument/2006/relationships/control" Target="../activeX/activeX1.xml"/><Relationship Id="rId3" Type="http://schemas.openxmlformats.org/officeDocument/2006/relationships/hyperlink" Target="https://link.springer.com/article/10.1186/s13102-018-0112-6"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pmc.ncbi.nlm.nih.gov/articles/PMC7039469/pdf/ijes-13-6-123.pdf" TargetMode="External"/><Relationship Id="rId18" Type="http://schemas.openxmlformats.org/officeDocument/2006/relationships/hyperlink" Target="https://www.researchgate.net/profile/Kevin-Laudner/publication/224004747_Elbow_isokinetic_strength_characteristics_among_collegiate_baseball_players/links/5e99dccba6fdcca789206eda/Elbow-isokinetic-strength-characteristics-among-collegiate-baseball-players.pdf" TargetMode="External"/><Relationship Id="rId26" Type="http://schemas.openxmlformats.org/officeDocument/2006/relationships/hyperlink" Target="https://www.researchgate.net/profile/Marilia-Andrade-3/publication/264054389_Strength_field_tests_performance_are_correlated_with_isokinetic_strength_of_shoulder_rotator_muscles_in_female_handball_players/links/58bd81d145851591c5e992cf/Strength-field-tests-performance-are-correlated-with-isokinetic-strength-of-shoulder-rotator-muscles-in-female-handball-players.pdf" TargetMode="External"/><Relationship Id="rId39" Type="http://schemas.microsoft.com/office/2007/relationships/slicer" Target="../slicers/slicer2.xml"/><Relationship Id="rId21" Type="http://schemas.openxmlformats.org/officeDocument/2006/relationships/hyperlink" Target="https://www.researchgate.net/profile/Marilia-Andrade-3/publication/44624328_Profile_of_isokinetic_eccentric-to-concentric_strength_ratios_of_shoulder_rotator_muscles_in_elite_female_team_handball_players/links/56fc0f2108ae1b40b8064265/Profile-of-isokinetic-eccentric-to-concentric-strength-ratios-of-shoulder-rotator-muscles-in-elite-female-team-handball-players.pdf?__cf_chl_tk=NrMoRYX1Zo2vouZA2jXEHIACWLiOMB4fdH0Gk2WefBc-1752987484-1.0.1.1-YF9cg8FL0hBI6g_C5Kh5Jt9WcBccx_FGjQBdzE3aDmU" TargetMode="External"/><Relationship Id="rId34" Type="http://schemas.openxmlformats.org/officeDocument/2006/relationships/drawing" Target="../drawings/drawing3.xml"/><Relationship Id="rId7" Type="http://schemas.openxmlformats.org/officeDocument/2006/relationships/hyperlink" Target="https://pmc.ncbi.nlm.nih.gov/articles/PMC6006528/" TargetMode="External"/><Relationship Id="rId12" Type="http://schemas.openxmlformats.org/officeDocument/2006/relationships/hyperlink" Target="https://www.mdpi.com/2075-4663/7/2/49" TargetMode="External"/><Relationship Id="rId17" Type="http://schemas.openxmlformats.org/officeDocument/2006/relationships/hyperlink" Target="https://www.researchgate.net/profile/Kevin-Laudner/publication/224004747_Elbow_isokinetic_strength_characteristics_among_collegiate_baseball_players/links/5e99dccba6fdcca789206eda/Elbow-isokinetic-strength-characteristics-among-collegiate-baseball-players.pdf" TargetMode="External"/><Relationship Id="rId25" Type="http://schemas.openxmlformats.org/officeDocument/2006/relationships/hyperlink" Target="https://www.scielo.br/j/rbcdh/a/cdssRQ73dkRdmFKbyjYbMqs/?lang=en&amp;format=html" TargetMode="External"/><Relationship Id="rId33" Type="http://schemas.openxmlformats.org/officeDocument/2006/relationships/hyperlink" Target="https://link.springer.com/article/10.1186/s13102-022-00432-2" TargetMode="External"/><Relationship Id="rId38" Type="http://schemas.openxmlformats.org/officeDocument/2006/relationships/table" Target="../tables/table2.xml"/><Relationship Id="rId2" Type="http://schemas.openxmlformats.org/officeDocument/2006/relationships/hyperlink" Target="https://citeseerx.ist.psu.edu/document?repid=rep1&amp;type=pdf&amp;doi=8e9697c3e6e74b662fdcd0f2dbc29b396bce3155" TargetMode="External"/><Relationship Id="rId16" Type="http://schemas.openxmlformats.org/officeDocument/2006/relationships/hyperlink" Target="https://www.researchgate.net/profile/Kevin-Laudner/publication/224004747_Elbow_isokinetic_strength_characteristics_among_collegiate_baseball_players/links/5e99dccba6fdcca789206eda/Elbow-isokinetic-strength-characteristics-among-collegiate-baseball-players.pdf" TargetMode="External"/><Relationship Id="rId20" Type="http://schemas.openxmlformats.org/officeDocument/2006/relationships/hyperlink" Target="https://www.sciencedirect.com/science/article/pii/S1058274605001059" TargetMode="External"/><Relationship Id="rId29" Type="http://schemas.openxmlformats.org/officeDocument/2006/relationships/hyperlink" Target="https://journals.lww.com/nsca-jscr/abstract/2004/11000/Isokinetic_Profile_of_Shoulder_Internal_and.31.aspx" TargetMode="External"/><Relationship Id="rId1" Type="http://schemas.openxmlformats.org/officeDocument/2006/relationships/hyperlink" Target="https://citeseerx.ist.psu.edu/document?repid=rep1&amp;type=pdf&amp;doi=8e9697c3e6e74b662fdcd0f2dbc29b396bce3155" TargetMode="External"/><Relationship Id="rId6" Type="http://schemas.openxmlformats.org/officeDocument/2006/relationships/hyperlink" Target="https://www.jospt.org/doi/abs/10.2519/jospt.1997.25.5.323" TargetMode="External"/><Relationship Id="rId11" Type="http://schemas.openxmlformats.org/officeDocument/2006/relationships/hyperlink" Target="https://www.mdpi.com/2075-4663/7/2/49" TargetMode="External"/><Relationship Id="rId24" Type="http://schemas.openxmlformats.org/officeDocument/2006/relationships/hyperlink" Target="https://www.scielo.br/j/rbcdh/a/cdssRQ73dkRdmFKbyjYbMqs/?lang=en&amp;format=html" TargetMode="External"/><Relationship Id="rId32" Type="http://schemas.openxmlformats.org/officeDocument/2006/relationships/hyperlink" Target="https://link.springer.com/article/10.1186/s13102-022-00432-2" TargetMode="External"/><Relationship Id="rId37" Type="http://schemas.openxmlformats.org/officeDocument/2006/relationships/image" Target="../media/image18.emf"/><Relationship Id="rId5" Type="http://schemas.openxmlformats.org/officeDocument/2006/relationships/hyperlink" Target="https://www.jospt.org/doi/abs/10.2519/jospt.1997.25.5.323" TargetMode="External"/><Relationship Id="rId15" Type="http://schemas.openxmlformats.org/officeDocument/2006/relationships/hyperlink" Target="https://www.researchgate.net/profile/Kevin-Laudner/publication/224004747_Elbow_isokinetic_strength_characteristics_among_collegiate_baseball_players/links/5e99dccba6fdcca789206eda/Elbow-isokinetic-strength-characteristics-among-collegiate-baseball-players.pdf" TargetMode="External"/><Relationship Id="rId23" Type="http://schemas.openxmlformats.org/officeDocument/2006/relationships/hyperlink" Target="https://www.scielo.br/j/rbcdh/a/cdssRQ73dkRdmFKbyjYbMqs/?lang=en&amp;format=html" TargetMode="External"/><Relationship Id="rId28" Type="http://schemas.openxmlformats.org/officeDocument/2006/relationships/hyperlink" Target="https://journals.lww.com/nsca-jscr/abstract/2004/11000/Isokinetic_Profile_of_Shoulder_Internal_and.31.aspx" TargetMode="External"/><Relationship Id="rId36" Type="http://schemas.openxmlformats.org/officeDocument/2006/relationships/control" Target="../activeX/activeX2.xml"/><Relationship Id="rId10" Type="http://schemas.openxmlformats.org/officeDocument/2006/relationships/hyperlink" Target="https://www.sciencedirect.com/science/article/pii/S1466853X00900257" TargetMode="External"/><Relationship Id="rId19" Type="http://schemas.openxmlformats.org/officeDocument/2006/relationships/hyperlink" Target="https://www.sciencedirect.com/science/article/pii/S1058274605001059" TargetMode="External"/><Relationship Id="rId31" Type="http://schemas.openxmlformats.org/officeDocument/2006/relationships/hyperlink" Target="https://pmc.ncbi.nlm.nih.gov/articles/PMC2953290/" TargetMode="External"/><Relationship Id="rId4" Type="http://schemas.openxmlformats.org/officeDocument/2006/relationships/hyperlink" Target="https://www.jospt.org/doi/abs/10.2519/jospt.1997.25.5.323" TargetMode="External"/><Relationship Id="rId9" Type="http://schemas.openxmlformats.org/officeDocument/2006/relationships/hyperlink" Target="https://www.sciencedirect.com/science/article/pii/S1466853X00900257" TargetMode="External"/><Relationship Id="rId14" Type="http://schemas.openxmlformats.org/officeDocument/2006/relationships/hyperlink" Target="https://pmc.ncbi.nlm.nih.gov/articles/PMC7039469/pdf/ijes-13-6-123.pdf" TargetMode="External"/><Relationship Id="rId22" Type="http://schemas.openxmlformats.org/officeDocument/2006/relationships/hyperlink" Target="https://www.researchgate.net/profile/Marilia-Andrade-3/publication/44624328_Profile_of_isokinetic_eccentric-to-concentric_strength_ratios_of_shoulder_rotator_muscles_in_elite_female_team_handball_players/links/56fc0f2108ae1b40b8064265/Profile-of-isokinetic-eccentric-to-concentric-strength-ratios-of-shoulder-rotator-muscles-in-elite-female-team-handball-players.pdf?__cf_chl_tk=NrMoRYX1Zo2vouZA2jXEHIACWLiOMB4fdH0Gk2WefBc-1752987484-1.0.1.1-YF9cg8FL0hBI6g_C5Kh5Jt9WcBccx_FGjQBdzE3aDmU" TargetMode="External"/><Relationship Id="rId27" Type="http://schemas.openxmlformats.org/officeDocument/2006/relationships/hyperlink" Target="https://www.researchgate.net/profile/Marilia-Andrade-3/publication/264054389_Strength_field_tests_performance_are_correlated_with_isokinetic_strength_of_shoulder_rotator_muscles_in_female_handball_players/links/58bd81d145851591c5e992cf/Strength-field-tests-performance-are-correlated-with-isokinetic-strength-of-shoulder-rotator-muscles-in-female-handball-players.pdf" TargetMode="External"/><Relationship Id="rId30" Type="http://schemas.openxmlformats.org/officeDocument/2006/relationships/hyperlink" Target="https://pmc.ncbi.nlm.nih.gov/articles/PMC2953290/" TargetMode="External"/><Relationship Id="rId35" Type="http://schemas.openxmlformats.org/officeDocument/2006/relationships/vmlDrawing" Target="../drawings/vmlDrawing3.vml"/><Relationship Id="rId8" Type="http://schemas.openxmlformats.org/officeDocument/2006/relationships/hyperlink" Target="https://pmc.ncbi.nlm.nih.gov/articles/PMC6006528/" TargetMode="External"/><Relationship Id="rId3" Type="http://schemas.openxmlformats.org/officeDocument/2006/relationships/hyperlink" Target="https://www.jospt.org/doi/abs/10.2519/jospt.1997.25.5.323" TargetMode="Externa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3" Type="http://schemas.openxmlformats.org/officeDocument/2006/relationships/hyperlink" Target="https://journals.lww.com/nsca-jscr/fulltext/2009/07000/Isokinetic_Leg_Strength_Profile_of_Elite_Male.41.aspx" TargetMode="External"/><Relationship Id="rId18" Type="http://schemas.openxmlformats.org/officeDocument/2006/relationships/hyperlink" Target="https://www.scielo.br/j/rbcdh/a/3JHr3JNjqQ3wcfvgt8D8R6x/?lang=en" TargetMode="External"/><Relationship Id="rId26" Type="http://schemas.openxmlformats.org/officeDocument/2006/relationships/hyperlink" Target="https://www.sciencedirect.com/science/article/abs/pii/S0003999306001729" TargetMode="External"/><Relationship Id="rId39" Type="http://schemas.openxmlformats.org/officeDocument/2006/relationships/vmlDrawing" Target="../drawings/vmlDrawing4.vml"/><Relationship Id="rId21" Type="http://schemas.openxmlformats.org/officeDocument/2006/relationships/hyperlink" Target="https://www.scielo.br/j/rbcdh/a/3JHr3JNjqQ3wcfvgt8D8R6x/?lang=en" TargetMode="External"/><Relationship Id="rId34" Type="http://schemas.openxmlformats.org/officeDocument/2006/relationships/hyperlink" Target="https://www.ksep-es.org/journal/view.php?doi=10.15857%2Fksep.2024.00206&amp;utm_source=chatgpt.com" TargetMode="External"/><Relationship Id="rId42" Type="http://schemas.openxmlformats.org/officeDocument/2006/relationships/table" Target="../tables/table3.xml"/><Relationship Id="rId7" Type="http://schemas.openxmlformats.org/officeDocument/2006/relationships/hyperlink" Target="https://www.researchgate.net/profile/Elias-Tsepis/publication/49702954_Multivariate_isokinetic_strength_asymmetries_of_the_knee_and_ankle_in_professional_soccer_players/links/548db9450cf214269f2434c9/Multivariate-isokinetic-strength-asymmetries-of-the-knee-and-ankle-in-professional-soccer-players.pdf" TargetMode="External"/><Relationship Id="rId2" Type="http://schemas.openxmlformats.org/officeDocument/2006/relationships/hyperlink" Target="https://www.mdpi.com/1648-9144/54/3/43" TargetMode="External"/><Relationship Id="rId16" Type="http://schemas.openxmlformats.org/officeDocument/2006/relationships/hyperlink" Target="https://www.scielo.br/j/rbcdh/a/3JHr3JNjqQ3wcfvgt8D8R6x/?lang=en" TargetMode="External"/><Relationship Id="rId29" Type="http://schemas.openxmlformats.org/officeDocument/2006/relationships/hyperlink" Target="https://www.academia.edu/download/46941265/Reliability_of_Knee_and_Ankle_Strength_T20160701-27206-idy88c.pdf" TargetMode="External"/><Relationship Id="rId1" Type="http://schemas.openxmlformats.org/officeDocument/2006/relationships/hyperlink" Target="https://www.mdpi.com/1648-9144/54/3/43" TargetMode="External"/><Relationship Id="rId6" Type="http://schemas.openxmlformats.org/officeDocument/2006/relationships/hyperlink" Target="https://www.researchgate.net/profile/Elias-Tsepis/publication/49702954_Multivariate_isokinetic_strength_asymmetries_of_the_knee_and_ankle_in_professional_soccer_players/links/548db9450cf214269f2434c9/Multivariate-isokinetic-strength-asymmetries-of-the-knee-and-ankle-in-professional-soccer-players.pdf" TargetMode="External"/><Relationship Id="rId11" Type="http://schemas.openxmlformats.org/officeDocument/2006/relationships/hyperlink" Target="https://ksep-es.org/journal/view.php?number=1091" TargetMode="External"/><Relationship Id="rId24" Type="http://schemas.openxmlformats.org/officeDocument/2006/relationships/hyperlink" Target="https://www.academia.edu/download/40089639/Agonist_and_antagonist_strength_of_ankle20151117-14008-1pfi5c8.pdf" TargetMode="External"/><Relationship Id="rId32" Type="http://schemas.openxmlformats.org/officeDocument/2006/relationships/hyperlink" Target="https://www.mdpi.com/2409-9279/6/2/26" TargetMode="External"/><Relationship Id="rId37" Type="http://schemas.openxmlformats.org/officeDocument/2006/relationships/printerSettings" Target="../printerSettings/printerSettings2.bin"/><Relationship Id="rId40" Type="http://schemas.openxmlformats.org/officeDocument/2006/relationships/control" Target="../activeX/activeX3.xml"/><Relationship Id="rId45" Type="http://schemas.microsoft.com/office/2017/10/relationships/threadedComment" Target="../threadedComments/threadedComment2.xml"/><Relationship Id="rId5" Type="http://schemas.openxmlformats.org/officeDocument/2006/relationships/hyperlink" Target="https://www.mdpi.com/1648-9144/54/3/43" TargetMode="External"/><Relationship Id="rId15" Type="http://schemas.openxmlformats.org/officeDocument/2006/relationships/hyperlink" Target="https://pmc.ncbi.nlm.nih.gov/articles/PMC1320241/" TargetMode="External"/><Relationship Id="rId23" Type="http://schemas.openxmlformats.org/officeDocument/2006/relationships/hyperlink" Target="https://www.academia.edu/download/40089639/Agonist_and_antagonist_strength_of_ankle20151117-14008-1pfi5c8.pdf" TargetMode="External"/><Relationship Id="rId28" Type="http://schemas.openxmlformats.org/officeDocument/2006/relationships/hyperlink" Target="https://www.sciencedirect.com/science/article/abs/pii/S0003999306001729" TargetMode="External"/><Relationship Id="rId36" Type="http://schemas.openxmlformats.org/officeDocument/2006/relationships/hyperlink" Target="https://www.ksep-es.org/journal/view.php?doi=10.15857%2Fksep.2024.00206&amp;utm_source=chatgpt.com" TargetMode="External"/><Relationship Id="rId10" Type="http://schemas.openxmlformats.org/officeDocument/2006/relationships/hyperlink" Target="https://ksep-es.org/journal/view.php?number=1091" TargetMode="External"/><Relationship Id="rId19" Type="http://schemas.openxmlformats.org/officeDocument/2006/relationships/hyperlink" Target="https://www.scielo.br/j/rbcdh/a/3JHr3JNjqQ3wcfvgt8D8R6x/?lang=en" TargetMode="External"/><Relationship Id="rId31" Type="http://schemas.openxmlformats.org/officeDocument/2006/relationships/hyperlink" Target="https://www.scielo.br/j/rbcdh/a/3JHr3JNjqQ3wcfvgt8D8R6x/?format=pdf&amp;lang=en" TargetMode="External"/><Relationship Id="rId44" Type="http://schemas.openxmlformats.org/officeDocument/2006/relationships/comments" Target="../comments2.xml"/><Relationship Id="rId4" Type="http://schemas.openxmlformats.org/officeDocument/2006/relationships/hyperlink" Target="https://www.mdpi.com/1648-9144/54/3/43" TargetMode="External"/><Relationship Id="rId9" Type="http://schemas.openxmlformats.org/officeDocument/2006/relationships/hyperlink" Target="https://www.researchgate.net/profile/Elias-Tsepis/publication/49702954_Multivariate_isokinetic_strength_asymmetries_of_the_knee_and_ankle_in_professional_soccer_players/links/548db9450cf214269f2434c9/Multivariate-isokinetic-strength-asymmetries-of-the-knee-and-ankle-in-professional-soccer-players.pdf" TargetMode="External"/><Relationship Id="rId14" Type="http://schemas.openxmlformats.org/officeDocument/2006/relationships/hyperlink" Target="https://pmc.ncbi.nlm.nih.gov/articles/PMC1320241/" TargetMode="External"/><Relationship Id="rId22" Type="http://schemas.openxmlformats.org/officeDocument/2006/relationships/hyperlink" Target="https://www.academia.edu/download/40089639/Agonist_and_antagonist_strength_of_ankle20151117-14008-1pfi5c8.pdf" TargetMode="External"/><Relationship Id="rId27" Type="http://schemas.openxmlformats.org/officeDocument/2006/relationships/hyperlink" Target="https://www.sciencedirect.com/science/article/abs/pii/S0003999306001729" TargetMode="External"/><Relationship Id="rId30" Type="http://schemas.openxmlformats.org/officeDocument/2006/relationships/hyperlink" Target="https://www.academia.edu/download/46941265/Reliability_of_Knee_and_Ankle_Strength_T20160701-27206-idy88c.pdf" TargetMode="External"/><Relationship Id="rId35" Type="http://schemas.openxmlformats.org/officeDocument/2006/relationships/hyperlink" Target="https://www.ksep-es.org/journal/view.php?doi=10.15857%2Fksep.2024.00206&amp;utm_source=chatgpt.com" TargetMode="External"/><Relationship Id="rId43" Type="http://schemas.microsoft.com/office/2007/relationships/slicer" Target="../slicers/slicer3.xml"/><Relationship Id="rId8" Type="http://schemas.openxmlformats.org/officeDocument/2006/relationships/hyperlink" Target="https://www.researchgate.net/profile/Elias-Tsepis/publication/49702954_Multivariate_isokinetic_strength_asymmetries_of_the_knee_and_ankle_in_professional_soccer_players/links/548db9450cf214269f2434c9/Multivariate-isokinetic-strength-asymmetries-of-the-knee-and-ankle-in-professional-soccer-players.pdf" TargetMode="External"/><Relationship Id="rId3" Type="http://schemas.openxmlformats.org/officeDocument/2006/relationships/hyperlink" Target="https://www.mdpi.com/1648-9144/54/3/43" TargetMode="External"/><Relationship Id="rId12" Type="http://schemas.openxmlformats.org/officeDocument/2006/relationships/hyperlink" Target="https://journals.lww.com/nsca-jscr/fulltext/2009/07000/Isokinetic_Leg_Strength_Profile_of_Elite_Male.41.aspx" TargetMode="External"/><Relationship Id="rId17" Type="http://schemas.openxmlformats.org/officeDocument/2006/relationships/hyperlink" Target="https://www.scielo.br/j/rbcdh/a/3JHr3JNjqQ3wcfvgt8D8R6x/?lang=en" TargetMode="External"/><Relationship Id="rId25" Type="http://schemas.openxmlformats.org/officeDocument/2006/relationships/hyperlink" Target="https://www.academia.edu/download/40089639/Agonist_and_antagonist_strength_of_ankle20151117-14008-1pfi5c8.pdf" TargetMode="External"/><Relationship Id="rId33" Type="http://schemas.openxmlformats.org/officeDocument/2006/relationships/hyperlink" Target="https://www.mdpi.com/2409-9279/6/2/26" TargetMode="External"/><Relationship Id="rId38" Type="http://schemas.openxmlformats.org/officeDocument/2006/relationships/drawing" Target="../drawings/drawing4.xml"/><Relationship Id="rId20" Type="http://schemas.openxmlformats.org/officeDocument/2006/relationships/hyperlink" Target="https://www.scielo.br/j/rbcdh/a/3JHr3JNjqQ3wcfvgt8D8R6x/?lang=en" TargetMode="External"/><Relationship Id="rId41" Type="http://schemas.openxmlformats.org/officeDocument/2006/relationships/image" Target="../media/image19.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hyperlink" Target="https://www.mdpi.com/1660-4601/18/13/6780" TargetMode="External"/><Relationship Id="rId1" Type="http://schemas.openxmlformats.org/officeDocument/2006/relationships/hyperlink" Target="https://pmc.ncbi.nlm.nih.gov/articles/PMC4384850/"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66381-A4BF-431D-A2EE-5AA48B72254D}">
  <sheetPr codeName="Sheet2"/>
  <dimension ref="A1:AJ67"/>
  <sheetViews>
    <sheetView topLeftCell="A10" zoomScale="90" zoomScaleNormal="90" workbookViewId="0">
      <selection activeCell="AC2" sqref="AC2"/>
    </sheetView>
  </sheetViews>
  <sheetFormatPr defaultRowHeight="15" x14ac:dyDescent="0.25"/>
  <cols>
    <col min="7" max="7" width="9.140625" customWidth="1"/>
    <col min="19" max="19" width="6.85546875" customWidth="1"/>
    <col min="26" max="26" width="6.85546875" customWidth="1"/>
    <col min="28" max="28" width="12.7109375" customWidth="1"/>
    <col min="29" max="29" width="13.140625" customWidth="1"/>
    <col min="32" max="32" width="20.140625" customWidth="1"/>
    <col min="33" max="33" width="6.7109375" customWidth="1"/>
    <col min="34" max="34" width="11.140625" customWidth="1"/>
    <col min="36" max="36" width="2.5703125" customWidth="1"/>
  </cols>
  <sheetData>
    <row r="1" spans="1:36" x14ac:dyDescent="0.25">
      <c r="A1" s="27"/>
      <c r="B1" s="27"/>
      <c r="C1" s="27"/>
      <c r="D1" s="27"/>
      <c r="E1" s="27"/>
      <c r="F1" s="27"/>
      <c r="G1" s="27"/>
      <c r="H1" s="27"/>
      <c r="I1" s="27"/>
      <c r="J1" s="27"/>
      <c r="K1" s="27"/>
      <c r="L1" s="27"/>
      <c r="M1" s="27"/>
      <c r="N1" s="27"/>
      <c r="O1" s="27"/>
      <c r="P1" s="27"/>
      <c r="Q1" s="27"/>
      <c r="R1" s="27"/>
      <c r="S1" s="27"/>
      <c r="T1" s="27"/>
      <c r="U1" s="27"/>
      <c r="V1" s="27"/>
      <c r="W1" s="27"/>
      <c r="X1" s="27"/>
      <c r="Y1" s="27"/>
      <c r="Z1" s="70"/>
      <c r="AA1" s="149"/>
      <c r="AB1" s="150"/>
      <c r="AC1" s="150"/>
      <c r="AD1" s="150"/>
      <c r="AE1" s="150"/>
      <c r="AF1" s="150"/>
      <c r="AG1" s="150"/>
      <c r="AH1" s="150"/>
      <c r="AI1" s="151"/>
      <c r="AJ1" s="70"/>
    </row>
    <row r="2" spans="1:36" x14ac:dyDescent="0.25">
      <c r="A2" s="27"/>
      <c r="B2" s="27"/>
      <c r="C2" s="27"/>
      <c r="D2" s="27"/>
      <c r="E2" s="27"/>
      <c r="F2" s="27"/>
      <c r="G2" s="27"/>
      <c r="H2" s="27"/>
      <c r="I2" s="27"/>
      <c r="J2" s="27"/>
      <c r="K2" s="27"/>
      <c r="L2" s="27"/>
      <c r="M2" s="27"/>
      <c r="N2" s="27"/>
      <c r="O2" s="27"/>
      <c r="P2" s="27"/>
      <c r="Q2" s="27"/>
      <c r="R2" s="27"/>
      <c r="S2" s="27"/>
      <c r="T2" s="27"/>
      <c r="U2" s="27"/>
      <c r="V2" s="27"/>
      <c r="W2" s="27"/>
      <c r="X2" s="27"/>
      <c r="Y2" s="27"/>
      <c r="Z2" s="70"/>
      <c r="AA2" s="152"/>
      <c r="AB2" s="71"/>
      <c r="AC2" s="71"/>
      <c r="AD2" s="71"/>
      <c r="AE2" s="71"/>
      <c r="AF2" s="71"/>
      <c r="AG2" s="71"/>
      <c r="AH2" s="71"/>
      <c r="AI2" s="153"/>
      <c r="AJ2" s="70"/>
    </row>
    <row r="3" spans="1:36" x14ac:dyDescent="0.25">
      <c r="A3" s="27"/>
      <c r="B3" s="27"/>
      <c r="C3" s="27"/>
      <c r="D3" s="27"/>
      <c r="E3" s="27"/>
      <c r="F3" s="27"/>
      <c r="G3" s="27"/>
      <c r="H3" s="27"/>
      <c r="I3" s="27"/>
      <c r="J3" s="27"/>
      <c r="K3" s="27"/>
      <c r="L3" s="27"/>
      <c r="M3" s="27"/>
      <c r="N3" s="27"/>
      <c r="O3" s="27"/>
      <c r="P3" s="27"/>
      <c r="Q3" s="27"/>
      <c r="R3" s="27"/>
      <c r="S3" s="27"/>
      <c r="T3" s="27"/>
      <c r="U3" s="27"/>
      <c r="V3" s="27"/>
      <c r="W3" s="27"/>
      <c r="X3" s="27"/>
      <c r="Y3" s="27"/>
      <c r="Z3" s="70"/>
      <c r="AA3" s="152"/>
      <c r="AB3" s="71"/>
      <c r="AC3" s="71"/>
      <c r="AD3" s="71"/>
      <c r="AE3" s="71"/>
      <c r="AF3" s="71"/>
      <c r="AG3" s="71"/>
      <c r="AH3" s="71"/>
      <c r="AI3" s="153"/>
      <c r="AJ3" s="70"/>
    </row>
    <row r="4" spans="1:36" x14ac:dyDescent="0.25">
      <c r="A4" s="27"/>
      <c r="B4" s="27"/>
      <c r="C4" s="27"/>
      <c r="D4" s="27"/>
      <c r="E4" s="27"/>
      <c r="F4" s="27"/>
      <c r="G4" s="27"/>
      <c r="H4" s="27"/>
      <c r="I4" s="27"/>
      <c r="J4" s="27"/>
      <c r="K4" s="27"/>
      <c r="L4" s="27"/>
      <c r="M4" s="27"/>
      <c r="N4" s="27"/>
      <c r="O4" s="27"/>
      <c r="P4" s="27"/>
      <c r="Q4" s="27"/>
      <c r="R4" s="27"/>
      <c r="S4" s="27"/>
      <c r="T4" s="27"/>
      <c r="U4" s="27"/>
      <c r="V4" s="27"/>
      <c r="W4" s="27"/>
      <c r="X4" s="27"/>
      <c r="Y4" s="27"/>
      <c r="Z4" s="70"/>
      <c r="AA4" s="152" t="s">
        <v>149</v>
      </c>
      <c r="AB4" s="71"/>
      <c r="AC4" s="71"/>
      <c r="AD4" s="71"/>
      <c r="AE4" s="71"/>
      <c r="AF4" s="71"/>
      <c r="AG4" s="71"/>
      <c r="AH4" s="71"/>
      <c r="AI4" s="153"/>
      <c r="AJ4" s="70"/>
    </row>
    <row r="5" spans="1:36" ht="14.25" customHeight="1" thickBot="1" x14ac:dyDescent="0.35">
      <c r="A5" s="27"/>
      <c r="B5" s="27"/>
      <c r="C5" s="27"/>
      <c r="D5" s="27"/>
      <c r="E5" s="27"/>
      <c r="F5" s="27"/>
      <c r="G5" s="27"/>
      <c r="H5" s="27"/>
      <c r="I5" s="27"/>
      <c r="J5" s="27"/>
      <c r="K5" s="27"/>
      <c r="L5" s="27"/>
      <c r="M5" s="27"/>
      <c r="N5" s="27"/>
      <c r="O5" s="27"/>
      <c r="P5" s="27"/>
      <c r="Q5" s="27"/>
      <c r="R5" s="27"/>
      <c r="S5" s="27"/>
      <c r="T5" s="27"/>
      <c r="U5" s="27"/>
      <c r="V5" s="27"/>
      <c r="W5" s="27"/>
      <c r="X5" s="27"/>
      <c r="Y5" s="27"/>
      <c r="Z5" s="70"/>
      <c r="AA5" s="154"/>
      <c r="AB5" s="155"/>
      <c r="AC5" s="156" t="s">
        <v>179</v>
      </c>
      <c r="AD5" s="157"/>
      <c r="AE5" s="157"/>
      <c r="AF5" s="157"/>
      <c r="AG5" s="71"/>
      <c r="AH5" s="72" t="s">
        <v>177</v>
      </c>
      <c r="AI5" s="153"/>
      <c r="AJ5" s="70"/>
    </row>
    <row r="6" spans="1:36" x14ac:dyDescent="0.25">
      <c r="A6" s="27"/>
      <c r="B6" s="27"/>
      <c r="C6" s="27"/>
      <c r="D6" s="27"/>
      <c r="E6" s="27"/>
      <c r="F6" s="27"/>
      <c r="G6" s="27"/>
      <c r="H6" s="27"/>
      <c r="I6" s="27"/>
      <c r="J6" s="27"/>
      <c r="K6" s="27"/>
      <c r="L6" s="27"/>
      <c r="M6" s="27"/>
      <c r="N6" s="27"/>
      <c r="O6" s="27"/>
      <c r="P6" s="27"/>
      <c r="Q6" s="27"/>
      <c r="R6" s="27"/>
      <c r="S6" s="27"/>
      <c r="T6" s="27"/>
      <c r="U6" s="27"/>
      <c r="V6" s="27"/>
      <c r="W6" s="27"/>
      <c r="X6" s="27"/>
      <c r="Y6" s="27"/>
      <c r="Z6" s="70"/>
      <c r="AA6" s="95" t="s">
        <v>3</v>
      </c>
      <c r="AB6" s="96" t="s">
        <v>4</v>
      </c>
      <c r="AC6" s="96" t="s">
        <v>6</v>
      </c>
      <c r="AD6" s="96" t="s">
        <v>5</v>
      </c>
      <c r="AE6" s="96" t="s">
        <v>11</v>
      </c>
      <c r="AF6" s="97" t="s">
        <v>180</v>
      </c>
      <c r="AG6" s="71"/>
      <c r="AH6" s="73">
        <v>0</v>
      </c>
      <c r="AI6" s="153"/>
      <c r="AJ6" s="70"/>
    </row>
    <row r="7" spans="1:36" x14ac:dyDescent="0.25">
      <c r="A7" s="27"/>
      <c r="B7" s="27"/>
      <c r="C7" s="27"/>
      <c r="D7" s="27"/>
      <c r="E7" s="27"/>
      <c r="F7" s="27"/>
      <c r="G7" s="27"/>
      <c r="H7" s="27"/>
      <c r="I7" s="27"/>
      <c r="J7" s="27"/>
      <c r="K7" s="27"/>
      <c r="L7" s="27"/>
      <c r="M7" s="27"/>
      <c r="N7" s="27"/>
      <c r="O7" s="27"/>
      <c r="P7" s="27"/>
      <c r="Q7" s="27"/>
      <c r="R7" s="27"/>
      <c r="S7" s="27"/>
      <c r="T7" s="27"/>
      <c r="U7" s="27"/>
      <c r="V7" s="27"/>
      <c r="W7" s="27"/>
      <c r="X7" s="27"/>
      <c r="Y7" s="27"/>
      <c r="Z7" s="70"/>
      <c r="AA7" s="78" t="str" cm="1">
        <f t="array" ref="AA7">INDEX('Knee '!$O$5:$T$361, $AH$6 + ROWS($AB$7:AB7), COLUMNS($AB$7:AB7))</f>
        <v>Bamaç</v>
      </c>
      <c r="AB7" s="78" t="str" cm="1">
        <f t="array" ref="AB7">INDEX('Knee '!$O$5:$T$361, $AH$6 + ROWS($AB$7:AC7), COLUMNS($AB$7:AC7))</f>
        <v>Volleyball</v>
      </c>
      <c r="AC7" s="78" t="str" cm="1">
        <f t="array" ref="AC7">INDEX('Knee '!$O$5:$T$361, $AH$6 + ROWS($AB$7:AD7), COLUMNS($AB$7:AD7))</f>
        <v>Elite</v>
      </c>
      <c r="AD7" s="78" t="str" cm="1">
        <f t="array" ref="AD7">INDEX('Knee '!$O$5:$T$361, $AH$6 + ROWS($AB$7:AE7), COLUMNS($AB$7:AE7))</f>
        <v>N/A</v>
      </c>
      <c r="AE7" s="78" t="str" cm="1">
        <f t="array" ref="AE7">INDEX('Knee '!$O$5:$T$361, $AH$6 + ROWS($AB$7:AF7), COLUMNS($AB$7:AF7))</f>
        <v>Male</v>
      </c>
      <c r="AF7" s="78" t="str" cm="1">
        <f t="array" ref="AF7">INDEX('Knee '!$O$5:$T$361, $AH$6 + ROWS($AB$7:AG7), COLUMNS($AB$7:AG7))</f>
        <v>Biodex</v>
      </c>
      <c r="AG7" s="71"/>
      <c r="AH7" s="71"/>
      <c r="AI7" s="153"/>
      <c r="AJ7" s="70"/>
    </row>
    <row r="8" spans="1:36" x14ac:dyDescent="0.25">
      <c r="A8" s="27"/>
      <c r="B8" s="27"/>
      <c r="C8" s="27"/>
      <c r="D8" s="27"/>
      <c r="E8" s="27"/>
      <c r="F8" s="27"/>
      <c r="G8" s="27"/>
      <c r="H8" s="27"/>
      <c r="I8" s="27"/>
      <c r="J8" s="27"/>
      <c r="K8" s="27"/>
      <c r="L8" s="27"/>
      <c r="M8" s="27"/>
      <c r="N8" s="27"/>
      <c r="O8" s="27"/>
      <c r="P8" s="27"/>
      <c r="Q8" s="27"/>
      <c r="R8" s="27"/>
      <c r="S8" s="27"/>
      <c r="T8" s="27"/>
      <c r="U8" s="27"/>
      <c r="V8" s="27"/>
      <c r="W8" s="27"/>
      <c r="X8" s="27"/>
      <c r="Y8" s="27"/>
      <c r="Z8" s="70"/>
      <c r="AA8" s="78" t="str" cm="1">
        <f t="array" ref="AA8">INDEX('Knee '!$O$5:$T$361, $AH$6 + ROWS($AB$7:AB8), COLUMNS($AB$7:AB8))</f>
        <v>Bamaç</v>
      </c>
      <c r="AB8" s="78" t="str" cm="1">
        <f t="array" ref="AB8">INDEX('Knee '!$O$5:$T$361, $AH$6 + ROWS($AB$7:AC8), COLUMNS($AB$7:AC8))</f>
        <v>Basketball</v>
      </c>
      <c r="AC8" s="78" t="str" cm="1">
        <f t="array" ref="AC8">INDEX('Knee '!$O$5:$T$361, $AH$6 + ROWS($AB$7:AD8), COLUMNS($AB$7:AD8))</f>
        <v>Elite</v>
      </c>
      <c r="AD8" s="78" t="str" cm="1">
        <f t="array" ref="AD8">INDEX('Knee '!$O$5:$T$361, $AH$6 + ROWS($AB$7:AE8), COLUMNS($AB$7:AE8))</f>
        <v>N/A</v>
      </c>
      <c r="AE8" s="78" t="str" cm="1">
        <f t="array" ref="AE8">INDEX('Knee '!$O$5:$T$361, $AH$6 + ROWS($AB$7:AF8), COLUMNS($AB$7:AF8))</f>
        <v>Male</v>
      </c>
      <c r="AF8" s="78" t="str" cm="1">
        <f t="array" ref="AF8">INDEX('Knee '!$O$5:$T$361, $AH$6 + ROWS($AB$7:AG8), COLUMNS($AB$7:AG8))</f>
        <v>Biodex</v>
      </c>
      <c r="AG8" s="71"/>
      <c r="AH8" s="71"/>
      <c r="AI8" s="153"/>
      <c r="AJ8" s="70"/>
    </row>
    <row r="9" spans="1:36" x14ac:dyDescent="0.25">
      <c r="A9" s="27"/>
      <c r="B9" s="27"/>
      <c r="C9" s="27"/>
      <c r="D9" s="27"/>
      <c r="E9" s="27"/>
      <c r="F9" s="27"/>
      <c r="G9" s="27"/>
      <c r="H9" s="27"/>
      <c r="I9" s="27"/>
      <c r="J9" s="27"/>
      <c r="K9" s="27"/>
      <c r="L9" s="27"/>
      <c r="M9" s="27"/>
      <c r="N9" s="27"/>
      <c r="O9" s="27"/>
      <c r="P9" s="27"/>
      <c r="Q9" s="27"/>
      <c r="R9" s="27"/>
      <c r="S9" s="27"/>
      <c r="T9" s="27"/>
      <c r="U9" s="27"/>
      <c r="V9" s="27"/>
      <c r="W9" s="27"/>
      <c r="X9" s="27"/>
      <c r="Y9" s="27"/>
      <c r="Z9" s="70"/>
      <c r="AA9" s="78" t="str" cm="1">
        <f t="array" ref="AA9">INDEX('Knee '!$O$5:$T$361, $AH$6 + ROWS($AB$7:AB9), COLUMNS($AB$7:AB9))</f>
        <v>Bamaç</v>
      </c>
      <c r="AB9" s="78" t="str" cm="1">
        <f t="array" ref="AB9">INDEX('Knee '!$O$5:$T$361, $AH$6 + ROWS($AB$7:AC9), COLUMNS($AB$7:AC9))</f>
        <v>Gen Pop</v>
      </c>
      <c r="AC9" s="78" t="str" cm="1">
        <f t="array" ref="AC9">INDEX('Knee '!$O$5:$T$361, $AH$6 + ROWS($AB$7:AD9), COLUMNS($AB$7:AD9))</f>
        <v>Adults</v>
      </c>
      <c r="AD9" s="78" t="str" cm="1">
        <f t="array" ref="AD9">INDEX('Knee '!$O$5:$T$361, $AH$6 + ROWS($AB$7:AE9), COLUMNS($AB$7:AE9))</f>
        <v>N/A</v>
      </c>
      <c r="AE9" s="78" t="str" cm="1">
        <f t="array" ref="AE9">INDEX('Knee '!$O$5:$T$361, $AH$6 + ROWS($AB$7:AF9), COLUMNS($AB$7:AF9))</f>
        <v>Male</v>
      </c>
      <c r="AF9" s="78" t="str" cm="1">
        <f t="array" ref="AF9">INDEX('Knee '!$O$5:$T$361, $AH$6 + ROWS($AB$7:AG9), COLUMNS($AB$7:AG9))</f>
        <v>Biodex</v>
      </c>
      <c r="AG9" s="71"/>
      <c r="AH9" s="71"/>
      <c r="AI9" s="153"/>
      <c r="AJ9" s="70"/>
    </row>
    <row r="10" spans="1:36" x14ac:dyDescent="0.25">
      <c r="A10" s="27"/>
      <c r="B10" s="27"/>
      <c r="C10" s="27"/>
      <c r="D10" s="27"/>
      <c r="E10" s="27"/>
      <c r="F10" s="27"/>
      <c r="G10" s="27"/>
      <c r="H10" s="27"/>
      <c r="I10" s="27"/>
      <c r="J10" s="27"/>
      <c r="K10" s="27"/>
      <c r="L10" s="27"/>
      <c r="M10" s="27"/>
      <c r="N10" s="27"/>
      <c r="O10" s="27"/>
      <c r="P10" s="27"/>
      <c r="Q10" s="27"/>
      <c r="R10" s="27"/>
      <c r="S10" s="27"/>
      <c r="T10" s="27"/>
      <c r="U10" s="27"/>
      <c r="V10" s="27"/>
      <c r="W10" s="27"/>
      <c r="X10" s="27"/>
      <c r="Y10" s="27"/>
      <c r="Z10" s="70"/>
      <c r="AA10" s="78" t="str" cm="1">
        <f t="array" ref="AA10">INDEX('Knee '!$O$5:$T$361, $AH$6 + ROWS($AB$7:AB10), COLUMNS($AB$7:AB10))</f>
        <v>Bamaç</v>
      </c>
      <c r="AB10" s="78" t="str" cm="1">
        <f t="array" ref="AB10">INDEX('Knee '!$O$5:$T$361, $AH$6 + ROWS($AB$7:AC10), COLUMNS($AB$7:AC10))</f>
        <v>Volleyball</v>
      </c>
      <c r="AC10" s="78" t="str" cm="1">
        <f t="array" ref="AC10">INDEX('Knee '!$O$5:$T$361, $AH$6 + ROWS($AB$7:AD10), COLUMNS($AB$7:AD10))</f>
        <v>Elite</v>
      </c>
      <c r="AD10" s="78" t="str" cm="1">
        <f t="array" ref="AD10">INDEX('Knee '!$O$5:$T$361, $AH$6 + ROWS($AB$7:AE10), COLUMNS($AB$7:AE10))</f>
        <v>N/A</v>
      </c>
      <c r="AE10" s="78" t="str" cm="1">
        <f t="array" ref="AE10">INDEX('Knee '!$O$5:$T$361, $AH$6 + ROWS($AB$7:AF10), COLUMNS($AB$7:AF10))</f>
        <v>Male</v>
      </c>
      <c r="AF10" s="78" t="str" cm="1">
        <f t="array" ref="AF10">INDEX('Knee '!$O$5:$T$361, $AH$6 + ROWS($AB$7:AG10), COLUMNS($AB$7:AG10))</f>
        <v>Biodex</v>
      </c>
      <c r="AG10" s="71"/>
      <c r="AH10" s="71"/>
      <c r="AI10" s="153"/>
      <c r="AJ10" s="70"/>
    </row>
    <row r="11" spans="1:36" x14ac:dyDescent="0.25">
      <c r="A11" s="27"/>
      <c r="B11" s="27"/>
      <c r="C11" s="27"/>
      <c r="D11" s="27"/>
      <c r="E11" s="27"/>
      <c r="F11" s="27"/>
      <c r="G11" s="27"/>
      <c r="H11" s="27"/>
      <c r="I11" s="27"/>
      <c r="J11" s="27"/>
      <c r="K11" s="27"/>
      <c r="L11" s="27"/>
      <c r="M11" s="27"/>
      <c r="N11" s="27"/>
      <c r="O11" s="27"/>
      <c r="P11" s="27"/>
      <c r="Q11" s="27"/>
      <c r="R11" s="27"/>
      <c r="S11" s="27"/>
      <c r="T11" s="27"/>
      <c r="U11" s="27"/>
      <c r="V11" s="27"/>
      <c r="W11" s="27"/>
      <c r="X11" s="27"/>
      <c r="Y11" s="27"/>
      <c r="Z11" s="70"/>
      <c r="AA11" s="78" t="str" cm="1">
        <f t="array" ref="AA11">INDEX('Knee '!$O$5:$T$361, $AH$6 + ROWS($AB$7:AB11), COLUMNS($AB$7:AB11))</f>
        <v>Bamaç</v>
      </c>
      <c r="AB11" s="78" t="str" cm="1">
        <f t="array" ref="AB11">INDEX('Knee '!$O$5:$T$361, $AH$6 + ROWS($AB$7:AC11), COLUMNS($AB$7:AC11))</f>
        <v>Basketball</v>
      </c>
      <c r="AC11" s="78" t="str" cm="1">
        <f t="array" ref="AC11">INDEX('Knee '!$O$5:$T$361, $AH$6 + ROWS($AB$7:AD11), COLUMNS($AB$7:AD11))</f>
        <v>Elite</v>
      </c>
      <c r="AD11" s="78" t="str" cm="1">
        <f t="array" ref="AD11">INDEX('Knee '!$O$5:$T$361, $AH$6 + ROWS($AB$7:AE11), COLUMNS($AB$7:AE11))</f>
        <v>N/A</v>
      </c>
      <c r="AE11" s="78" t="str" cm="1">
        <f t="array" ref="AE11">INDEX('Knee '!$O$5:$T$361, $AH$6 + ROWS($AB$7:AF11), COLUMNS($AB$7:AF11))</f>
        <v>Male</v>
      </c>
      <c r="AF11" s="78" t="str" cm="1">
        <f t="array" ref="AF11">INDEX('Knee '!$O$5:$T$361, $AH$6 + ROWS($AB$7:AG11), COLUMNS($AB$7:AG11))</f>
        <v>Biodex</v>
      </c>
      <c r="AG11" s="71"/>
      <c r="AH11" s="71"/>
      <c r="AI11" s="153"/>
      <c r="AJ11" s="70"/>
    </row>
    <row r="12" spans="1:36" x14ac:dyDescent="0.25">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70"/>
      <c r="AA12" s="78" t="str" cm="1">
        <f t="array" ref="AA12">INDEX('Knee '!$O$5:$T$361, $AH$6 + ROWS($AB$7:AB12), COLUMNS($AB$7:AB12))</f>
        <v>Bamaç</v>
      </c>
      <c r="AB12" s="78" t="str" cm="1">
        <f t="array" ref="AB12">INDEX('Knee '!$O$5:$T$361, $AH$6 + ROWS($AB$7:AC12), COLUMNS($AB$7:AC12))</f>
        <v>Gen Pop</v>
      </c>
      <c r="AC12" s="78" t="str" cm="1">
        <f t="array" ref="AC12">INDEX('Knee '!$O$5:$T$361, $AH$6 + ROWS($AB$7:AD12), COLUMNS($AB$7:AD12))</f>
        <v>Adults</v>
      </c>
      <c r="AD12" s="78" t="str" cm="1">
        <f t="array" ref="AD12">INDEX('Knee '!$O$5:$T$361, $AH$6 + ROWS($AB$7:AE12), COLUMNS($AB$7:AE12))</f>
        <v>N/A</v>
      </c>
      <c r="AE12" s="78" t="str" cm="1">
        <f t="array" ref="AE12">INDEX('Knee '!$O$5:$T$361, $AH$6 + ROWS($AB$7:AF12), COLUMNS($AB$7:AF12))</f>
        <v>Male</v>
      </c>
      <c r="AF12" s="78" t="str" cm="1">
        <f t="array" ref="AF12">INDEX('Knee '!$O$5:$T$361, $AH$6 + ROWS($AB$7:AG12), COLUMNS($AB$7:AG12))</f>
        <v>Biodex</v>
      </c>
      <c r="AG12" s="71"/>
      <c r="AH12" s="71"/>
      <c r="AI12" s="153"/>
      <c r="AJ12" s="70"/>
    </row>
    <row r="13" spans="1:36" x14ac:dyDescent="0.25">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70"/>
      <c r="AA13" s="78" t="str" cm="1">
        <f t="array" ref="AA13">INDEX('Knee '!$O$5:$T$361, $AH$6 + ROWS($AB$7:AB13), COLUMNS($AB$7:AB13))</f>
        <v>Bamaç</v>
      </c>
      <c r="AB13" s="78" t="str" cm="1">
        <f t="array" ref="AB13">INDEX('Knee '!$O$5:$T$361, $AH$6 + ROWS($AB$7:AC13), COLUMNS($AB$7:AC13))</f>
        <v>Volleyball</v>
      </c>
      <c r="AC13" s="78" t="str" cm="1">
        <f t="array" ref="AC13">INDEX('Knee '!$O$5:$T$361, $AH$6 + ROWS($AB$7:AD13), COLUMNS($AB$7:AD13))</f>
        <v>Elite</v>
      </c>
      <c r="AD13" s="78" t="str" cm="1">
        <f t="array" ref="AD13">INDEX('Knee '!$O$5:$T$361, $AH$6 + ROWS($AB$7:AE13), COLUMNS($AB$7:AE13))</f>
        <v>N/A</v>
      </c>
      <c r="AE13" s="78" t="str" cm="1">
        <f t="array" ref="AE13">INDEX('Knee '!$O$5:$T$361, $AH$6 + ROWS($AB$7:AF13), COLUMNS($AB$7:AF13))</f>
        <v>Male</v>
      </c>
      <c r="AF13" s="78" t="str" cm="1">
        <f t="array" ref="AF13">INDEX('Knee '!$O$5:$T$361, $AH$6 + ROWS($AB$7:AG13), COLUMNS($AB$7:AG13))</f>
        <v>Biodex</v>
      </c>
      <c r="AG13" s="71"/>
      <c r="AH13" s="71"/>
      <c r="AI13" s="153"/>
      <c r="AJ13" s="70"/>
    </row>
    <row r="14" spans="1:36" x14ac:dyDescent="0.25">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70"/>
      <c r="AA14" s="78" t="str" cm="1">
        <f t="array" ref="AA14">INDEX('Knee '!$O$5:$T$361, $AH$6 + ROWS($AB$7:AB14), COLUMNS($AB$7:AB14))</f>
        <v>Bamaç</v>
      </c>
      <c r="AB14" s="78" t="str" cm="1">
        <f t="array" ref="AB14">INDEX('Knee '!$O$5:$T$361, $AH$6 + ROWS($AB$7:AC14), COLUMNS($AB$7:AC14))</f>
        <v>Basketball</v>
      </c>
      <c r="AC14" s="78" t="str" cm="1">
        <f t="array" ref="AC14">INDEX('Knee '!$O$5:$T$361, $AH$6 + ROWS($AB$7:AD14), COLUMNS($AB$7:AD14))</f>
        <v>Elite</v>
      </c>
      <c r="AD14" s="78" t="str" cm="1">
        <f t="array" ref="AD14">INDEX('Knee '!$O$5:$T$361, $AH$6 + ROWS($AB$7:AE14), COLUMNS($AB$7:AE14))</f>
        <v>N/A</v>
      </c>
      <c r="AE14" s="78" t="str" cm="1">
        <f t="array" ref="AE14">INDEX('Knee '!$O$5:$T$361, $AH$6 + ROWS($AB$7:AF14), COLUMNS($AB$7:AF14))</f>
        <v>Male</v>
      </c>
      <c r="AF14" s="78" t="str" cm="1">
        <f t="array" ref="AF14">INDEX('Knee '!$O$5:$T$361, $AH$6 + ROWS($AB$7:AG14), COLUMNS($AB$7:AG14))</f>
        <v>Biodex</v>
      </c>
      <c r="AG14" s="71"/>
      <c r="AH14" s="71"/>
      <c r="AI14" s="153"/>
      <c r="AJ14" s="70"/>
    </row>
    <row r="15" spans="1:36" x14ac:dyDescent="0.25">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70"/>
      <c r="AA15" s="78" t="str" cm="1">
        <f t="array" ref="AA15">INDEX('Knee '!$O$5:$T$361, $AH$6 + ROWS($AB$7:AB15), COLUMNS($AB$7:AB15))</f>
        <v>Bamaç</v>
      </c>
      <c r="AB15" s="78" t="str" cm="1">
        <f t="array" ref="AB15">INDEX('Knee '!$O$5:$T$361, $AH$6 + ROWS($AB$7:AC15), COLUMNS($AB$7:AC15))</f>
        <v>Gen Pop</v>
      </c>
      <c r="AC15" s="78" t="str" cm="1">
        <f t="array" ref="AC15">INDEX('Knee '!$O$5:$T$361, $AH$6 + ROWS($AB$7:AD15), COLUMNS($AB$7:AD15))</f>
        <v>Adults</v>
      </c>
      <c r="AD15" s="78" t="str" cm="1">
        <f t="array" ref="AD15">INDEX('Knee '!$O$5:$T$361, $AH$6 + ROWS($AB$7:AE15), COLUMNS($AB$7:AE15))</f>
        <v>N/A</v>
      </c>
      <c r="AE15" s="78" t="str" cm="1">
        <f t="array" ref="AE15">INDEX('Knee '!$O$5:$T$361, $AH$6 + ROWS($AB$7:AF15), COLUMNS($AB$7:AF15))</f>
        <v>Male</v>
      </c>
      <c r="AF15" s="78" t="str" cm="1">
        <f t="array" ref="AF15">INDEX('Knee '!$O$5:$T$361, $AH$6 + ROWS($AB$7:AG15), COLUMNS($AB$7:AG15))</f>
        <v>Biodex</v>
      </c>
      <c r="AG15" s="71"/>
      <c r="AH15" s="71"/>
      <c r="AI15" s="153"/>
      <c r="AJ15" s="70"/>
    </row>
    <row r="16" spans="1:36" x14ac:dyDescent="0.25">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70"/>
      <c r="AA16" s="78" t="str" cm="1">
        <f t="array" ref="AA16">INDEX('Knee '!$O$5:$T$361, $AH$6 + ROWS($AB$7:AB16), COLUMNS($AB$7:AB16))</f>
        <v>Baumgart</v>
      </c>
      <c r="AB16" s="78" t="str" cm="1">
        <f t="array" ref="AB16">INDEX('Knee '!$O$5:$T$361, $AH$6 + ROWS($AB$7:AC16), COLUMNS($AB$7:AC16))</f>
        <v>Mixed Sport</v>
      </c>
      <c r="AC16" s="78" t="str" cm="1">
        <f t="array" ref="AC16">INDEX('Knee '!$O$5:$T$361, $AH$6 + ROWS($AB$7:AD16), COLUMNS($AB$7:AD16))</f>
        <v>Adults</v>
      </c>
      <c r="AD16" s="78" t="str" cm="1">
        <f t="array" ref="AD16">INDEX('Knee '!$O$5:$T$361, $AH$6 + ROWS($AB$7:AE16), COLUMNS($AB$7:AE16))</f>
        <v>N/A</v>
      </c>
      <c r="AE16" s="78" t="str" cm="1">
        <f t="array" ref="AE16">INDEX('Knee '!$O$5:$T$361, $AH$6 + ROWS($AB$7:AF16), COLUMNS($AB$7:AF16))</f>
        <v>Mixed</v>
      </c>
      <c r="AF16" s="78" t="str" cm="1">
        <f t="array" ref="AF16">INDEX('Knee '!$O$5:$T$361, $AH$6 + ROWS($AB$7:AG16), COLUMNS($AB$7:AG16))</f>
        <v>Biodex</v>
      </c>
      <c r="AG16" s="71"/>
      <c r="AH16" s="71"/>
      <c r="AI16" s="153"/>
      <c r="AJ16" s="70"/>
    </row>
    <row r="17" spans="1:36" x14ac:dyDescent="0.25">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70"/>
      <c r="AA17" s="152"/>
      <c r="AB17" s="71"/>
      <c r="AC17" s="71"/>
      <c r="AD17" s="71"/>
      <c r="AE17" s="71"/>
      <c r="AF17" s="71"/>
      <c r="AG17" s="71"/>
      <c r="AH17" s="71"/>
      <c r="AI17" s="153"/>
      <c r="AJ17" s="70"/>
    </row>
    <row r="18" spans="1:36" x14ac:dyDescent="0.25">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70"/>
      <c r="AA18" s="152"/>
      <c r="AB18" s="71"/>
      <c r="AC18" s="71"/>
      <c r="AD18" s="71"/>
      <c r="AE18" s="71"/>
      <c r="AF18" s="71"/>
      <c r="AG18" s="71"/>
      <c r="AH18" s="71"/>
      <c r="AI18" s="153"/>
      <c r="AJ18" s="70"/>
    </row>
    <row r="19" spans="1:36" x14ac:dyDescent="0.25">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70"/>
      <c r="AA19" s="152"/>
      <c r="AB19" s="71"/>
      <c r="AC19" s="71"/>
      <c r="AD19" s="71"/>
      <c r="AE19" s="71"/>
      <c r="AF19" s="71"/>
      <c r="AG19" s="71"/>
      <c r="AH19" s="71"/>
      <c r="AI19" s="153"/>
      <c r="AJ19" s="70"/>
    </row>
    <row r="20" spans="1:36" ht="20.25" customHeight="1" x14ac:dyDescent="0.4">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70"/>
      <c r="AA20" s="152"/>
      <c r="AB20" s="158"/>
      <c r="AC20" s="71"/>
      <c r="AD20" s="71"/>
      <c r="AE20" s="71"/>
      <c r="AF20" s="71"/>
      <c r="AG20" s="71"/>
      <c r="AH20" s="71"/>
      <c r="AI20" s="153"/>
      <c r="AJ20" s="70"/>
    </row>
    <row r="21" spans="1:36" ht="18.75" customHeight="1" thickBot="1" x14ac:dyDescent="0.45">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70"/>
      <c r="AA21" s="159" t="s">
        <v>149</v>
      </c>
      <c r="AB21" s="158"/>
      <c r="AC21" s="156" t="s">
        <v>181</v>
      </c>
      <c r="AD21" s="158"/>
      <c r="AE21" s="158"/>
      <c r="AF21" s="158"/>
      <c r="AG21" s="71"/>
      <c r="AH21" s="71"/>
      <c r="AI21" s="153"/>
      <c r="AJ21" s="70"/>
    </row>
    <row r="22" spans="1:36" ht="15.75" thickBot="1" x14ac:dyDescent="0.3">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70"/>
      <c r="AA22" s="166" t="s">
        <v>3</v>
      </c>
      <c r="AB22" s="167" t="s">
        <v>4</v>
      </c>
      <c r="AC22" s="167" t="s">
        <v>6</v>
      </c>
      <c r="AD22" s="167" t="s">
        <v>5</v>
      </c>
      <c r="AE22" s="167" t="s">
        <v>11</v>
      </c>
      <c r="AF22" s="168" t="s">
        <v>180</v>
      </c>
      <c r="AG22" s="71"/>
      <c r="AH22" s="74" t="s">
        <v>177</v>
      </c>
      <c r="AI22" s="153"/>
      <c r="AJ22" s="70"/>
    </row>
    <row r="23" spans="1:36" x14ac:dyDescent="0.25">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70"/>
      <c r="AA23" s="78" t="str" cm="1">
        <f t="array" ref="AA23">INDEX(Shoulder!$U7:AC$241, $AH$23 + ROWS($AA$23:AA23), COLUMNS($AA$7:AA7))</f>
        <v>Kuhlman</v>
      </c>
      <c r="AB23" s="78" t="str" cm="1">
        <f t="array" ref="AB23">INDEX(Shoulder!$U7:AD$241, $AH$23 + ROWS($AA$23:AB23), COLUMNS($AA$7:AB7))</f>
        <v>Gen Pop</v>
      </c>
      <c r="AC23" s="78" t="str" cm="1">
        <f t="array" ref="AC23">INDEX(Shoulder!$U7:AE$241, $AH$23 + ROWS($AA$23:AC23), COLUMNS($AA$7:AC7))</f>
        <v>Adults</v>
      </c>
      <c r="AD23" s="78" t="str" cm="1">
        <f t="array" ref="AD23">INDEX(Shoulder!$U7:AF$241, $AH$23 + ROWS($AA$23:AD23), COLUMNS($AA$7:AD7))</f>
        <v>N/A</v>
      </c>
      <c r="AE23" s="78" t="str" cm="1">
        <f t="array" ref="AE23">INDEX(Shoulder!$U7:AG$241, $AH$23 + ROWS($AA$23:AE23), COLUMNS($AA$7:AE7))</f>
        <v>Male</v>
      </c>
      <c r="AF23" s="78" t="str" cm="1">
        <f t="array" ref="AF23">INDEX(Shoulder!$U7:AH$241, $AH$23 + ROWS($AA$23:AF23), COLUMNS($AA$7:AF7))</f>
        <v>Biodex</v>
      </c>
      <c r="AG23" s="71"/>
      <c r="AH23" s="73">
        <v>0</v>
      </c>
      <c r="AI23" s="153"/>
      <c r="AJ23" s="70"/>
    </row>
    <row r="24" spans="1:36" x14ac:dyDescent="0.25">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70"/>
      <c r="AA24" s="78" t="str" cm="1">
        <f t="array" ref="AA24">INDEX(Shoulder!$U8:AC$241, $AH$23 + ROWS($AA$23:AA24), COLUMNS($AA$7:AA8))</f>
        <v>Kuhlman</v>
      </c>
      <c r="AB24" s="78" t="str" cm="1">
        <f t="array" ref="AB24">INDEX(Shoulder!$U8:AD$241, $AH$23 + ROWS($AA$23:AB24), COLUMNS($AA$7:AB8))</f>
        <v>Gen Pop</v>
      </c>
      <c r="AC24" s="78" t="str" cm="1">
        <f t="array" ref="AC24">INDEX(Shoulder!$U8:AE$241, $AH$23 + ROWS($AA$23:AC24), COLUMNS($AA$7:AC8))</f>
        <v xml:space="preserve">Elderly </v>
      </c>
      <c r="AD24" s="78" t="str" cm="1">
        <f t="array" ref="AD24">INDEX(Shoulder!$U8:AF$241, $AH$23 + ROWS($AA$23:AD24), COLUMNS($AA$7:AD8))</f>
        <v>N/A</v>
      </c>
      <c r="AE24" s="78" t="str" cm="1">
        <f t="array" ref="AE24">INDEX(Shoulder!$U8:AG$241, $AH$23 + ROWS($AA$23:AE24), COLUMNS($AA$7:AE8))</f>
        <v>Male</v>
      </c>
      <c r="AF24" s="78" t="str" cm="1">
        <f t="array" ref="AF24">INDEX(Shoulder!$U8:AH$241, $AH$23 + ROWS($AA$23:AF24), COLUMNS($AA$7:AF8))</f>
        <v>Biodex</v>
      </c>
      <c r="AG24" s="71"/>
      <c r="AH24" s="71"/>
      <c r="AI24" s="153"/>
      <c r="AJ24" s="70"/>
    </row>
    <row r="25" spans="1:36" x14ac:dyDescent="0.25">
      <c r="A25" s="27"/>
      <c r="B25" s="27"/>
      <c r="C25" s="27"/>
      <c r="D25" s="27"/>
      <c r="E25" s="27"/>
      <c r="F25" s="27"/>
      <c r="G25" s="27"/>
      <c r="H25" s="27"/>
      <c r="I25" s="27"/>
      <c r="J25" s="27"/>
      <c r="K25" s="27"/>
      <c r="L25" s="41"/>
      <c r="M25" s="27"/>
      <c r="N25" s="27"/>
      <c r="O25" s="27"/>
      <c r="P25" s="27"/>
      <c r="Q25" s="27"/>
      <c r="R25" s="27"/>
      <c r="S25" s="27"/>
      <c r="T25" s="27"/>
      <c r="U25" s="27"/>
      <c r="V25" s="27"/>
      <c r="W25" s="27"/>
      <c r="X25" s="27"/>
      <c r="Y25" s="27"/>
      <c r="Z25" s="70"/>
      <c r="AA25" s="78" t="str" cm="1">
        <f t="array" ref="AA25">INDEX(Shoulder!$U9:AC$241, $AH$23 + ROWS($AA$23:AA25), COLUMNS($AA$7:AA9))</f>
        <v>Kuhlman</v>
      </c>
      <c r="AB25" s="78" t="str" cm="1">
        <f t="array" ref="AB25">INDEX(Shoulder!$U9:AD$241, $AH$23 + ROWS($AA$23:AB25), COLUMNS($AA$7:AB9))</f>
        <v>Gen Pop</v>
      </c>
      <c r="AC25" s="78" t="str" cm="1">
        <f t="array" ref="AC25">INDEX(Shoulder!$U9:AE$241, $AH$23 + ROWS($AA$23:AC25), COLUMNS($AA$7:AC9))</f>
        <v xml:space="preserve">Elderly </v>
      </c>
      <c r="AD25" s="78" t="str" cm="1">
        <f t="array" ref="AD25">INDEX(Shoulder!$U9:AF$241, $AH$23 + ROWS($AA$23:AD25), COLUMNS($AA$7:AD9))</f>
        <v>N/A</v>
      </c>
      <c r="AE25" s="78" t="str" cm="1">
        <f t="array" ref="AE25">INDEX(Shoulder!$U9:AG$241, $AH$23 + ROWS($AA$23:AE25), COLUMNS($AA$7:AE9))</f>
        <v>Female</v>
      </c>
      <c r="AF25" s="78" t="str" cm="1">
        <f t="array" ref="AF25">INDEX(Shoulder!$U9:AH$241, $AH$23 + ROWS($AA$23:AF25), COLUMNS($AA$7:AF9))</f>
        <v>Biodex</v>
      </c>
      <c r="AG25" s="71"/>
      <c r="AH25" s="71"/>
      <c r="AI25" s="153"/>
      <c r="AJ25" s="70"/>
    </row>
    <row r="26" spans="1:36" x14ac:dyDescent="0.25">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70"/>
      <c r="AA26" s="78" t="str" cm="1">
        <f t="array" ref="AA26">INDEX(Shoulder!$U10:AC$241, $AH$23 + ROWS($AA$23:AA26), COLUMNS($AA$7:AA10))</f>
        <v>Ellenbecker</v>
      </c>
      <c r="AB26" s="78" t="str" cm="1">
        <f t="array" ref="AB26">INDEX(Shoulder!$U10:AD$241, $AH$23 + ROWS($AA$23:AB26), COLUMNS($AA$7:AB10))</f>
        <v>Baseball</v>
      </c>
      <c r="AC26" s="78" t="str" cm="1">
        <f t="array" ref="AC26">INDEX(Shoulder!$U10:AE$241, $AH$23 + ROWS($AA$23:AC26), COLUMNS($AA$7:AC10))</f>
        <v>Professional</v>
      </c>
      <c r="AD26" s="78" t="str" cm="1">
        <f t="array" ref="AD26">INDEX(Shoulder!$U10:AF$241, $AH$23 + ROWS($AA$23:AD26), COLUMNS($AA$7:AD10))</f>
        <v>Pitchers</v>
      </c>
      <c r="AE26" s="78" t="str" cm="1">
        <f t="array" ref="AE26">INDEX(Shoulder!$U10:AG$241, $AH$23 + ROWS($AA$23:AE26), COLUMNS($AA$7:AE10))</f>
        <v>Male</v>
      </c>
      <c r="AF26" s="78" t="str" cm="1">
        <f t="array" ref="AF26">INDEX(Shoulder!$U10:AH$241, $AH$23 + ROWS($AA$23:AF26), COLUMNS($AA$7:AF10))</f>
        <v>Cybex</v>
      </c>
      <c r="AG26" s="71"/>
      <c r="AH26" s="71"/>
      <c r="AI26" s="153"/>
      <c r="AJ26" s="70"/>
    </row>
    <row r="27" spans="1:36" x14ac:dyDescent="0.25">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70"/>
      <c r="AA27" s="78" t="str" cm="1">
        <f t="array" ref="AA27">INDEX(Shoulder!$U11:AC$241, $AH$23 + ROWS($AA$23:AA27), COLUMNS($AA$7:AA11))</f>
        <v>Ellenbecker</v>
      </c>
      <c r="AB27" s="78" t="str" cm="1">
        <f t="array" ref="AB27">INDEX(Shoulder!$U11:AD$241, $AH$23 + ROWS($AA$23:AB27), COLUMNS($AA$7:AB11))</f>
        <v>Baseball</v>
      </c>
      <c r="AC27" s="78" t="str" cm="1">
        <f t="array" ref="AC27">INDEX(Shoulder!$U11:AE$241, $AH$23 + ROWS($AA$23:AC27), COLUMNS($AA$7:AC11))</f>
        <v>Professional</v>
      </c>
      <c r="AD27" s="78" t="str" cm="1">
        <f t="array" ref="AD27">INDEX(Shoulder!$U11:AF$241, $AH$23 + ROWS($AA$23:AD27), COLUMNS($AA$7:AD11))</f>
        <v>Pitchers</v>
      </c>
      <c r="AE27" s="78" t="str" cm="1">
        <f t="array" ref="AE27">INDEX(Shoulder!$U11:AG$241, $AH$23 + ROWS($AA$23:AE27), COLUMNS($AA$7:AE11))</f>
        <v>Male</v>
      </c>
      <c r="AF27" s="78" t="str" cm="1">
        <f t="array" ref="AF27">INDEX(Shoulder!$U11:AH$241, $AH$23 + ROWS($AA$23:AF27), COLUMNS($AA$7:AF11))</f>
        <v>Cybex</v>
      </c>
      <c r="AG27" s="71"/>
      <c r="AH27" s="71"/>
      <c r="AI27" s="153"/>
      <c r="AJ27" s="70"/>
    </row>
    <row r="28" spans="1:36" x14ac:dyDescent="0.25">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70"/>
      <c r="AA28" s="78" t="str" cm="1">
        <f t="array" ref="AA28">INDEX(Shoulder!$U12:AC$241, $AH$23 + ROWS($AA$23:AA28), COLUMNS($AA$7:AA12))</f>
        <v xml:space="preserve"> Batalha</v>
      </c>
      <c r="AB28" s="78" t="str" cm="1">
        <f t="array" ref="AB28">INDEX(Shoulder!$U12:AD$241, $AH$23 + ROWS($AA$23:AB28), COLUMNS($AA$7:AB12))</f>
        <v>Swimming</v>
      </c>
      <c r="AC28" s="78" t="str" cm="1">
        <f t="array" ref="AC28">INDEX(Shoulder!$U12:AE$241, $AH$23 + ROWS($AA$23:AC28), COLUMNS($AA$7:AC12))</f>
        <v>Adolescent</v>
      </c>
      <c r="AD28" s="78" t="str" cm="1">
        <f t="array" ref="AD28">INDEX(Shoulder!$U12:AF$241, $AH$23 + ROWS($AA$23:AD28), COLUMNS($AA$7:AD12))</f>
        <v>N/A</v>
      </c>
      <c r="AE28" s="78" t="str" cm="1">
        <f t="array" ref="AE28">INDEX(Shoulder!$U12:AG$241, $AH$23 + ROWS($AA$23:AE28), COLUMNS($AA$7:AE12))</f>
        <v>Male</v>
      </c>
      <c r="AF28" s="78" t="str" cm="1">
        <f t="array" ref="AF28">INDEX(Shoulder!$U12:AH$241, $AH$23 + ROWS($AA$23:AF28), COLUMNS($AA$7:AF12))</f>
        <v>Biodex</v>
      </c>
      <c r="AG28" s="71"/>
      <c r="AH28" s="71"/>
      <c r="AI28" s="153"/>
      <c r="AJ28" s="70"/>
    </row>
    <row r="29" spans="1:36" ht="19.149999999999999" customHeight="1" x14ac:dyDescent="0.25">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70"/>
      <c r="AA29" s="78" t="str" cm="1">
        <f t="array" ref="AA29">INDEX(Shoulder!$U13:AC$241, $AH$23 + ROWS($AA$23:AA29), COLUMNS($AA$7:AA13))</f>
        <v xml:space="preserve"> Batalha</v>
      </c>
      <c r="AB29" s="78" t="str" cm="1">
        <f t="array" ref="AB29">INDEX(Shoulder!$U13:AD$241, $AH$23 + ROWS($AA$23:AB29), COLUMNS($AA$7:AB13))</f>
        <v>Swimming</v>
      </c>
      <c r="AC29" s="78" t="str" cm="1">
        <f t="array" ref="AC29">INDEX(Shoulder!$U13:AE$241, $AH$23 + ROWS($AA$23:AC29), COLUMNS($AA$7:AC13))</f>
        <v>Adolescent</v>
      </c>
      <c r="AD29" s="78" t="str" cm="1">
        <f t="array" ref="AD29">INDEX(Shoulder!$U13:AF$241, $AH$23 + ROWS($AA$23:AD29), COLUMNS($AA$7:AD13))</f>
        <v>N/A</v>
      </c>
      <c r="AE29" s="78" t="str" cm="1">
        <f t="array" ref="AE29">INDEX(Shoulder!$U13:AG$241, $AH$23 + ROWS($AA$23:AE29), COLUMNS($AA$7:AE13))</f>
        <v>Male</v>
      </c>
      <c r="AF29" s="78" t="str" cm="1">
        <f t="array" ref="AF29">INDEX(Shoulder!$U13:AH$241, $AH$23 + ROWS($AA$23:AF29), COLUMNS($AA$7:AF13))</f>
        <v>Biodex</v>
      </c>
      <c r="AG29" s="71"/>
      <c r="AH29" s="71"/>
      <c r="AI29" s="153"/>
      <c r="AJ29" s="70"/>
    </row>
    <row r="30" spans="1:36" x14ac:dyDescent="0.25">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70"/>
      <c r="AA30" s="78" t="str" cm="1">
        <f t="array" ref="AA30">INDEX(Shoulder!$U14:AC$241, $AH$23 + ROWS($AA$23:AA30), COLUMNS($AA$7:AA14))</f>
        <v xml:space="preserve"> Batalha</v>
      </c>
      <c r="AB30" s="78" t="str" cm="1">
        <f t="array" ref="AB30">INDEX(Shoulder!$U14:AD$241, $AH$23 + ROWS($AA$23:AB30), COLUMNS($AA$7:AB14))</f>
        <v>Swimming</v>
      </c>
      <c r="AC30" s="78" t="str" cm="1">
        <f t="array" ref="AC30">INDEX(Shoulder!$U14:AE$241, $AH$23 + ROWS($AA$23:AC30), COLUMNS($AA$7:AC14))</f>
        <v>Adolescent</v>
      </c>
      <c r="AD30" s="78" t="str" cm="1">
        <f t="array" ref="AD30">INDEX(Shoulder!$U14:AF$241, $AH$23 + ROWS($AA$23:AD30), COLUMNS($AA$7:AD14))</f>
        <v>N/A</v>
      </c>
      <c r="AE30" s="78" t="str" cm="1">
        <f t="array" ref="AE30">INDEX(Shoulder!$U14:AG$241, $AH$23 + ROWS($AA$23:AE30), COLUMNS($AA$7:AE14))</f>
        <v>Male</v>
      </c>
      <c r="AF30" s="78" t="str" cm="1">
        <f t="array" ref="AF30">INDEX(Shoulder!$U14:AH$241, $AH$23 + ROWS($AA$23:AF30), COLUMNS($AA$7:AF14))</f>
        <v>Biodex</v>
      </c>
      <c r="AG30" s="71"/>
      <c r="AH30" s="71"/>
      <c r="AI30" s="153"/>
      <c r="AJ30" s="70"/>
    </row>
    <row r="31" spans="1:36" x14ac:dyDescent="0.25">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70"/>
      <c r="AA31" s="78" t="str" cm="1">
        <f t="array" ref="AA31">INDEX(Shoulder!$U15:AC$241, $AH$23 + ROWS($AA$23:AA31), COLUMNS($AA$7:AA15))</f>
        <v xml:space="preserve"> Batalha</v>
      </c>
      <c r="AB31" s="78" t="str" cm="1">
        <f t="array" ref="AB31">INDEX(Shoulder!$U15:AD$241, $AH$23 + ROWS($AA$23:AB31), COLUMNS($AA$7:AB15))</f>
        <v>Swimming</v>
      </c>
      <c r="AC31" s="78" t="str" cm="1">
        <f t="array" ref="AC31">INDEX(Shoulder!$U15:AE$241, $AH$23 + ROWS($AA$23:AC31), COLUMNS($AA$7:AC15))</f>
        <v>Adolescent</v>
      </c>
      <c r="AD31" s="78" t="str" cm="1">
        <f t="array" ref="AD31">INDEX(Shoulder!$U15:AF$241, $AH$23 + ROWS($AA$23:AD31), COLUMNS($AA$7:AD15))</f>
        <v>N/A</v>
      </c>
      <c r="AE31" s="78" t="str" cm="1">
        <f t="array" ref="AE31">INDEX(Shoulder!$U15:AG$241, $AH$23 + ROWS($AA$23:AE31), COLUMNS($AA$7:AE15))</f>
        <v>Male</v>
      </c>
      <c r="AF31" s="78" t="str" cm="1">
        <f t="array" ref="AF31">INDEX(Shoulder!$U15:AH$241, $AH$23 + ROWS($AA$23:AF31), COLUMNS($AA$7:AF15))</f>
        <v>Biodex</v>
      </c>
      <c r="AG31" s="71"/>
      <c r="AH31" s="71"/>
      <c r="AI31" s="153"/>
      <c r="AJ31" s="70"/>
    </row>
    <row r="32" spans="1:36" x14ac:dyDescent="0.25">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70"/>
      <c r="AA32" s="78" t="str" cm="1">
        <f t="array" ref="AA32">INDEX(Shoulder!$U16:AC$241, $AH$23 + ROWS($AA$23:AA32), COLUMNS($AA$7:AA16))</f>
        <v>Clements</v>
      </c>
      <c r="AB32" s="78" t="str" cm="1">
        <f t="array" ref="AB32">INDEX(Shoulder!$U16:AD$241, $AH$23 + ROWS($AA$23:AB32), COLUMNS($AA$7:AB16))</f>
        <v>Baseball</v>
      </c>
      <c r="AC32" s="78" t="str" cm="1">
        <f t="array" ref="AC32">INDEX(Shoulder!$U16:AE$241, $AH$23 + ROWS($AA$23:AC32), COLUMNS($AA$7:AC16))</f>
        <v>Adolescent</v>
      </c>
      <c r="AD32" s="78" t="str" cm="1">
        <f t="array" ref="AD32">INDEX(Shoulder!$U16:AF$241, $AH$23 + ROWS($AA$23:AD32), COLUMNS($AA$7:AD16))</f>
        <v>N/A</v>
      </c>
      <c r="AE32" s="78" t="str" cm="1">
        <f t="array" ref="AE32">INDEX(Shoulder!$U16:AG$241, $AH$23 + ROWS($AA$23:AE32), COLUMNS($AA$7:AE16))</f>
        <v>Male</v>
      </c>
      <c r="AF32" s="78" t="str" cm="1">
        <f t="array" ref="AF32">INDEX(Shoulder!$U16:AH$241, $AH$23 + ROWS($AA$23:AF32), COLUMNS($AA$7:AF16))</f>
        <v>Biodex</v>
      </c>
      <c r="AG32" s="71"/>
      <c r="AH32" s="71"/>
      <c r="AI32" s="153"/>
      <c r="AJ32" s="70"/>
    </row>
    <row r="33" spans="1:36" x14ac:dyDescent="0.25">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70"/>
      <c r="AA33" s="78" t="str" cm="1">
        <f t="array" ref="AA33">INDEX(Shoulder!$U17:AC$241, $AH$23 + ROWS($AA$23:AA33), COLUMNS($AA$7:AA17))</f>
        <v>Lira</v>
      </c>
      <c r="AB33" s="78" t="str" cm="1">
        <f t="array" ref="AB33">INDEX(Shoulder!$U17:AD$241, $AH$23 + ROWS($AA$23:AB33), COLUMNS($AA$7:AB17))</f>
        <v>Volleyball</v>
      </c>
      <c r="AC33" s="78" t="str" cm="1">
        <f t="array" ref="AC33">INDEX(Shoulder!$U17:AE$241, $AH$23 + ROWS($AA$23:AC33), COLUMNS($AA$7:AC17))</f>
        <v>Adolescent</v>
      </c>
      <c r="AD33" s="78" t="str" cm="1">
        <f t="array" ref="AD33">INDEX(Shoulder!$U17:AF$241, $AH$23 + ROWS($AA$23:AD33), COLUMNS($AA$7:AD17))</f>
        <v>N/A</v>
      </c>
      <c r="AE33" s="78" t="str" cm="1">
        <f t="array" ref="AE33">INDEX(Shoulder!$U17:AG$241, $AH$23 + ROWS($AA$23:AE33), COLUMNS($AA$7:AE17))</f>
        <v>Male</v>
      </c>
      <c r="AF33" s="78" t="str" cm="1">
        <f t="array" ref="AF33">INDEX(Shoulder!$U17:AH$241, $AH$23 + ROWS($AA$23:AF33), COLUMNS($AA$7:AF17))</f>
        <v>Biodex</v>
      </c>
      <c r="AG33" s="71"/>
      <c r="AH33" s="71"/>
      <c r="AI33" s="153"/>
      <c r="AJ33" s="70"/>
    </row>
    <row r="34" spans="1:36" x14ac:dyDescent="0.25">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70"/>
      <c r="AA34" s="152"/>
      <c r="AB34" s="71"/>
      <c r="AC34" s="71"/>
      <c r="AD34" s="71"/>
      <c r="AE34" s="71"/>
      <c r="AF34" s="71"/>
      <c r="AG34" s="71"/>
      <c r="AH34" s="71"/>
      <c r="AI34" s="153"/>
      <c r="AJ34" s="70"/>
    </row>
    <row r="35" spans="1:36" x14ac:dyDescent="0.25">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70"/>
      <c r="AA35" s="152"/>
      <c r="AB35" s="71"/>
      <c r="AC35" s="71"/>
      <c r="AD35" s="71"/>
      <c r="AE35" s="71"/>
      <c r="AF35" s="71"/>
      <c r="AG35" s="71"/>
      <c r="AH35" s="71"/>
      <c r="AI35" s="153"/>
      <c r="AJ35" s="70"/>
    </row>
    <row r="36" spans="1:36" x14ac:dyDescent="0.25">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70"/>
      <c r="AA36" s="152"/>
      <c r="AB36" s="71"/>
      <c r="AC36" s="71"/>
      <c r="AD36" s="71"/>
      <c r="AE36" s="71"/>
      <c r="AF36" s="71"/>
      <c r="AG36" s="71"/>
      <c r="AH36" s="71"/>
      <c r="AI36" s="153"/>
      <c r="AJ36" s="70"/>
    </row>
    <row r="37" spans="1:36" ht="27" thickBot="1" x14ac:dyDescent="0.45">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70"/>
      <c r="AA37" s="160"/>
      <c r="AB37" s="161"/>
      <c r="AC37" s="156" t="s">
        <v>320</v>
      </c>
      <c r="AD37" s="161"/>
      <c r="AE37" s="161"/>
      <c r="AF37" s="161"/>
      <c r="AG37" s="71"/>
      <c r="AH37" s="71"/>
      <c r="AI37" s="153"/>
      <c r="AJ37" s="70"/>
    </row>
    <row r="38" spans="1:36" ht="15.75" thickBot="1" x14ac:dyDescent="0.3">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70"/>
      <c r="AA38" s="95" t="s">
        <v>3</v>
      </c>
      <c r="AB38" s="96" t="s">
        <v>4</v>
      </c>
      <c r="AC38" s="96" t="s">
        <v>6</v>
      </c>
      <c r="AD38" s="96" t="s">
        <v>5</v>
      </c>
      <c r="AE38" s="96" t="s">
        <v>11</v>
      </c>
      <c r="AF38" s="97" t="s">
        <v>180</v>
      </c>
      <c r="AG38" s="71"/>
      <c r="AH38" s="192" t="s">
        <v>177</v>
      </c>
      <c r="AI38" s="153"/>
      <c r="AJ38" s="70"/>
    </row>
    <row r="39" spans="1:36" ht="15.75" thickBot="1" x14ac:dyDescent="0.3">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70"/>
      <c r="AA39" s="78" t="str" cm="1">
        <f t="array" ref="AA39">INDEX(Ankle!$U7:AC$241, $AH$39 + ROWS($AA$39:AA39), COLUMNS($AA$39:AA39))</f>
        <v>Gonosova</v>
      </c>
      <c r="AB39" s="78" t="str" cm="1">
        <f t="array" ref="AB39">INDEX(Ankle!$U7:AD$241, $AH$39 + ROWS($AA$39:AB39), COLUMNS($AA$39:AB39))</f>
        <v>Gen Pop</v>
      </c>
      <c r="AC39" s="78" t="str" cm="1">
        <f t="array" ref="AC39">INDEX(Ankle!$U7:AE$241, $AH$39 + ROWS($AA$39:AC39), COLUMNS($AA$39:AC39))</f>
        <v>Adults</v>
      </c>
      <c r="AD39" s="78" t="str" cm="1">
        <f t="array" ref="AD39">INDEX(Ankle!$U7:AF$241, $AH$39 + ROWS($AA$39:AD39), COLUMNS($AA$39:AD39))</f>
        <v>N/A</v>
      </c>
      <c r="AE39" s="78" t="str" cm="1">
        <f t="array" ref="AE39">INDEX(Ankle!$U7:AG$241, $AH$39 + ROWS($AA$39:AE39), COLUMNS($AA$39:AE39))</f>
        <v>Mixed</v>
      </c>
      <c r="AF39" s="78" t="str" cm="1">
        <f t="array" ref="AF39">INDEX(Ankle!$U7:AH$241, $AH$39 + ROWS($AA$39:AF39), COLUMNS($AA$39:AF39))</f>
        <v>Isomed 2000</v>
      </c>
      <c r="AG39" s="71"/>
      <c r="AH39" s="75">
        <v>0</v>
      </c>
      <c r="AI39" s="153"/>
      <c r="AJ39" s="70"/>
    </row>
    <row r="40" spans="1:36" x14ac:dyDescent="0.25">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70"/>
      <c r="AA40" s="78" t="str" cm="1">
        <f t="array" ref="AA40">INDEX(Ankle!$U8:AC$241, $AH$39 + ROWS($AA$39:AA40), COLUMNS($AA$39:AA40))</f>
        <v>Gonosova</v>
      </c>
      <c r="AB40" s="78" t="str" cm="1">
        <f t="array" ref="AB40">INDEX(Ankle!$U8:AD$241, $AH$39 + ROWS($AA$39:AB40), COLUMNS($AA$39:AB40))</f>
        <v>Gen Pop</v>
      </c>
      <c r="AC40" s="78" t="str" cm="1">
        <f t="array" ref="AC40">INDEX(Ankle!$U8:AE$241, $AH$39 + ROWS($AA$39:AC40), COLUMNS($AA$39:AC40))</f>
        <v>Adults</v>
      </c>
      <c r="AD40" s="78" t="str" cm="1">
        <f t="array" ref="AD40">INDEX(Ankle!$U8:AF$241, $AH$39 + ROWS($AA$39:AD40), COLUMNS($AA$39:AD40))</f>
        <v>N/A</v>
      </c>
      <c r="AE40" s="78" t="str" cm="1">
        <f t="array" ref="AE40">INDEX(Ankle!$U8:AG$241, $AH$39 + ROWS($AA$39:AE40), COLUMNS($AA$39:AE40))</f>
        <v>Mixed</v>
      </c>
      <c r="AF40" s="78" t="str" cm="1">
        <f t="array" ref="AF40">INDEX(Ankle!$U8:AH$241, $AH$39 + ROWS($AA$39:AF40), COLUMNS($AA$39:AF40))</f>
        <v>Isomed 2000</v>
      </c>
      <c r="AG40" s="71"/>
      <c r="AH40" s="71"/>
      <c r="AI40" s="153"/>
      <c r="AJ40" s="70"/>
    </row>
    <row r="41" spans="1:36" x14ac:dyDescent="0.25">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70"/>
      <c r="AA41" s="78" t="str" cm="1">
        <f t="array" ref="AA41">INDEX(Ankle!$U9:AC$241, $AH$39 + ROWS($AA$39:AA41), COLUMNS($AA$39:AA41))</f>
        <v>Fousekis</v>
      </c>
      <c r="AB41" s="78" t="str" cm="1">
        <f t="array" ref="AB41">INDEX(Ankle!$U9:AD$241, $AH$39 + ROWS($AA$39:AB41), COLUMNS($AA$39:AB41))</f>
        <v>Soccer</v>
      </c>
      <c r="AC41" s="78" t="str" cm="1">
        <f t="array" ref="AC41">INDEX(Ankle!$U9:AE$241, $AH$39 + ROWS($AA$39:AC41), COLUMNS($AA$39:AC41))</f>
        <v xml:space="preserve">Professional </v>
      </c>
      <c r="AD41" s="78" t="str" cm="1">
        <f t="array" ref="AD41">INDEX(Ankle!$U9:AF$241, $AH$39 + ROWS($AA$39:AD41), COLUMNS($AA$39:AD41))</f>
        <v>N/A</v>
      </c>
      <c r="AE41" s="78" t="str" cm="1">
        <f t="array" ref="AE41">INDEX(Ankle!$U9:AG$241, $AH$39 + ROWS($AA$39:AE41), COLUMNS($AA$39:AE41))</f>
        <v>Male</v>
      </c>
      <c r="AF41" s="78" t="str" cm="1">
        <f t="array" ref="AF41">INDEX(Ankle!$U9:AH$241, $AH$39 + ROWS($AA$39:AF41), COLUMNS($AA$39:AF41))</f>
        <v>Biodex</v>
      </c>
      <c r="AG41" s="71"/>
      <c r="AH41" s="71"/>
      <c r="AI41" s="153"/>
      <c r="AJ41" s="70"/>
    </row>
    <row r="42" spans="1:36" x14ac:dyDescent="0.2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70"/>
      <c r="AA42" s="78" t="str" cm="1">
        <f t="array" ref="AA42">INDEX(Ankle!$U10:AC$241, $AH$39 + ROWS($AA$39:AA42), COLUMNS($AA$39:AA42))</f>
        <v>Fousekis</v>
      </c>
      <c r="AB42" s="78" t="str" cm="1">
        <f t="array" ref="AB42">INDEX(Ankle!$U10:AD$241, $AH$39 + ROWS($AA$39:AB42), COLUMNS($AA$39:AB42))</f>
        <v>Soccer</v>
      </c>
      <c r="AC42" s="78" t="str" cm="1">
        <f t="array" ref="AC42">INDEX(Ankle!$U10:AE$241, $AH$39 + ROWS($AA$39:AC42), COLUMNS($AA$39:AC42))</f>
        <v xml:space="preserve">Professional </v>
      </c>
      <c r="AD42" s="78" t="str" cm="1">
        <f t="array" ref="AD42">INDEX(Ankle!$U10:AF$241, $AH$39 + ROWS($AA$39:AD42), COLUMNS($AA$39:AD42))</f>
        <v>N/A</v>
      </c>
      <c r="AE42" s="78" t="str" cm="1">
        <f t="array" ref="AE42">INDEX(Ankle!$U10:AG$241, $AH$39 + ROWS($AA$39:AE42), COLUMNS($AA$39:AE42))</f>
        <v>Male</v>
      </c>
      <c r="AF42" s="78" t="str" cm="1">
        <f t="array" ref="AF42">INDEX(Ankle!$U10:AH$241, $AH$39 + ROWS($AA$39:AF42), COLUMNS($AA$39:AF42))</f>
        <v>Biodex</v>
      </c>
      <c r="AG42" s="71"/>
      <c r="AH42" s="71"/>
      <c r="AI42" s="153"/>
      <c r="AJ42" s="70"/>
    </row>
    <row r="43" spans="1:36" x14ac:dyDescent="0.25">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70"/>
      <c r="AA43" s="78" t="str" cm="1">
        <f t="array" ref="AA43">INDEX(Ankle!$U11:AC$241, $AH$39 + ROWS($AA$39:AA43), COLUMNS($AA$39:AA43))</f>
        <v>Kai</v>
      </c>
      <c r="AB43" s="78" t="str" cm="1">
        <f t="array" ref="AB43">INDEX(Ankle!$U11:AD$241, $AH$39 + ROWS($AA$39:AB43), COLUMNS($AA$39:AB43))</f>
        <v>Gen Pop</v>
      </c>
      <c r="AC43" s="78" t="str" cm="1">
        <f t="array" ref="AC43">INDEX(Ankle!$U11:AE$241, $AH$39 + ROWS($AA$39:AC43), COLUMNS($AA$39:AC43))</f>
        <v>Gen Pop</v>
      </c>
      <c r="AD43" s="78" t="str" cm="1">
        <f t="array" ref="AD43">INDEX(Ankle!$U11:AF$241, $AH$39 + ROWS($AA$39:AD43), COLUMNS($AA$39:AD43))</f>
        <v>N/A</v>
      </c>
      <c r="AE43" s="78" t="str" cm="1">
        <f t="array" ref="AE43">INDEX(Ankle!$U11:AG$241, $AH$39 + ROWS($AA$39:AE43), COLUMNS($AA$39:AE43))</f>
        <v>Male</v>
      </c>
      <c r="AF43" s="78" t="str" cm="1">
        <f t="array" ref="AF43">INDEX(Ankle!$U11:AH$241, $AH$39 + ROWS($AA$39:AF43), COLUMNS($AA$39:AF43))</f>
        <v>Cybex</v>
      </c>
      <c r="AG43" s="71"/>
      <c r="AH43" s="71"/>
      <c r="AI43" s="153"/>
      <c r="AJ43" s="70"/>
    </row>
    <row r="44" spans="1:36" x14ac:dyDescent="0.25">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70"/>
      <c r="AA44" s="78" t="str" cm="1">
        <f t="array" ref="AA44">INDEX(Ankle!$U12:AC$241, $AH$39 + ROWS($AA$39:AA44), COLUMNS($AA$39:AA44))</f>
        <v>Kai</v>
      </c>
      <c r="AB44" s="78" t="str" cm="1">
        <f t="array" ref="AB44">INDEX(Ankle!$U12:AD$241, $AH$39 + ROWS($AA$39:AB44), COLUMNS($AA$39:AB44))</f>
        <v>Gen Pop</v>
      </c>
      <c r="AC44" s="78" t="str" cm="1">
        <f t="array" ref="AC44">INDEX(Ankle!$U12:AE$241, $AH$39 + ROWS($AA$39:AC44), COLUMNS($AA$39:AC44))</f>
        <v>Gen Pop</v>
      </c>
      <c r="AD44" s="78" t="str" cm="1">
        <f t="array" ref="AD44">INDEX(Ankle!$U12:AF$241, $AH$39 + ROWS($AA$39:AD44), COLUMNS($AA$39:AD44))</f>
        <v>N/A</v>
      </c>
      <c r="AE44" s="78" t="str" cm="1">
        <f t="array" ref="AE44">INDEX(Ankle!$U12:AG$241, $AH$39 + ROWS($AA$39:AE44), COLUMNS($AA$39:AE44))</f>
        <v>Male</v>
      </c>
      <c r="AF44" s="78" t="str" cm="1">
        <f t="array" ref="AF44">INDEX(Ankle!$U12:AH$241, $AH$39 + ROWS($AA$39:AF44), COLUMNS($AA$39:AF44))</f>
        <v>Cybex</v>
      </c>
      <c r="AG44" s="71"/>
      <c r="AH44" s="71"/>
      <c r="AI44" s="153"/>
      <c r="AJ44" s="70"/>
    </row>
    <row r="45" spans="1:36" x14ac:dyDescent="0.2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70"/>
      <c r="AA45" s="78" t="str" cm="1">
        <f t="array" ref="AA45">INDEX(Ankle!$U13:AC$241, $AH$39 + ROWS($AA$39:AA45), COLUMNS($AA$39:AA45))</f>
        <v>Kai</v>
      </c>
      <c r="AB45" s="78" t="str" cm="1">
        <f t="array" ref="AB45">INDEX(Ankle!$U13:AD$241, $AH$39 + ROWS($AA$39:AB45), COLUMNS($AA$39:AB45))</f>
        <v>Gen Pop</v>
      </c>
      <c r="AC45" s="78" t="str" cm="1">
        <f t="array" ref="AC45">INDEX(Ankle!$U13:AE$241, $AH$39 + ROWS($AA$39:AC45), COLUMNS($AA$39:AC45))</f>
        <v>Gen Pop</v>
      </c>
      <c r="AD45" s="78" t="str" cm="1">
        <f t="array" ref="AD45">INDEX(Ankle!$U13:AF$241, $AH$39 + ROWS($AA$39:AD45), COLUMNS($AA$39:AD45))</f>
        <v>N/A</v>
      </c>
      <c r="AE45" s="78" t="str" cm="1">
        <f t="array" ref="AE45">INDEX(Ankle!$U13:AG$241, $AH$39 + ROWS($AA$39:AE45), COLUMNS($AA$39:AE45))</f>
        <v>Male</v>
      </c>
      <c r="AF45" s="78" t="str" cm="1">
        <f t="array" ref="AF45">INDEX(Ankle!$U13:AH$241, $AH$39 + ROWS($AA$39:AF45), COLUMNS($AA$39:AF45))</f>
        <v>Cybex</v>
      </c>
      <c r="AG45" s="71"/>
      <c r="AH45" s="71"/>
      <c r="AI45" s="153"/>
      <c r="AJ45" s="70"/>
    </row>
    <row r="46" spans="1:36" x14ac:dyDescent="0.2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70"/>
      <c r="AA46" s="78" t="str" cm="1">
        <f t="array" ref="AA46">INDEX(Ankle!$U14:AC$241, $AH$39 + ROWS($AA$39:AA46), COLUMNS($AA$39:AA46))</f>
        <v>Song</v>
      </c>
      <c r="AB46" s="78" t="str" cm="1">
        <f t="array" ref="AB46">INDEX(Ankle!$U14:AD$241, $AH$39 + ROWS($AA$39:AB46), COLUMNS($AA$39:AB46))</f>
        <v>Basketball</v>
      </c>
      <c r="AC46" s="78" t="str" cm="1">
        <f t="array" ref="AC46">INDEX(Ankle!$U14:AE$241, $AH$39 + ROWS($AA$39:AC46), COLUMNS($AA$39:AC46))</f>
        <v xml:space="preserve">Professional </v>
      </c>
      <c r="AD46" s="78" t="str" cm="1">
        <f t="array" ref="AD46">INDEX(Ankle!$U14:AF$241, $AH$39 + ROWS($AA$39:AD46), COLUMNS($AA$39:AD46))</f>
        <v>N/A</v>
      </c>
      <c r="AE46" s="78" t="str" cm="1">
        <f t="array" ref="AE46">INDEX(Ankle!$U14:AG$241, $AH$39 + ROWS($AA$39:AE46), COLUMNS($AA$39:AE46))</f>
        <v>Male</v>
      </c>
      <c r="AF46" s="78" t="str" cm="1">
        <f t="array" ref="AF46">INDEX(Ankle!$U14:AH$241, $AH$39 + ROWS($AA$39:AF46), COLUMNS($AA$39:AF46))</f>
        <v>CSMI</v>
      </c>
      <c r="AG46" s="71"/>
      <c r="AH46" s="71"/>
      <c r="AI46" s="153"/>
      <c r="AJ46" s="70"/>
    </row>
    <row r="47" spans="1:36" x14ac:dyDescent="0.2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70"/>
      <c r="AA47" s="78" t="str" cm="1">
        <f t="array" ref="AA47">INDEX(Ankle!$U15:AC$241, $AH$39 + ROWS($AA$39:AA47), COLUMNS($AA$39:AA47))</f>
        <v>Song</v>
      </c>
      <c r="AB47" s="78" t="str" cm="1">
        <f t="array" ref="AB47">INDEX(Ankle!$U15:AD$241, $AH$39 + ROWS($AA$39:AB47), COLUMNS($AA$39:AB47))</f>
        <v>Basketball</v>
      </c>
      <c r="AC47" s="78" t="str" cm="1">
        <f t="array" ref="AC47">INDEX(Ankle!$U15:AE$241, $AH$39 + ROWS($AA$39:AC47), COLUMNS($AA$39:AC47))</f>
        <v xml:space="preserve">Professional </v>
      </c>
      <c r="AD47" s="78" t="str" cm="1">
        <f t="array" ref="AD47">INDEX(Ankle!$U15:AF$241, $AH$39 + ROWS($AA$39:AD47), COLUMNS($AA$39:AD47))</f>
        <v>N/A</v>
      </c>
      <c r="AE47" s="78" t="str" cm="1">
        <f t="array" ref="AE47">INDEX(Ankle!$U15:AG$241, $AH$39 + ROWS($AA$39:AE47), COLUMNS($AA$39:AE47))</f>
        <v>Male</v>
      </c>
      <c r="AF47" s="78" t="str" cm="1">
        <f t="array" ref="AF47">INDEX(Ankle!$U15:AH$241, $AH$39 + ROWS($AA$39:AF47), COLUMNS($AA$39:AF47))</f>
        <v>CSMI</v>
      </c>
      <c r="AG47" s="71"/>
      <c r="AH47" s="71"/>
      <c r="AI47" s="153"/>
      <c r="AJ47" s="70"/>
    </row>
    <row r="48" spans="1:36" x14ac:dyDescent="0.2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70"/>
      <c r="AA48" s="78" t="str" cm="1">
        <f t="array" ref="AA48">INDEX(Ankle!$U16:AC$241, $AH$39 + ROWS($AA$39:AA48), COLUMNS($AA$39:AA48))</f>
        <v>Bradic</v>
      </c>
      <c r="AB48" s="78" t="str" cm="1">
        <f t="array" ref="AB48">INDEX(Ankle!$U16:AD$241, $AH$39 + ROWS($AA$39:AB48), COLUMNS($AA$39:AB48))</f>
        <v>Basketball</v>
      </c>
      <c r="AC48" s="78" t="str" cm="1">
        <f t="array" ref="AC48">INDEX(Ankle!$U16:AE$241, $AH$39 + ROWS($AA$39:AC48), COLUMNS($AA$39:AC48))</f>
        <v xml:space="preserve">Professional </v>
      </c>
      <c r="AD48" s="78" t="str" cm="1">
        <f t="array" ref="AD48">INDEX(Ankle!$U16:AF$241, $AH$39 + ROWS($AA$39:AD48), COLUMNS($AA$39:AD48))</f>
        <v>B.Guards</v>
      </c>
      <c r="AE48" s="78" t="str" cm="1">
        <f t="array" ref="AE48">INDEX(Ankle!$U16:AG$241, $AH$39 + ROWS($AA$39:AE48), COLUMNS($AA$39:AE48))</f>
        <v>Male</v>
      </c>
      <c r="AF48" s="78" t="str" cm="1">
        <f t="array" ref="AF48">INDEX(Ankle!$U16:AH$241, $AH$39 + ROWS($AA$39:AF48), COLUMNS($AA$39:AF48))</f>
        <v>Biodex</v>
      </c>
      <c r="AG48" s="71"/>
      <c r="AH48" s="71"/>
      <c r="AI48" s="153"/>
      <c r="AJ48" s="70"/>
    </row>
    <row r="49" spans="1:36" x14ac:dyDescent="0.2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70"/>
      <c r="AA49" s="78" t="str" cm="1">
        <f t="array" ref="AA49">INDEX(Ankle!$U17:AC$241, $AH$39 + ROWS($AA$39:AA49), COLUMNS($AA$39:AA49))</f>
        <v>Bradic</v>
      </c>
      <c r="AB49" s="78" t="str" cm="1">
        <f t="array" ref="AB49">INDEX(Ankle!$U17:AD$241, $AH$39 + ROWS($AA$39:AB49), COLUMNS($AA$39:AB49))</f>
        <v>Basketball</v>
      </c>
      <c r="AC49" s="78" t="str" cm="1">
        <f t="array" ref="AC49">INDEX(Ankle!$U17:AE$241, $AH$39 + ROWS($AA$39:AC49), COLUMNS($AA$39:AC49))</f>
        <v xml:space="preserve">Professional </v>
      </c>
      <c r="AD49" s="78" t="str" cm="1">
        <f t="array" ref="AD49">INDEX(Ankle!$U17:AF$241, $AH$39 + ROWS($AA$39:AD49), COLUMNS($AA$39:AD49))</f>
        <v>B.Forwards</v>
      </c>
      <c r="AE49" s="78" t="str" cm="1">
        <f t="array" ref="AE49">INDEX(Ankle!$U17:AG$241, $AH$39 + ROWS($AA$39:AE49), COLUMNS($AA$39:AE49))</f>
        <v>Male</v>
      </c>
      <c r="AF49" s="78" t="str" cm="1">
        <f t="array" ref="AF49">INDEX(Ankle!$U17:AH$241, $AH$39 + ROWS($AA$39:AF49), COLUMNS($AA$39:AF49))</f>
        <v>Biodex</v>
      </c>
      <c r="AG49" s="71"/>
      <c r="AH49" s="71"/>
      <c r="AI49" s="153"/>
      <c r="AJ49" s="70"/>
    </row>
    <row r="50" spans="1:36" x14ac:dyDescent="0.2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70"/>
      <c r="AA50" s="78" t="str" cm="1">
        <f t="array" ref="AA50">INDEX(Ankle!$U18:AC$241, $AH$39 + ROWS($AA$39:AA50), COLUMNS($AA$39:AA50))</f>
        <v>Bradic</v>
      </c>
      <c r="AB50" s="78" t="str" cm="1">
        <f t="array" ref="AB50">INDEX(Ankle!$U18:AD$241, $AH$39 + ROWS($AA$39:AB50), COLUMNS($AA$39:AB50))</f>
        <v>Basketball</v>
      </c>
      <c r="AC50" s="78" t="str" cm="1">
        <f t="array" ref="AC50">INDEX(Ankle!$U18:AE$241, $AH$39 + ROWS($AA$39:AC50), COLUMNS($AA$39:AC50))</f>
        <v xml:space="preserve">Professional </v>
      </c>
      <c r="AD50" s="78" t="str" cm="1">
        <f t="array" ref="AD50">INDEX(Ankle!$U18:AF$241, $AH$39 + ROWS($AA$39:AD50), COLUMNS($AA$39:AD50))</f>
        <v>B.Centers</v>
      </c>
      <c r="AE50" s="78" t="str" cm="1">
        <f t="array" ref="AE50">INDEX(Ankle!$U18:AG$241, $AH$39 + ROWS($AA$39:AE50), COLUMNS($AA$39:AE50))</f>
        <v>Male</v>
      </c>
      <c r="AF50" s="78" t="str" cm="1">
        <f t="array" ref="AF50">INDEX(Ankle!$U18:AH$241, $AH$39 + ROWS($AA$39:AF50), COLUMNS($AA$39:AF50))</f>
        <v>Biodex</v>
      </c>
      <c r="AG50" s="71"/>
      <c r="AH50" s="71"/>
      <c r="AI50" s="153"/>
      <c r="AJ50" s="70"/>
    </row>
    <row r="51" spans="1:36" x14ac:dyDescent="0.2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70"/>
      <c r="AA51" s="152"/>
      <c r="AB51" s="71"/>
      <c r="AC51" s="71"/>
      <c r="AD51" s="71"/>
      <c r="AE51" s="71"/>
      <c r="AF51" s="71"/>
      <c r="AG51" s="71"/>
      <c r="AH51" s="71"/>
      <c r="AI51" s="153"/>
      <c r="AJ51" s="70"/>
    </row>
    <row r="52" spans="1:36"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70"/>
      <c r="AA52" s="152"/>
      <c r="AB52" s="71"/>
      <c r="AC52" s="71"/>
      <c r="AD52" s="71"/>
      <c r="AE52" s="71"/>
      <c r="AF52" s="71"/>
      <c r="AG52" s="71"/>
      <c r="AH52" s="71"/>
      <c r="AI52" s="153"/>
      <c r="AJ52" s="70"/>
    </row>
    <row r="53" spans="1:36" x14ac:dyDescent="0.2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70"/>
      <c r="AA53" s="152"/>
      <c r="AB53" s="71"/>
      <c r="AC53" s="71"/>
      <c r="AD53" s="71"/>
      <c r="AE53" s="71"/>
      <c r="AF53" s="71"/>
      <c r="AG53" s="71"/>
      <c r="AH53" s="71"/>
      <c r="AI53" s="153"/>
      <c r="AJ53" s="70"/>
    </row>
    <row r="54" spans="1:36" x14ac:dyDescent="0.2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70"/>
      <c r="AA54" s="152"/>
      <c r="AB54" s="71"/>
      <c r="AC54" s="71"/>
      <c r="AD54" s="71"/>
      <c r="AE54" s="71"/>
      <c r="AF54" s="71"/>
      <c r="AG54" s="71"/>
      <c r="AH54" s="71"/>
      <c r="AI54" s="153"/>
      <c r="AJ54" s="70"/>
    </row>
    <row r="55" spans="1:36" x14ac:dyDescent="0.2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70"/>
      <c r="AA55" s="152"/>
      <c r="AB55" s="71"/>
      <c r="AC55" s="71"/>
      <c r="AD55" s="71"/>
      <c r="AE55" s="71"/>
      <c r="AF55" s="71"/>
      <c r="AG55" s="71"/>
      <c r="AH55" s="71"/>
      <c r="AI55" s="153"/>
      <c r="AJ55" s="70"/>
    </row>
    <row r="56" spans="1:36" x14ac:dyDescent="0.2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70"/>
      <c r="AA56" s="152"/>
      <c r="AB56" s="71"/>
      <c r="AC56" s="71"/>
      <c r="AD56" s="71"/>
      <c r="AE56" s="71"/>
      <c r="AF56" s="71"/>
      <c r="AG56" s="71"/>
      <c r="AH56" s="71"/>
      <c r="AI56" s="153"/>
      <c r="AJ56" s="70"/>
    </row>
    <row r="57" spans="1:36" x14ac:dyDescent="0.2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70"/>
      <c r="AA57" s="152"/>
      <c r="AB57" s="71"/>
      <c r="AC57" s="71"/>
      <c r="AD57" s="71"/>
      <c r="AE57" s="71"/>
      <c r="AF57" s="71"/>
      <c r="AG57" s="71"/>
      <c r="AH57" s="71"/>
      <c r="AI57" s="153"/>
      <c r="AJ57" s="70"/>
    </row>
    <row r="58" spans="1:36"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70"/>
      <c r="AA58" s="152"/>
      <c r="AB58" s="71"/>
      <c r="AC58" s="71"/>
      <c r="AD58" s="71"/>
      <c r="AE58" s="71"/>
      <c r="AF58" s="71"/>
      <c r="AG58" s="71"/>
      <c r="AH58" s="71"/>
      <c r="AI58" s="153"/>
      <c r="AJ58" s="70"/>
    </row>
    <row r="59" spans="1:36" x14ac:dyDescent="0.2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70"/>
      <c r="AA59" s="152"/>
      <c r="AB59" s="71"/>
      <c r="AC59" s="71"/>
      <c r="AD59" s="71"/>
      <c r="AE59" s="71"/>
      <c r="AF59" s="71"/>
      <c r="AG59" s="71"/>
      <c r="AH59" s="71"/>
      <c r="AI59" s="153"/>
      <c r="AJ59" s="70"/>
    </row>
    <row r="60" spans="1:36" x14ac:dyDescent="0.2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70"/>
      <c r="AA60" s="152"/>
      <c r="AB60" s="71"/>
      <c r="AC60" s="71"/>
      <c r="AD60" s="71"/>
      <c r="AE60" s="71"/>
      <c r="AF60" s="71"/>
      <c r="AG60" s="71"/>
      <c r="AH60" s="71"/>
      <c r="AI60" s="153"/>
      <c r="AJ60" s="70"/>
    </row>
    <row r="61" spans="1:36" x14ac:dyDescent="0.2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70"/>
      <c r="AA61" s="152"/>
      <c r="AB61" s="71"/>
      <c r="AC61" s="71"/>
      <c r="AD61" s="71"/>
      <c r="AE61" s="71"/>
      <c r="AF61" s="71"/>
      <c r="AG61" s="71"/>
      <c r="AH61" s="71"/>
      <c r="AI61" s="153"/>
      <c r="AJ61" s="70"/>
    </row>
    <row r="62" spans="1:36" x14ac:dyDescent="0.2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70"/>
      <c r="AA62" s="152"/>
      <c r="AB62" s="71"/>
      <c r="AC62" s="71"/>
      <c r="AD62" s="71"/>
      <c r="AE62" s="71"/>
      <c r="AF62" s="71"/>
      <c r="AG62" s="71"/>
      <c r="AH62" s="71"/>
      <c r="AI62" s="153"/>
      <c r="AJ62" s="70"/>
    </row>
    <row r="63" spans="1:36" x14ac:dyDescent="0.2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70"/>
      <c r="AA63" s="152"/>
      <c r="AB63" s="71"/>
      <c r="AC63" s="71"/>
      <c r="AD63" s="71"/>
      <c r="AE63" s="71"/>
      <c r="AF63" s="71"/>
      <c r="AG63" s="71"/>
      <c r="AH63" s="71"/>
      <c r="AI63" s="153"/>
      <c r="AJ63" s="70"/>
    </row>
    <row r="64" spans="1:36" x14ac:dyDescent="0.2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70"/>
      <c r="AA64" s="152"/>
      <c r="AB64" s="71"/>
      <c r="AC64" s="71"/>
      <c r="AD64" s="71"/>
      <c r="AE64" s="71"/>
      <c r="AF64" s="71"/>
      <c r="AG64" s="71"/>
      <c r="AH64" s="71"/>
      <c r="AI64" s="153"/>
      <c r="AJ64" s="70"/>
    </row>
    <row r="65" spans="1:36" x14ac:dyDescent="0.2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70"/>
      <c r="AA65" s="152"/>
      <c r="AB65" s="71"/>
      <c r="AC65" s="71"/>
      <c r="AD65" s="71"/>
      <c r="AE65" s="71"/>
      <c r="AF65" s="71"/>
      <c r="AG65" s="71"/>
      <c r="AH65" s="71"/>
      <c r="AI65" s="153"/>
      <c r="AJ65" s="70"/>
    </row>
    <row r="66" spans="1:36" ht="15.75" thickBot="1" x14ac:dyDescent="0.3">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70"/>
      <c r="AA66" s="162"/>
      <c r="AB66" s="163"/>
      <c r="AC66" s="163"/>
      <c r="AD66" s="163"/>
      <c r="AE66" s="163"/>
      <c r="AF66" s="163"/>
      <c r="AG66" s="163"/>
      <c r="AH66" s="163"/>
      <c r="AI66" s="164"/>
      <c r="AJ66" s="70"/>
    </row>
    <row r="67" spans="1:36" x14ac:dyDescent="0.25">
      <c r="A67" s="70"/>
      <c r="B67" s="70"/>
      <c r="C67" s="70"/>
      <c r="D67" s="70"/>
      <c r="E67" s="70"/>
      <c r="F67" s="70"/>
      <c r="G67" s="70"/>
      <c r="H67" s="70"/>
      <c r="I67" s="70"/>
      <c r="J67" s="70"/>
      <c r="K67" s="70"/>
      <c r="L67" s="70"/>
      <c r="M67" s="70"/>
      <c r="N67" s="70"/>
      <c r="O67" s="70"/>
      <c r="P67" s="70"/>
      <c r="Q67" s="70"/>
      <c r="R67" s="70"/>
      <c r="S67" s="70"/>
      <c r="T67" s="70"/>
      <c r="U67" s="70"/>
      <c r="V67" s="70"/>
      <c r="W67" s="70"/>
      <c r="X67" s="70"/>
      <c r="Y67" s="70"/>
      <c r="Z67" s="7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6" r:id="rId3" name="Scroll Bar 4">
              <controlPr defaultSize="0" autoPict="0">
                <anchor moveWithCells="1">
                  <from>
                    <xdr:col>33</xdr:col>
                    <xdr:colOff>171450</xdr:colOff>
                    <xdr:row>23</xdr:row>
                    <xdr:rowOff>85725</xdr:rowOff>
                  </from>
                  <to>
                    <xdr:col>33</xdr:col>
                    <xdr:colOff>533400</xdr:colOff>
                    <xdr:row>31</xdr:row>
                    <xdr:rowOff>66675</xdr:rowOff>
                  </to>
                </anchor>
              </controlPr>
            </control>
          </mc:Choice>
        </mc:AlternateContent>
        <mc:AlternateContent xmlns:mc="http://schemas.openxmlformats.org/markup-compatibility/2006">
          <mc:Choice Requires="x14">
            <control shapeId="3081" r:id="rId4" name="Scroll Bar 9">
              <controlPr defaultSize="0" autoPict="0">
                <anchor moveWithCells="1">
                  <from>
                    <xdr:col>33</xdr:col>
                    <xdr:colOff>180975</xdr:colOff>
                    <xdr:row>39</xdr:row>
                    <xdr:rowOff>57150</xdr:rowOff>
                  </from>
                  <to>
                    <xdr:col>33</xdr:col>
                    <xdr:colOff>533400</xdr:colOff>
                    <xdr:row>46</xdr:row>
                    <xdr:rowOff>180975</xdr:rowOff>
                  </to>
                </anchor>
              </controlPr>
            </control>
          </mc:Choice>
        </mc:AlternateContent>
        <mc:AlternateContent xmlns:mc="http://schemas.openxmlformats.org/markup-compatibility/2006">
          <mc:Choice Requires="x14">
            <control shapeId="3086" r:id="rId5" name="Scroll Bar 14">
              <controlPr defaultSize="0" autoPict="0">
                <anchor moveWithCells="1">
                  <from>
                    <xdr:col>33</xdr:col>
                    <xdr:colOff>209550</xdr:colOff>
                    <xdr:row>6</xdr:row>
                    <xdr:rowOff>66675</xdr:rowOff>
                  </from>
                  <to>
                    <xdr:col>33</xdr:col>
                    <xdr:colOff>533400</xdr:colOff>
                    <xdr:row>14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9BDE8-CA1A-4756-B2AC-D26D551A4DC3}">
  <sheetPr codeName="Sheet1"/>
  <dimension ref="A1:DS741"/>
  <sheetViews>
    <sheetView tabSelected="1" zoomScale="70" zoomScaleNormal="70" workbookViewId="0"/>
  </sheetViews>
  <sheetFormatPr defaultRowHeight="15" x14ac:dyDescent="0.25"/>
  <cols>
    <col min="1" max="1" width="9.28515625" customWidth="1"/>
    <col min="2" max="2" width="25.28515625" customWidth="1"/>
    <col min="3" max="3" width="13.5703125" customWidth="1"/>
    <col min="4" max="4" width="13" customWidth="1"/>
    <col min="5" max="5" width="15.28515625" customWidth="1"/>
    <col min="6" max="6" width="15.7109375" customWidth="1"/>
    <col min="7" max="7" width="19" customWidth="1"/>
    <col min="8" max="8" width="12.28515625" customWidth="1"/>
    <col min="9" max="9" width="4.85546875" customWidth="1"/>
    <col min="10" max="10" width="11.42578125" customWidth="1"/>
    <col min="11" max="11" width="16" customWidth="1"/>
    <col min="12" max="12" width="8.7109375" customWidth="1"/>
    <col min="13" max="13" width="11.42578125" customWidth="1"/>
    <col min="14" max="14" width="13.85546875" customWidth="1"/>
    <col min="15" max="15" width="14.7109375" customWidth="1"/>
    <col min="16" max="16" width="15.85546875" customWidth="1"/>
    <col min="17" max="17" width="13.28515625" customWidth="1"/>
    <col min="18" max="18" width="18.5703125" customWidth="1"/>
    <col min="19" max="19" width="13.42578125" customWidth="1"/>
    <col min="20" max="20" width="14.42578125" customWidth="1"/>
    <col min="21" max="21" width="14.85546875" customWidth="1"/>
    <col min="22" max="22" width="12.85546875" customWidth="1"/>
    <col min="23" max="23" width="10.42578125" customWidth="1"/>
    <col min="24" max="24" width="13.85546875" customWidth="1"/>
    <col min="25" max="25" width="12.85546875" customWidth="1"/>
    <col min="26" max="26" width="9.7109375" customWidth="1"/>
    <col min="27" max="27" width="10.42578125" customWidth="1"/>
    <col min="28" max="28" width="11.28515625" customWidth="1"/>
    <col min="29" max="29" width="12.85546875" customWidth="1"/>
    <col min="30" max="30" width="17" customWidth="1"/>
    <col min="31" max="31" width="14.42578125" customWidth="1"/>
    <col min="32" max="32" width="7.7109375" customWidth="1"/>
    <col min="33" max="33" width="5.85546875" customWidth="1"/>
  </cols>
  <sheetData>
    <row r="1" spans="1:123" ht="24" x14ac:dyDescent="0.4">
      <c r="A1" s="1"/>
      <c r="B1" s="2"/>
      <c r="C1" s="2"/>
      <c r="D1" s="2"/>
      <c r="E1" s="251"/>
      <c r="F1" s="251"/>
      <c r="G1" s="251"/>
      <c r="H1" s="251"/>
      <c r="I1" s="2"/>
      <c r="J1" s="1"/>
      <c r="K1" s="2"/>
      <c r="L1" s="10"/>
      <c r="M1" s="11"/>
      <c r="N1" s="11"/>
      <c r="O1" s="251" t="s">
        <v>1</v>
      </c>
      <c r="P1" s="251"/>
      <c r="Q1" s="251"/>
      <c r="R1" s="251"/>
      <c r="S1" s="2"/>
      <c r="T1" s="2"/>
      <c r="U1" s="2"/>
      <c r="V1" s="2"/>
      <c r="W1" s="2"/>
      <c r="X1" s="2"/>
      <c r="Y1" s="2"/>
      <c r="Z1" s="2"/>
      <c r="AA1" s="2"/>
      <c r="AB1" s="2"/>
      <c r="AC1" s="2"/>
      <c r="AD1" s="2"/>
      <c r="AE1" s="2"/>
      <c r="AF1" s="2"/>
      <c r="AG1" s="200"/>
    </row>
    <row r="2" spans="1:123" ht="21" customHeight="1" x14ac:dyDescent="0.35">
      <c r="A2" s="1"/>
      <c r="B2" s="2"/>
      <c r="C2" s="2"/>
      <c r="D2" s="2"/>
      <c r="E2" s="2"/>
      <c r="F2" s="2"/>
      <c r="G2" s="8"/>
      <c r="H2" s="8"/>
      <c r="I2" s="8"/>
      <c r="J2" s="1"/>
      <c r="K2" s="2"/>
      <c r="L2" s="2"/>
      <c r="M2" s="2"/>
      <c r="N2" s="2"/>
      <c r="O2" s="2" t="s">
        <v>149</v>
      </c>
      <c r="P2" s="2" t="s">
        <v>149</v>
      </c>
      <c r="Q2" s="2"/>
      <c r="R2" s="2"/>
      <c r="S2" s="2"/>
      <c r="T2" s="36"/>
      <c r="U2" s="12"/>
      <c r="V2" s="12"/>
      <c r="W2" s="12"/>
      <c r="X2" s="2"/>
      <c r="Y2" s="2"/>
      <c r="Z2" s="2"/>
      <c r="AA2" s="2"/>
      <c r="AB2" s="2"/>
      <c r="AC2" s="2"/>
      <c r="AD2" s="2"/>
      <c r="AE2" s="2"/>
      <c r="AF2" s="2"/>
      <c r="AG2" s="200"/>
    </row>
    <row r="3" spans="1:123" ht="15" customHeight="1" x14ac:dyDescent="0.25">
      <c r="A3" s="247"/>
      <c r="B3" s="247"/>
      <c r="C3" s="12"/>
      <c r="D3" s="12"/>
      <c r="E3" s="8"/>
      <c r="F3" s="8"/>
      <c r="G3" s="8"/>
      <c r="H3" s="8"/>
      <c r="I3" s="8"/>
      <c r="J3" s="247"/>
      <c r="K3" s="247"/>
      <c r="L3" s="247"/>
      <c r="M3" s="247"/>
      <c r="N3" s="2"/>
      <c r="O3" s="2"/>
      <c r="P3" s="2"/>
      <c r="Q3" s="2"/>
      <c r="R3" s="2"/>
      <c r="S3" s="2"/>
      <c r="T3" s="2"/>
      <c r="U3" s="2"/>
      <c r="V3" s="248"/>
      <c r="W3" s="248"/>
      <c r="X3" s="2"/>
      <c r="Y3" s="2"/>
      <c r="Z3" s="2"/>
      <c r="AA3" s="2"/>
      <c r="AB3" s="2"/>
      <c r="AC3" s="2"/>
      <c r="AD3" s="2"/>
      <c r="AE3" s="2"/>
      <c r="AF3" s="2"/>
      <c r="AG3" s="200"/>
    </row>
    <row r="4" spans="1:123" x14ac:dyDescent="0.25">
      <c r="A4" s="16"/>
      <c r="B4" s="2"/>
      <c r="C4" s="2"/>
      <c r="D4" s="2"/>
      <c r="E4" s="8"/>
      <c r="F4" s="8"/>
      <c r="G4" s="8"/>
      <c r="H4" s="8"/>
      <c r="I4" s="2"/>
      <c r="J4" s="16"/>
      <c r="K4" s="2"/>
      <c r="L4" s="2"/>
      <c r="M4" s="2"/>
      <c r="N4" s="2"/>
      <c r="O4" s="3" t="s">
        <v>3</v>
      </c>
      <c r="P4" s="3" t="s">
        <v>4</v>
      </c>
      <c r="Q4" s="3" t="s">
        <v>6</v>
      </c>
      <c r="R4" s="3" t="s">
        <v>5</v>
      </c>
      <c r="S4" s="3" t="s">
        <v>11</v>
      </c>
      <c r="T4" s="3" t="s">
        <v>180</v>
      </c>
      <c r="U4" s="26"/>
      <c r="V4" s="38"/>
      <c r="W4" s="2"/>
      <c r="X4" s="26"/>
      <c r="Y4" s="26"/>
      <c r="Z4" s="26"/>
      <c r="AA4" s="26"/>
      <c r="AB4" s="26"/>
      <c r="AC4" s="26"/>
      <c r="AD4" s="26"/>
      <c r="AE4" s="26"/>
      <c r="AF4" s="26"/>
      <c r="AG4" s="201"/>
      <c r="AH4" s="9"/>
      <c r="AI4" s="9"/>
      <c r="AJ4" s="9"/>
      <c r="AK4" s="9"/>
      <c r="AL4" s="9"/>
      <c r="AM4" s="9"/>
      <c r="AN4" s="9"/>
      <c r="AO4" s="9"/>
      <c r="AP4" s="9"/>
      <c r="AQ4" s="9"/>
      <c r="AR4" s="9"/>
      <c r="AS4" s="9"/>
      <c r="AT4" s="9"/>
      <c r="AU4" s="9"/>
    </row>
    <row r="5" spans="1:123" ht="15" customHeight="1" x14ac:dyDescent="0.25">
      <c r="A5" s="16"/>
      <c r="B5" s="2"/>
      <c r="C5" s="2"/>
      <c r="D5" s="2"/>
      <c r="E5" s="2"/>
      <c r="F5" s="2"/>
      <c r="G5" s="2"/>
      <c r="H5" s="2"/>
      <c r="I5" s="2"/>
      <c r="J5" s="16"/>
      <c r="K5" s="2"/>
      <c r="L5" s="2"/>
      <c r="M5" s="2"/>
      <c r="N5" s="2"/>
      <c r="O5" t="str" cm="1">
        <f t="array" ref="O5:T254">_xlfn.CHOOSECOLS(
    _xlfn._xlws.FILTER(
        KneeTable[],
        (ISNUMBER(SEARCH(O2, KneeTable[Source])) +
         ISNUMBER(SEARCH(O2, KneeTable[Sport])) +
         ISNUMBER(SEARCH(O2, KneeTable[Group])) +
         ISNUMBER(SEARCH(O2, KneeTable[Positions])) +
         ISNUMBER(SEARCH(O2, KneeTable[Gender])) +
         ISNUMBER(SEARCH(O2, KneeTable[Machine Type]))) &gt; 0,
        "No Results Found"
    ),
    3, 5, 6, 7, 12, 14
)</f>
        <v>Bamaç</v>
      </c>
      <c r="P5" s="28" t="str">
        <v>Volleyball</v>
      </c>
      <c r="Q5" s="28" t="str">
        <v>Elite</v>
      </c>
      <c r="R5" s="28" t="str">
        <v>N/A</v>
      </c>
      <c r="S5" s="28" t="str">
        <v>Male</v>
      </c>
      <c r="T5" s="28" t="str">
        <v>Biodex</v>
      </c>
      <c r="U5" s="2"/>
      <c r="V5" s="38"/>
      <c r="W5" s="2"/>
      <c r="X5" s="2"/>
      <c r="Y5" s="2"/>
      <c r="Z5" s="2"/>
      <c r="AA5" s="2"/>
      <c r="AB5" s="2"/>
      <c r="AC5" s="2"/>
      <c r="AD5" s="2"/>
      <c r="AE5" s="2"/>
      <c r="AF5" s="2"/>
      <c r="AG5" s="200"/>
    </row>
    <row r="6" spans="1:123" ht="15" customHeight="1" x14ac:dyDescent="0.25">
      <c r="A6" s="16"/>
      <c r="B6" s="2"/>
      <c r="C6" s="2"/>
      <c r="D6" s="2"/>
      <c r="E6" s="4"/>
      <c r="F6" s="4"/>
      <c r="G6" s="4"/>
      <c r="H6" s="4"/>
      <c r="I6" s="4"/>
      <c r="J6" s="16"/>
      <c r="K6" s="2"/>
      <c r="L6" s="2"/>
      <c r="M6" s="2"/>
      <c r="N6" s="2"/>
      <c r="O6" s="29" t="str">
        <v>Bamaç</v>
      </c>
      <c r="P6" s="29" t="str">
        <v>Basketball</v>
      </c>
      <c r="Q6" s="29" t="str">
        <v>Elite</v>
      </c>
      <c r="R6" s="29" t="str">
        <v>N/A</v>
      </c>
      <c r="S6" s="29" t="str">
        <v>Male</v>
      </c>
      <c r="T6" s="29" t="str">
        <v>Biodex</v>
      </c>
      <c r="U6" s="2"/>
      <c r="V6" s="248"/>
      <c r="W6" s="248"/>
      <c r="X6" s="2"/>
      <c r="Y6" s="2"/>
      <c r="Z6" s="2"/>
      <c r="AA6" s="2"/>
      <c r="AB6" s="2"/>
      <c r="AC6" s="2"/>
      <c r="AD6" s="2"/>
      <c r="AE6" s="2"/>
      <c r="AF6" s="2"/>
      <c r="AG6" s="200"/>
    </row>
    <row r="7" spans="1:123" x14ac:dyDescent="0.25">
      <c r="A7" s="16"/>
      <c r="B7" s="13"/>
      <c r="C7" s="13"/>
      <c r="D7" s="13"/>
      <c r="E7" s="4"/>
      <c r="F7" s="7"/>
      <c r="G7" s="7"/>
      <c r="H7" s="4"/>
      <c r="I7" s="7"/>
      <c r="J7" s="16"/>
      <c r="K7" s="13"/>
      <c r="L7" s="4"/>
      <c r="M7" s="4"/>
      <c r="N7" s="4"/>
      <c r="O7" s="29" t="str">
        <v>Bamaç</v>
      </c>
      <c r="P7" s="29" t="str">
        <v>Gen Pop</v>
      </c>
      <c r="Q7" s="29" t="str">
        <v>Adults</v>
      </c>
      <c r="R7" s="29" t="str">
        <v>N/A</v>
      </c>
      <c r="S7" s="29" t="str">
        <v>Male</v>
      </c>
      <c r="T7" s="29" t="str">
        <v>Biodex</v>
      </c>
      <c r="U7" s="2"/>
      <c r="V7" s="38"/>
      <c r="W7" s="2"/>
      <c r="X7" s="2"/>
      <c r="Y7" s="2"/>
      <c r="Z7" s="2"/>
      <c r="AA7" s="2"/>
      <c r="AB7" s="2"/>
      <c r="AC7" s="2"/>
      <c r="AD7" s="2"/>
      <c r="AE7" s="2"/>
      <c r="AF7" s="2"/>
      <c r="AG7" s="200"/>
    </row>
    <row r="8" spans="1:123" ht="15.75" x14ac:dyDescent="0.25">
      <c r="A8" s="16"/>
      <c r="B8" s="14"/>
      <c r="C8" s="14"/>
      <c r="D8" s="14"/>
      <c r="E8" s="4"/>
      <c r="F8" s="5"/>
      <c r="G8" s="5"/>
      <c r="H8" s="4"/>
      <c r="I8" s="5"/>
      <c r="J8" s="16"/>
      <c r="K8" s="14"/>
      <c r="L8" s="4"/>
      <c r="M8" s="4"/>
      <c r="N8" s="4"/>
      <c r="O8" s="29" t="str">
        <v>Bamaç</v>
      </c>
      <c r="P8" s="29" t="str">
        <v>Volleyball</v>
      </c>
      <c r="Q8" s="29" t="str">
        <v>Elite</v>
      </c>
      <c r="R8" s="29" t="str">
        <v>N/A</v>
      </c>
      <c r="S8" s="29" t="str">
        <v>Male</v>
      </c>
      <c r="T8" s="29" t="str">
        <v>Biodex</v>
      </c>
      <c r="U8" s="2"/>
      <c r="V8" s="38"/>
      <c r="W8" s="2"/>
      <c r="X8" s="2"/>
      <c r="Y8" s="2"/>
      <c r="Z8" s="2"/>
      <c r="AA8" s="2"/>
      <c r="AB8" s="2"/>
      <c r="AC8" s="2"/>
      <c r="AD8" s="2"/>
      <c r="AE8" s="2"/>
      <c r="AF8" s="2"/>
      <c r="AG8" s="200"/>
    </row>
    <row r="9" spans="1:123" ht="15.75" customHeight="1" x14ac:dyDescent="0.25">
      <c r="A9" s="5"/>
      <c r="B9" s="5"/>
      <c r="C9" s="5"/>
      <c r="D9" s="5"/>
      <c r="E9" s="4"/>
      <c r="F9" s="4"/>
      <c r="G9" s="4"/>
      <c r="H9" s="4"/>
      <c r="I9" s="4"/>
      <c r="J9" s="4"/>
      <c r="K9" s="4"/>
      <c r="L9" s="4"/>
      <c r="M9" s="4"/>
      <c r="N9" s="4"/>
      <c r="O9" s="29" t="str">
        <v>Bamaç</v>
      </c>
      <c r="P9" s="29" t="str">
        <v>Basketball</v>
      </c>
      <c r="Q9" s="29" t="str">
        <v>Elite</v>
      </c>
      <c r="R9" s="29" t="str">
        <v>N/A</v>
      </c>
      <c r="S9" s="29" t="str">
        <v>Male</v>
      </c>
      <c r="T9" s="29" t="str">
        <v>Biodex</v>
      </c>
      <c r="U9" s="2"/>
      <c r="V9" s="38"/>
      <c r="W9" s="2"/>
      <c r="X9" s="2"/>
      <c r="Y9" s="2"/>
      <c r="Z9" s="2"/>
      <c r="AA9" s="2"/>
      <c r="AB9" s="2"/>
      <c r="AC9" s="2"/>
      <c r="AD9" s="2"/>
      <c r="AE9" s="2"/>
      <c r="AF9" s="2"/>
      <c r="AG9" s="200"/>
    </row>
    <row r="10" spans="1:123" ht="15.75" customHeight="1" x14ac:dyDescent="0.25">
      <c r="A10" s="5"/>
      <c r="B10" s="5"/>
      <c r="C10" s="5"/>
      <c r="D10" s="5"/>
      <c r="E10" s="5"/>
      <c r="F10" s="4"/>
      <c r="G10" s="4"/>
      <c r="H10" s="5"/>
      <c r="I10" s="5"/>
      <c r="J10" s="4"/>
      <c r="K10" s="4"/>
      <c r="L10" s="248"/>
      <c r="M10" s="248"/>
      <c r="N10" s="4"/>
      <c r="O10" s="29" t="str">
        <v>Bamaç</v>
      </c>
      <c r="P10" s="29" t="str">
        <v>Gen Pop</v>
      </c>
      <c r="Q10" s="29" t="str">
        <v>Adults</v>
      </c>
      <c r="R10" s="29" t="str">
        <v>N/A</v>
      </c>
      <c r="S10" s="29" t="str">
        <v>Male</v>
      </c>
      <c r="T10" s="29" t="str">
        <v>Biodex</v>
      </c>
      <c r="U10" s="2"/>
      <c r="V10" s="38"/>
      <c r="W10" s="2"/>
      <c r="X10" s="2"/>
      <c r="Y10" s="2"/>
      <c r="Z10" s="2"/>
      <c r="AA10" s="2"/>
      <c r="AB10" s="2"/>
      <c r="AC10" s="2"/>
      <c r="AD10" s="2"/>
      <c r="AE10" s="2"/>
      <c r="AF10" s="2"/>
      <c r="AG10" s="200"/>
    </row>
    <row r="11" spans="1:123" ht="15.75" x14ac:dyDescent="0.25">
      <c r="A11" s="5"/>
      <c r="B11" s="5"/>
      <c r="C11" s="5"/>
      <c r="D11" s="5"/>
      <c r="E11" s="5"/>
      <c r="F11" s="4"/>
      <c r="G11" s="4"/>
      <c r="H11" s="5"/>
      <c r="I11" s="5"/>
      <c r="J11" s="4"/>
      <c r="K11" s="4"/>
      <c r="L11" s="38"/>
      <c r="M11" s="2"/>
      <c r="N11" s="4"/>
      <c r="O11" s="29" t="str">
        <v>Bamaç</v>
      </c>
      <c r="P11" s="29" t="str">
        <v>Volleyball</v>
      </c>
      <c r="Q11" s="29" t="str">
        <v>Elite</v>
      </c>
      <c r="R11" s="29" t="str">
        <v>N/A</v>
      </c>
      <c r="S11" s="29" t="str">
        <v>Male</v>
      </c>
      <c r="T11" s="29" t="str">
        <v>Biodex</v>
      </c>
      <c r="U11" s="2"/>
      <c r="V11" s="37"/>
      <c r="W11" s="2"/>
      <c r="X11" s="2"/>
      <c r="Y11" s="2"/>
      <c r="Z11" s="2"/>
      <c r="AA11" s="2"/>
      <c r="AB11" s="2"/>
      <c r="AC11" s="2"/>
      <c r="AD11" s="2"/>
      <c r="AE11" s="2"/>
      <c r="AF11" s="2"/>
      <c r="AG11" s="200"/>
    </row>
    <row r="12" spans="1:123" ht="15.75" x14ac:dyDescent="0.25">
      <c r="A12" s="5"/>
      <c r="B12" s="5"/>
      <c r="C12" s="5"/>
      <c r="D12" s="5"/>
      <c r="E12" s="5"/>
      <c r="F12" s="4"/>
      <c r="G12" s="4"/>
      <c r="H12" s="5"/>
      <c r="I12" s="5"/>
      <c r="J12" s="4"/>
      <c r="K12" s="4"/>
      <c r="L12" s="38"/>
      <c r="M12" s="2"/>
      <c r="N12" s="4"/>
      <c r="O12" s="29" t="str">
        <v>Bamaç</v>
      </c>
      <c r="P12" s="29" t="str">
        <v>Basketball</v>
      </c>
      <c r="Q12" s="29" t="str">
        <v>Elite</v>
      </c>
      <c r="R12" s="29" t="str">
        <v>N/A</v>
      </c>
      <c r="S12" s="29" t="str">
        <v>Male</v>
      </c>
      <c r="T12" s="29" t="str">
        <v>Biodex</v>
      </c>
      <c r="U12" s="2"/>
      <c r="V12" s="2"/>
      <c r="W12" s="2"/>
      <c r="X12" s="2"/>
      <c r="Y12" s="2"/>
      <c r="Z12" s="2"/>
      <c r="AA12" s="2"/>
      <c r="AB12" s="2"/>
      <c r="AC12" s="2"/>
      <c r="AD12" s="2"/>
      <c r="AE12" s="2"/>
      <c r="AF12" s="2"/>
      <c r="AG12" s="200"/>
    </row>
    <row r="13" spans="1:123" ht="15.75" x14ac:dyDescent="0.25">
      <c r="A13" s="5"/>
      <c r="B13" s="5"/>
      <c r="C13" s="5"/>
      <c r="D13" s="5"/>
      <c r="E13" s="5"/>
      <c r="F13" s="4"/>
      <c r="G13" s="4"/>
      <c r="H13" s="5"/>
      <c r="I13" s="5"/>
      <c r="J13" s="4"/>
      <c r="K13" s="4"/>
      <c r="L13" s="38"/>
      <c r="M13" s="2"/>
      <c r="N13" s="4"/>
      <c r="O13" s="29" t="str">
        <v>Bamaç</v>
      </c>
      <c r="P13" s="29" t="str">
        <v>Gen Pop</v>
      </c>
      <c r="Q13" s="29" t="str">
        <v>Adults</v>
      </c>
      <c r="R13" s="29" t="str">
        <v>N/A</v>
      </c>
      <c r="S13" s="29" t="str">
        <v>Male</v>
      </c>
      <c r="T13" s="29" t="str">
        <v>Biodex</v>
      </c>
      <c r="U13" s="2"/>
      <c r="V13" s="2"/>
      <c r="W13" s="2"/>
      <c r="X13" s="2"/>
      <c r="Y13" s="2"/>
      <c r="Z13" s="2"/>
      <c r="AA13" s="2"/>
      <c r="AB13" s="2"/>
      <c r="AC13" s="2"/>
      <c r="AD13" s="2"/>
      <c r="AE13" s="2"/>
      <c r="AF13" s="2"/>
      <c r="AG13" s="200"/>
    </row>
    <row r="14" spans="1:123" ht="15.75" x14ac:dyDescent="0.25">
      <c r="A14" s="5"/>
      <c r="B14" s="5"/>
      <c r="C14" s="5"/>
      <c r="D14" s="5"/>
      <c r="E14" s="5"/>
      <c r="F14" s="4"/>
      <c r="G14" s="4"/>
      <c r="H14" s="5"/>
      <c r="I14" s="5"/>
      <c r="J14" s="4"/>
      <c r="K14" s="4"/>
      <c r="L14" s="37"/>
      <c r="M14" s="2"/>
      <c r="N14" s="4"/>
      <c r="O14" s="29" t="str">
        <v>Baumgart</v>
      </c>
      <c r="P14" s="29" t="str">
        <v>Mixed Sport</v>
      </c>
      <c r="Q14" s="29" t="str">
        <v>Adults</v>
      </c>
      <c r="R14" s="29" t="str">
        <v>N/A</v>
      </c>
      <c r="S14" s="29" t="str">
        <v>Mixed</v>
      </c>
      <c r="T14" s="29" t="str">
        <v>Biodex</v>
      </c>
      <c r="U14" s="2"/>
      <c r="V14" s="2"/>
      <c r="W14" s="2"/>
      <c r="X14" s="2"/>
      <c r="Y14" s="2"/>
      <c r="Z14" s="2"/>
      <c r="AA14" s="2"/>
      <c r="AB14" s="2"/>
      <c r="AC14" s="2"/>
      <c r="AD14" s="2"/>
      <c r="AE14" s="2"/>
      <c r="AF14" s="2"/>
      <c r="AG14" s="200"/>
    </row>
    <row r="15" spans="1:123" s="2" customFormat="1" x14ac:dyDescent="0.25">
      <c r="O15" s="28" t="str">
        <v>Baumgart</v>
      </c>
      <c r="P15" s="28" t="str">
        <v>Mixed Sport</v>
      </c>
      <c r="Q15" s="28" t="str">
        <v>Adults</v>
      </c>
      <c r="R15" s="28" t="str">
        <v>N/A</v>
      </c>
      <c r="S15" s="28" t="str">
        <v>Mixed</v>
      </c>
      <c r="T15" s="28" t="str">
        <v>Biodex</v>
      </c>
      <c r="V15" s="38"/>
      <c r="AG15" s="200"/>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row>
    <row r="16" spans="1:123" s="2" customFormat="1" ht="24" x14ac:dyDescent="0.4">
      <c r="F16" s="10"/>
      <c r="O16" s="28" t="str">
        <v>Baumgart</v>
      </c>
      <c r="P16" s="28" t="str">
        <v>Mixed Sport</v>
      </c>
      <c r="Q16" s="28" t="str">
        <v>Adults</v>
      </c>
      <c r="R16" s="28" t="str">
        <v>N/A</v>
      </c>
      <c r="S16" s="28" t="str">
        <v>Mixed</v>
      </c>
      <c r="T16" s="28" t="str">
        <v>Biodex</v>
      </c>
      <c r="V16" s="38"/>
      <c r="AG16" s="200"/>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row>
    <row r="17" spans="3:123" s="2" customFormat="1" ht="26.45" customHeight="1" x14ac:dyDescent="0.25">
      <c r="O17" s="28" t="str">
        <v>Baumgart</v>
      </c>
      <c r="P17" s="28" t="str">
        <v>Mixed Sport</v>
      </c>
      <c r="Q17" s="28" t="str">
        <v>Adults</v>
      </c>
      <c r="R17" s="28" t="str">
        <v>N/A</v>
      </c>
      <c r="S17" s="28" t="str">
        <v>Mixed</v>
      </c>
      <c r="T17" s="28" t="str">
        <v>Biodex</v>
      </c>
      <c r="V17" s="38"/>
      <c r="AG17" s="200"/>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row>
    <row r="18" spans="3:123" s="2" customFormat="1" ht="27" hidden="1" customHeight="1" x14ac:dyDescent="0.25">
      <c r="O18" t="str">
        <v>Bonetti</v>
      </c>
      <c r="P18" s="28" t="str">
        <v>Soccer</v>
      </c>
      <c r="Q18" s="28" t="str">
        <v>Youth</v>
      </c>
      <c r="R18" s="28" t="str">
        <v>S.Defense</v>
      </c>
      <c r="S18" s="28" t="str">
        <v>Male</v>
      </c>
      <c r="T18" s="28" t="str">
        <v>Biodex</v>
      </c>
      <c r="V18" s="37"/>
      <c r="AG18" s="200"/>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row>
    <row r="19" spans="3:123" s="2" customFormat="1" ht="15" hidden="1" customHeight="1" x14ac:dyDescent="0.25">
      <c r="C19" s="76"/>
      <c r="D19" s="77"/>
      <c r="O19" s="2" t="str">
        <v>Bonetti</v>
      </c>
      <c r="P19" s="2" t="str">
        <v>Soccer</v>
      </c>
      <c r="Q19" s="2" t="str">
        <v>Youth</v>
      </c>
      <c r="R19" s="2" t="str">
        <v>S.Midfield</v>
      </c>
      <c r="S19" s="2" t="str">
        <v>Male</v>
      </c>
      <c r="T19" s="2" t="str">
        <v>Biodex</v>
      </c>
      <c r="AG19" s="200"/>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row>
    <row r="20" spans="3:123" s="2" customFormat="1" ht="15" hidden="1" customHeight="1" x14ac:dyDescent="0.25">
      <c r="C20" s="76"/>
      <c r="D20" s="77"/>
      <c r="O20" s="2" t="str">
        <v>Bonetti</v>
      </c>
      <c r="P20" s="2" t="str">
        <v>Soccer</v>
      </c>
      <c r="Q20" s="2" t="str">
        <v>Youth</v>
      </c>
      <c r="R20" s="2" t="str">
        <v>S.Forwarders</v>
      </c>
      <c r="S20" s="2" t="str">
        <v>Male</v>
      </c>
      <c r="T20" s="2" t="str">
        <v>Biodex</v>
      </c>
      <c r="AG20" s="20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row>
    <row r="21" spans="3:123" s="2" customFormat="1" ht="14.45" hidden="1" customHeight="1" x14ac:dyDescent="0.25">
      <c r="C21" s="76"/>
      <c r="D21" s="77"/>
      <c r="O21" s="2" t="str">
        <v>Bonetti</v>
      </c>
      <c r="P21" s="2" t="str">
        <v>Soccer</v>
      </c>
      <c r="Q21" s="2" t="str">
        <v>Youth</v>
      </c>
      <c r="R21" s="2" t="str">
        <v>N/A</v>
      </c>
      <c r="S21" s="2" t="str">
        <v>Male</v>
      </c>
      <c r="T21" s="2" t="str">
        <v>Biodex</v>
      </c>
      <c r="AG21" s="200"/>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row>
    <row r="22" spans="3:123" s="2" customFormat="1" ht="14.45" hidden="1" customHeight="1" x14ac:dyDescent="0.25">
      <c r="C22" s="76"/>
      <c r="D22" s="77"/>
      <c r="O22" s="2" t="str">
        <v>Bonetti</v>
      </c>
      <c r="P22" s="2" t="str">
        <v>Soccer</v>
      </c>
      <c r="Q22" s="2" t="str">
        <v>Youth</v>
      </c>
      <c r="R22" s="2" t="str">
        <v>N/A</v>
      </c>
      <c r="S22" s="2" t="str">
        <v>Male</v>
      </c>
      <c r="T22" s="2" t="str">
        <v>Biodex</v>
      </c>
      <c r="AG22" s="200"/>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row>
    <row r="23" spans="3:123" s="2" customFormat="1" hidden="1" x14ac:dyDescent="0.25">
      <c r="C23" s="76"/>
      <c r="D23" s="77"/>
      <c r="H23" s="26"/>
      <c r="I23" s="26"/>
      <c r="J23" s="26"/>
      <c r="K23" s="26"/>
      <c r="O23" s="2" t="str">
        <v>Bonetti</v>
      </c>
      <c r="P23" s="2" t="str">
        <v>Soccer</v>
      </c>
      <c r="Q23" s="2" t="str">
        <v>Youth</v>
      </c>
      <c r="R23" s="2" t="str">
        <v>N/A</v>
      </c>
      <c r="S23" s="2" t="str">
        <v>Male</v>
      </c>
      <c r="T23" s="2" t="str">
        <v>Biodex</v>
      </c>
      <c r="AG23" s="200"/>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row>
    <row r="24" spans="3:123" s="2" customFormat="1" hidden="1" x14ac:dyDescent="0.25">
      <c r="C24" s="76"/>
      <c r="D24" s="77"/>
      <c r="H24" s="26"/>
      <c r="I24" s="26"/>
      <c r="J24" s="26"/>
      <c r="K24" s="26"/>
      <c r="O24" s="2" t="str">
        <v>Bonetti</v>
      </c>
      <c r="P24" s="2" t="str">
        <v>Soccer</v>
      </c>
      <c r="Q24" s="2" t="str">
        <v>Youth</v>
      </c>
      <c r="R24" s="2" t="str">
        <v>N/A</v>
      </c>
      <c r="S24" s="2" t="str">
        <v>Male</v>
      </c>
      <c r="T24" s="2" t="str">
        <v>Biodex</v>
      </c>
      <c r="AG24" s="200"/>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row>
    <row r="25" spans="3:123" s="2" customFormat="1" hidden="1" x14ac:dyDescent="0.25">
      <c r="C25" s="76"/>
      <c r="D25" s="77"/>
      <c r="H25" s="26"/>
      <c r="I25" s="26"/>
      <c r="J25" s="26"/>
      <c r="K25" s="26"/>
      <c r="O25" s="2" t="str">
        <v>Bonetti</v>
      </c>
      <c r="P25" s="2" t="str">
        <v>Soccer</v>
      </c>
      <c r="Q25" s="2" t="str">
        <v>Youth</v>
      </c>
      <c r="R25" s="2" t="str">
        <v>N/A</v>
      </c>
      <c r="S25" s="2" t="str">
        <v>Male</v>
      </c>
      <c r="T25" s="2" t="str">
        <v>Biodex</v>
      </c>
      <c r="AG25" s="200"/>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row>
    <row r="26" spans="3:123" s="2" customFormat="1" hidden="1" x14ac:dyDescent="0.25">
      <c r="C26" s="76"/>
      <c r="D26" s="77"/>
      <c r="H26" s="26"/>
      <c r="I26" s="26"/>
      <c r="J26" s="26"/>
      <c r="K26" s="26"/>
      <c r="O26" s="2" t="str">
        <v>Bonetti</v>
      </c>
      <c r="P26" s="2" t="str">
        <v>Soccer</v>
      </c>
      <c r="Q26" s="2" t="str">
        <v>Youth</v>
      </c>
      <c r="R26" s="2" t="str">
        <v>N/A</v>
      </c>
      <c r="S26" s="2" t="str">
        <v>Male</v>
      </c>
      <c r="T26" s="2" t="str">
        <v>Biodex</v>
      </c>
      <c r="AG26" s="200"/>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row>
    <row r="27" spans="3:123" s="2" customFormat="1" hidden="1" x14ac:dyDescent="0.25">
      <c r="C27" s="76"/>
      <c r="D27" s="77"/>
      <c r="H27" s="26"/>
      <c r="I27" s="26"/>
      <c r="J27" s="26"/>
      <c r="K27" s="26"/>
      <c r="O27" s="2" t="str">
        <v>Bradic</v>
      </c>
      <c r="P27" s="2" t="str">
        <v>Basketball</v>
      </c>
      <c r="Q27" s="2" t="str">
        <v>Elite</v>
      </c>
      <c r="R27" s="2" t="str">
        <v>B.Guards</v>
      </c>
      <c r="S27" s="2" t="str">
        <v>Male</v>
      </c>
      <c r="T27" s="2" t="str">
        <v>Cybex</v>
      </c>
      <c r="AG27" s="200"/>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row>
    <row r="28" spans="3:123" s="2" customFormat="1" hidden="1" x14ac:dyDescent="0.25">
      <c r="C28" s="76"/>
      <c r="D28" s="77"/>
      <c r="H28" s="26"/>
      <c r="I28" s="26"/>
      <c r="J28" s="26"/>
      <c r="K28" s="26"/>
      <c r="O28" s="2" t="str">
        <v>Bradic</v>
      </c>
      <c r="P28" s="2" t="str">
        <v>Basketball</v>
      </c>
      <c r="Q28" s="2" t="str">
        <v>Elite</v>
      </c>
      <c r="R28" s="2" t="str">
        <v>B.Forwards</v>
      </c>
      <c r="S28" s="2" t="str">
        <v>Male</v>
      </c>
      <c r="T28" s="2" t="str">
        <v>Cybex</v>
      </c>
      <c r="AG28" s="200"/>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row>
    <row r="29" spans="3:123" s="2" customFormat="1" hidden="1" x14ac:dyDescent="0.25">
      <c r="C29" s="76"/>
      <c r="D29" s="77"/>
      <c r="H29" s="26"/>
      <c r="I29" s="26"/>
      <c r="J29" s="26"/>
      <c r="K29" s="26"/>
      <c r="O29" s="2" t="str">
        <v>Bradic</v>
      </c>
      <c r="P29" s="2" t="str">
        <v>Basketball</v>
      </c>
      <c r="Q29" s="2" t="str">
        <v>Elite</v>
      </c>
      <c r="R29" s="2" t="str">
        <v>B.Centers</v>
      </c>
      <c r="S29" s="2" t="str">
        <v>Male</v>
      </c>
      <c r="T29" s="2" t="str">
        <v>Cybex</v>
      </c>
      <c r="AG29" s="200"/>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row>
    <row r="30" spans="3:123" s="2" customFormat="1" hidden="1" x14ac:dyDescent="0.25">
      <c r="C30" s="76"/>
      <c r="D30" s="77"/>
      <c r="H30" s="26"/>
      <c r="I30" s="26"/>
      <c r="J30" s="26"/>
      <c r="K30" s="26"/>
      <c r="O30" s="2" t="str">
        <v>Bradic</v>
      </c>
      <c r="P30" s="2" t="str">
        <v>Basketball</v>
      </c>
      <c r="Q30" s="2" t="str">
        <v>Elite</v>
      </c>
      <c r="R30" s="2" t="str">
        <v>N/A</v>
      </c>
      <c r="S30" s="2" t="str">
        <v>Male</v>
      </c>
      <c r="T30" s="2" t="str">
        <v>Cybex</v>
      </c>
      <c r="AG30" s="20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row>
    <row r="31" spans="3:123" s="2" customFormat="1" hidden="1" x14ac:dyDescent="0.25">
      <c r="C31" s="76"/>
      <c r="D31" s="77"/>
      <c r="H31" s="26"/>
      <c r="I31" s="26"/>
      <c r="J31" s="26"/>
      <c r="K31" s="26"/>
      <c r="O31" s="2" t="str">
        <v>Bradic</v>
      </c>
      <c r="P31" s="2" t="str">
        <v>Basketball</v>
      </c>
      <c r="Q31" s="2" t="str">
        <v>Elite</v>
      </c>
      <c r="R31" s="2" t="str">
        <v>B.Guards</v>
      </c>
      <c r="S31" s="2" t="str">
        <v>Male</v>
      </c>
      <c r="T31" s="2" t="str">
        <v>Cybex</v>
      </c>
      <c r="AG31" s="200"/>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row>
    <row r="32" spans="3:123" s="2" customFormat="1" hidden="1" x14ac:dyDescent="0.25">
      <c r="C32" s="76"/>
      <c r="D32" s="77"/>
      <c r="H32" s="26"/>
      <c r="I32" s="26"/>
      <c r="J32" s="26"/>
      <c r="K32" s="26"/>
      <c r="O32" s="2" t="str">
        <v>Bradic</v>
      </c>
      <c r="P32" s="2" t="str">
        <v>Basketball</v>
      </c>
      <c r="Q32" s="2" t="str">
        <v>Elite</v>
      </c>
      <c r="R32" s="2" t="str">
        <v>B.Forwards</v>
      </c>
      <c r="S32" s="2" t="str">
        <v>Male</v>
      </c>
      <c r="T32" s="2" t="str">
        <v>Cybex</v>
      </c>
      <c r="AG32" s="200"/>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row>
    <row r="33" spans="3:123" s="2" customFormat="1" hidden="1" x14ac:dyDescent="0.25">
      <c r="C33" s="76"/>
      <c r="D33" s="77"/>
      <c r="H33" s="26"/>
      <c r="I33" s="26"/>
      <c r="J33" s="26"/>
      <c r="K33" s="26"/>
      <c r="O33" s="2" t="str">
        <v>Bradic</v>
      </c>
      <c r="P33" s="2" t="str">
        <v>Basketball</v>
      </c>
      <c r="Q33" s="2" t="str">
        <v>Elite</v>
      </c>
      <c r="R33" s="2" t="str">
        <v>B.Centers</v>
      </c>
      <c r="S33" s="2" t="str">
        <v>Male</v>
      </c>
      <c r="T33" s="2" t="str">
        <v>Cybex</v>
      </c>
      <c r="AG33" s="200"/>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row>
    <row r="34" spans="3:123" s="2" customFormat="1" hidden="1" x14ac:dyDescent="0.25">
      <c r="C34" s="76"/>
      <c r="D34" s="77"/>
      <c r="H34" s="26"/>
      <c r="I34" s="26"/>
      <c r="J34" s="26"/>
      <c r="K34" s="26"/>
      <c r="O34" s="2" t="str">
        <v>Bradic</v>
      </c>
      <c r="P34" s="2" t="str">
        <v>Basketball</v>
      </c>
      <c r="Q34" s="2" t="str">
        <v>Elite</v>
      </c>
      <c r="R34" s="2" t="str">
        <v>N/A</v>
      </c>
      <c r="S34" s="2" t="str">
        <v>Male</v>
      </c>
      <c r="T34" s="2" t="str">
        <v>Cybex</v>
      </c>
      <c r="AG34" s="200"/>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row>
    <row r="35" spans="3:123" s="2" customFormat="1" hidden="1" x14ac:dyDescent="0.25">
      <c r="C35" s="76"/>
      <c r="D35" s="77"/>
      <c r="H35" s="26"/>
      <c r="I35" s="26"/>
      <c r="J35" s="26"/>
      <c r="K35" s="26"/>
      <c r="O35" s="2" t="str">
        <v>Cvjetovic</v>
      </c>
      <c r="P35" s="2" t="str">
        <v>Mixed Sport</v>
      </c>
      <c r="Q35" s="2" t="str">
        <v>Adults</v>
      </c>
      <c r="R35" s="2" t="str">
        <v>N/A</v>
      </c>
      <c r="S35" s="2" t="str">
        <v>Male</v>
      </c>
      <c r="T35" s="2" t="str">
        <v>Biodex</v>
      </c>
      <c r="AG35" s="200"/>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row>
    <row r="36" spans="3:123" s="2" customFormat="1" hidden="1" x14ac:dyDescent="0.25">
      <c r="C36" s="76"/>
      <c r="D36" s="77"/>
      <c r="H36" s="26"/>
      <c r="I36" s="26"/>
      <c r="J36" s="26"/>
      <c r="K36" s="26"/>
      <c r="O36" s="2" t="str">
        <v>Cvjetovic</v>
      </c>
      <c r="P36" s="2" t="str">
        <v>Mixed Sport</v>
      </c>
      <c r="Q36" s="2" t="str">
        <v>Adults</v>
      </c>
      <c r="R36" s="2" t="str">
        <v>N/A</v>
      </c>
      <c r="S36" s="2" t="str">
        <v>Male</v>
      </c>
      <c r="T36" s="2" t="str">
        <v>Biodex</v>
      </c>
      <c r="AG36" s="200"/>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row>
    <row r="37" spans="3:123" s="2" customFormat="1" hidden="1" x14ac:dyDescent="0.25">
      <c r="C37" s="76"/>
      <c r="D37" s="77"/>
      <c r="H37" s="26"/>
      <c r="I37" s="26"/>
      <c r="J37" s="26"/>
      <c r="K37" s="26"/>
      <c r="O37" s="2" t="str">
        <v>El-Ashker</v>
      </c>
      <c r="P37" s="2" t="str">
        <v>Karate</v>
      </c>
      <c r="Q37" s="2" t="str">
        <v>Adults</v>
      </c>
      <c r="R37" s="2" t="str">
        <v>N/A</v>
      </c>
      <c r="S37" s="2" t="str">
        <v>Male</v>
      </c>
      <c r="T37" s="2" t="str">
        <v>Biodex</v>
      </c>
      <c r="AG37" s="200"/>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row>
    <row r="38" spans="3:123" s="2" customFormat="1" hidden="1" x14ac:dyDescent="0.25">
      <c r="C38" s="76"/>
      <c r="D38" s="77"/>
      <c r="H38" s="26"/>
      <c r="I38" s="26"/>
      <c r="J38" s="26"/>
      <c r="K38" s="26"/>
      <c r="O38" s="2" t="str">
        <v>El-Ashker</v>
      </c>
      <c r="P38" s="2" t="str">
        <v>Karate</v>
      </c>
      <c r="Q38" s="2" t="str">
        <v>Adults</v>
      </c>
      <c r="R38" s="2" t="str">
        <v>N/A</v>
      </c>
      <c r="S38" s="2" t="str">
        <v>Male</v>
      </c>
      <c r="T38" s="2" t="str">
        <v>Biodex</v>
      </c>
      <c r="AG38" s="200"/>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row>
    <row r="39" spans="3:123" s="2" customFormat="1" hidden="1" x14ac:dyDescent="0.25">
      <c r="C39" s="76"/>
      <c r="D39" s="77"/>
      <c r="H39" s="26"/>
      <c r="I39" s="26"/>
      <c r="J39" s="26"/>
      <c r="K39" s="26"/>
      <c r="O39" s="2" t="str">
        <v>El-Ashker</v>
      </c>
      <c r="P39" s="2" t="str">
        <v>Judo</v>
      </c>
      <c r="Q39" s="2" t="str">
        <v>Adults</v>
      </c>
      <c r="R39" s="2" t="str">
        <v>N/A</v>
      </c>
      <c r="S39" s="2" t="str">
        <v>Male</v>
      </c>
      <c r="T39" s="2" t="str">
        <v>Biodex</v>
      </c>
      <c r="AG39" s="200"/>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row>
    <row r="40" spans="3:123" s="2" customFormat="1" hidden="1" x14ac:dyDescent="0.25">
      <c r="C40" s="76"/>
      <c r="D40" s="77"/>
      <c r="H40" s="26"/>
      <c r="I40" s="26"/>
      <c r="J40" s="26"/>
      <c r="K40" s="26"/>
      <c r="O40" s="2" t="str">
        <v>El-Ashker</v>
      </c>
      <c r="P40" s="2" t="str">
        <v>Judo</v>
      </c>
      <c r="Q40" s="2" t="str">
        <v>Adults</v>
      </c>
      <c r="R40" s="2" t="str">
        <v>N/A</v>
      </c>
      <c r="S40" s="2" t="str">
        <v>Male</v>
      </c>
      <c r="T40" s="2" t="str">
        <v>Biodex</v>
      </c>
      <c r="AG40" s="20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row>
    <row r="41" spans="3:123" s="2" customFormat="1" hidden="1" x14ac:dyDescent="0.25">
      <c r="C41" s="76"/>
      <c r="D41" s="77"/>
      <c r="H41" s="26"/>
      <c r="I41" s="26"/>
      <c r="J41" s="26"/>
      <c r="K41" s="26"/>
      <c r="O41" s="2" t="str">
        <v>El-Ashker</v>
      </c>
      <c r="P41" s="2" t="str">
        <v>Boxing</v>
      </c>
      <c r="Q41" s="2" t="str">
        <v>Adults</v>
      </c>
      <c r="R41" s="2" t="str">
        <v>N/A</v>
      </c>
      <c r="S41" s="2" t="str">
        <v>Male</v>
      </c>
      <c r="T41" s="2" t="str">
        <v>Biodex</v>
      </c>
      <c r="AG41" s="200"/>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row>
    <row r="42" spans="3:123" s="2" customFormat="1" hidden="1" x14ac:dyDescent="0.25">
      <c r="C42" s="76"/>
      <c r="D42" s="77"/>
      <c r="H42" s="26"/>
      <c r="I42" s="26"/>
      <c r="J42" s="26"/>
      <c r="K42" s="26"/>
      <c r="O42" s="2" t="str">
        <v>El-Ashker</v>
      </c>
      <c r="P42" s="2" t="str">
        <v>Boxing</v>
      </c>
      <c r="Q42" s="2" t="str">
        <v>Adults</v>
      </c>
      <c r="R42" s="2" t="str">
        <v>N/A</v>
      </c>
      <c r="S42" s="2" t="str">
        <v>Male</v>
      </c>
      <c r="T42" s="2" t="str">
        <v>Biodex</v>
      </c>
      <c r="AG42" s="200"/>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row>
    <row r="43" spans="3:123" s="2" customFormat="1" hidden="1" x14ac:dyDescent="0.25">
      <c r="C43" s="76"/>
      <c r="D43" s="77"/>
      <c r="H43" s="26"/>
      <c r="I43" s="26"/>
      <c r="J43" s="26"/>
      <c r="K43" s="26"/>
      <c r="O43" s="2" t="str">
        <v>El-Ashker</v>
      </c>
      <c r="P43" s="2" t="str">
        <v>Taekwondo</v>
      </c>
      <c r="Q43" s="2" t="str">
        <v>Adults</v>
      </c>
      <c r="R43" s="2" t="str">
        <v>N/A</v>
      </c>
      <c r="S43" s="2" t="str">
        <v>Male</v>
      </c>
      <c r="T43" s="2" t="str">
        <v>Biodex</v>
      </c>
      <c r="AG43" s="200"/>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row>
    <row r="44" spans="3:123" s="2" customFormat="1" hidden="1" x14ac:dyDescent="0.25">
      <c r="C44" s="76"/>
      <c r="D44" s="77"/>
      <c r="H44" s="26"/>
      <c r="I44" s="26"/>
      <c r="J44" s="26"/>
      <c r="K44" s="26"/>
      <c r="O44" s="2" t="str">
        <v>El-Ashker</v>
      </c>
      <c r="P44" s="2" t="str">
        <v>Taekwondo</v>
      </c>
      <c r="Q44" s="2" t="str">
        <v>Adults</v>
      </c>
      <c r="R44" s="2" t="str">
        <v>N/A</v>
      </c>
      <c r="S44" s="2" t="str">
        <v>Male</v>
      </c>
      <c r="T44" s="2" t="str">
        <v>Biodex</v>
      </c>
      <c r="AG44" s="200"/>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row>
    <row r="45" spans="3:123" s="2" customFormat="1" hidden="1" x14ac:dyDescent="0.25">
      <c r="C45" s="76"/>
      <c r="D45" s="77"/>
      <c r="H45" s="26"/>
      <c r="I45" s="26"/>
      <c r="J45" s="26"/>
      <c r="K45" s="26"/>
      <c r="O45" s="2" t="str">
        <v>El-Ashker</v>
      </c>
      <c r="P45" s="2" t="str">
        <v>Karate</v>
      </c>
      <c r="Q45" s="2" t="str">
        <v>Adults</v>
      </c>
      <c r="R45" s="2" t="str">
        <v>N/A</v>
      </c>
      <c r="S45" s="2" t="str">
        <v>Male</v>
      </c>
      <c r="T45" s="2" t="str">
        <v>Biodex</v>
      </c>
      <c r="AG45" s="200"/>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row>
    <row r="46" spans="3:123" s="2" customFormat="1" hidden="1" x14ac:dyDescent="0.25">
      <c r="C46" s="76"/>
      <c r="D46" s="77"/>
      <c r="H46" s="26"/>
      <c r="I46" s="26"/>
      <c r="J46" s="26"/>
      <c r="K46" s="26"/>
      <c r="O46" s="2" t="str">
        <v>El-Ashker</v>
      </c>
      <c r="P46" s="2" t="str">
        <v>Karate</v>
      </c>
      <c r="Q46" s="2" t="str">
        <v>Adults</v>
      </c>
      <c r="R46" s="2" t="str">
        <v>N/A</v>
      </c>
      <c r="S46" s="2" t="str">
        <v>Male</v>
      </c>
      <c r="T46" s="2" t="str">
        <v>Biodex</v>
      </c>
      <c r="AG46" s="200"/>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row>
    <row r="47" spans="3:123" s="2" customFormat="1" hidden="1" x14ac:dyDescent="0.25">
      <c r="C47" s="76"/>
      <c r="D47" s="77"/>
      <c r="H47" s="26"/>
      <c r="I47" s="26"/>
      <c r="J47" s="26"/>
      <c r="K47" s="26"/>
      <c r="O47" s="2" t="str">
        <v>El-Ashker</v>
      </c>
      <c r="P47" s="2" t="str">
        <v>Judo</v>
      </c>
      <c r="Q47" s="2" t="str">
        <v>Adults</v>
      </c>
      <c r="R47" s="2" t="str">
        <v>N/A</v>
      </c>
      <c r="S47" s="2" t="str">
        <v>Male</v>
      </c>
      <c r="T47" s="2" t="str">
        <v>Biodex</v>
      </c>
      <c r="AG47" s="200"/>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row>
    <row r="48" spans="3:123" s="2" customFormat="1" hidden="1" x14ac:dyDescent="0.25">
      <c r="C48" s="76"/>
      <c r="D48" s="77"/>
      <c r="H48" s="26"/>
      <c r="I48" s="26"/>
      <c r="J48" s="26"/>
      <c r="K48" s="26"/>
      <c r="O48" s="2" t="str">
        <v>El-Ashker</v>
      </c>
      <c r="P48" s="2" t="str">
        <v>Judo</v>
      </c>
      <c r="Q48" s="2" t="str">
        <v>Adults</v>
      </c>
      <c r="R48" s="2" t="str">
        <v>N/A</v>
      </c>
      <c r="S48" s="2" t="str">
        <v>Male</v>
      </c>
      <c r="T48" s="2" t="str">
        <v>Biodex</v>
      </c>
      <c r="AG48" s="200"/>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row>
    <row r="49" spans="1:123" s="2" customFormat="1" hidden="1" x14ac:dyDescent="0.25">
      <c r="C49" s="76"/>
      <c r="D49" s="77"/>
      <c r="H49" s="26"/>
      <c r="I49" s="26"/>
      <c r="J49" s="26"/>
      <c r="K49" s="26"/>
      <c r="O49" s="2" t="str">
        <v>El-Ashker</v>
      </c>
      <c r="P49" s="2" t="str">
        <v>Boxing</v>
      </c>
      <c r="Q49" s="2" t="str">
        <v>Adults</v>
      </c>
      <c r="R49" s="2" t="str">
        <v>N/A</v>
      </c>
      <c r="S49" s="2" t="str">
        <v>Male</v>
      </c>
      <c r="T49" s="2" t="str">
        <v>Biodex</v>
      </c>
      <c r="AG49" s="200"/>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row>
    <row r="50" spans="1:123" s="2" customFormat="1" hidden="1" x14ac:dyDescent="0.25">
      <c r="C50" s="76"/>
      <c r="D50" s="77"/>
      <c r="H50" s="26"/>
      <c r="I50" s="26"/>
      <c r="J50" s="26"/>
      <c r="K50" s="26"/>
      <c r="O50" s="2" t="str">
        <v>El-Ashker</v>
      </c>
      <c r="P50" s="2" t="str">
        <v>Boxing</v>
      </c>
      <c r="Q50" s="2" t="str">
        <v>Adults</v>
      </c>
      <c r="R50" s="2" t="str">
        <v>N/A</v>
      </c>
      <c r="S50" s="2" t="str">
        <v>Male</v>
      </c>
      <c r="T50" s="2" t="str">
        <v>Biodex</v>
      </c>
      <c r="AG50" s="20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row>
    <row r="51" spans="1:123" s="2" customFormat="1" hidden="1" x14ac:dyDescent="0.25">
      <c r="C51" s="76"/>
      <c r="D51" s="77"/>
      <c r="H51" s="26"/>
      <c r="I51" s="26"/>
      <c r="J51" s="26"/>
      <c r="K51" s="26"/>
      <c r="O51" s="2" t="str">
        <v>El-Ashker</v>
      </c>
      <c r="P51" s="2" t="str">
        <v>Taekwondo</v>
      </c>
      <c r="Q51" s="2" t="str">
        <v>Adults</v>
      </c>
      <c r="R51" s="2" t="str">
        <v>N/A</v>
      </c>
      <c r="S51" s="2" t="str">
        <v>Male</v>
      </c>
      <c r="T51" s="2" t="str">
        <v>Biodex</v>
      </c>
      <c r="AG51" s="200"/>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row>
    <row r="52" spans="1:123" s="2" customFormat="1" hidden="1" x14ac:dyDescent="0.25">
      <c r="C52" s="76"/>
      <c r="D52" s="77"/>
      <c r="H52" s="26"/>
      <c r="I52" s="26"/>
      <c r="J52" s="26"/>
      <c r="K52" s="26"/>
      <c r="O52" s="2" t="str">
        <v>El-Ashker</v>
      </c>
      <c r="P52" s="2" t="str">
        <v>Taekwondo</v>
      </c>
      <c r="Q52" s="2" t="str">
        <v>Adults</v>
      </c>
      <c r="R52" s="2" t="str">
        <v>N/A</v>
      </c>
      <c r="S52" s="2" t="str">
        <v>Male</v>
      </c>
      <c r="T52" s="2" t="str">
        <v>Biodex</v>
      </c>
      <c r="AG52" s="200"/>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row>
    <row r="53" spans="1:123" s="2" customFormat="1" hidden="1" x14ac:dyDescent="0.25">
      <c r="C53" s="76"/>
      <c r="D53" s="77"/>
      <c r="H53" s="26"/>
      <c r="I53" s="26"/>
      <c r="J53" s="26"/>
      <c r="K53" s="26"/>
      <c r="O53" s="2" t="str">
        <v>El-Ashker</v>
      </c>
      <c r="P53" s="2" t="str">
        <v>Karate</v>
      </c>
      <c r="Q53" s="2" t="str">
        <v>Adults</v>
      </c>
      <c r="R53" s="2" t="str">
        <v>N/A</v>
      </c>
      <c r="S53" s="2" t="str">
        <v>Male</v>
      </c>
      <c r="T53" s="2" t="str">
        <v>Biodex</v>
      </c>
      <c r="AG53" s="200"/>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row>
    <row r="54" spans="1:123" s="2" customFormat="1" hidden="1" x14ac:dyDescent="0.25">
      <c r="C54" s="76"/>
      <c r="D54" s="77"/>
      <c r="H54" s="26"/>
      <c r="I54" s="26"/>
      <c r="J54" s="26"/>
      <c r="K54" s="26"/>
      <c r="O54" s="2" t="str">
        <v>El-Ashker</v>
      </c>
      <c r="P54" s="2" t="str">
        <v>Karate</v>
      </c>
      <c r="Q54" s="2" t="str">
        <v>Adults</v>
      </c>
      <c r="R54" s="2" t="str">
        <v>N/A</v>
      </c>
      <c r="S54" s="2" t="str">
        <v>Male</v>
      </c>
      <c r="T54" s="2" t="str">
        <v>Biodex</v>
      </c>
      <c r="AG54" s="200"/>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row>
    <row r="55" spans="1:123" s="2" customFormat="1" hidden="1" x14ac:dyDescent="0.25">
      <c r="C55" s="76"/>
      <c r="D55" s="77"/>
      <c r="H55" s="26"/>
      <c r="I55" s="26"/>
      <c r="J55" s="26"/>
      <c r="K55" s="26"/>
      <c r="O55" s="2" t="str">
        <v>El-Ashker</v>
      </c>
      <c r="P55" s="2" t="str">
        <v>Judo</v>
      </c>
      <c r="Q55" s="2" t="str">
        <v>Adults</v>
      </c>
      <c r="R55" s="2" t="str">
        <v>N/A</v>
      </c>
      <c r="S55" s="2" t="str">
        <v>Male</v>
      </c>
      <c r="T55" s="2" t="str">
        <v>Biodex</v>
      </c>
      <c r="AG55" s="200"/>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row>
    <row r="56" spans="1:123" s="2" customFormat="1" hidden="1" x14ac:dyDescent="0.25">
      <c r="A56"/>
      <c r="B56"/>
      <c r="C56" s="78"/>
      <c r="D56" s="79"/>
      <c r="E56"/>
      <c r="F56"/>
      <c r="G56"/>
      <c r="H56" s="9"/>
      <c r="I56" s="9"/>
      <c r="J56" s="9"/>
      <c r="K56" s="9"/>
      <c r="L56"/>
      <c r="M56"/>
      <c r="N56"/>
      <c r="O56" t="str">
        <v>El-Ashker</v>
      </c>
      <c r="P56" t="str">
        <v>Judo</v>
      </c>
      <c r="Q56" t="str">
        <v>Adults</v>
      </c>
      <c r="R56" t="str">
        <v>N/A</v>
      </c>
      <c r="S56" t="str">
        <v>Male</v>
      </c>
      <c r="T56" t="str">
        <v>Biodex</v>
      </c>
      <c r="U56"/>
      <c r="V56"/>
      <c r="W56"/>
      <c r="X56"/>
      <c r="Y56"/>
      <c r="Z56"/>
      <c r="AA56"/>
      <c r="AB56"/>
      <c r="AC56"/>
      <c r="AD56"/>
      <c r="AE56"/>
      <c r="AF56"/>
      <c r="AG56" s="202"/>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row>
    <row r="57" spans="1:123" s="2" customFormat="1" hidden="1" x14ac:dyDescent="0.25">
      <c r="A57"/>
      <c r="B57"/>
      <c r="C57" s="78"/>
      <c r="D57" s="79"/>
      <c r="E57"/>
      <c r="F57"/>
      <c r="G57"/>
      <c r="H57" s="9"/>
      <c r="I57" s="9"/>
      <c r="J57" s="9"/>
      <c r="K57" s="9"/>
      <c r="L57"/>
      <c r="M57"/>
      <c r="N57"/>
      <c r="O57" t="str">
        <v>El-Ashker</v>
      </c>
      <c r="P57" t="str">
        <v>Boxing</v>
      </c>
      <c r="Q57" t="str">
        <v>Adults</v>
      </c>
      <c r="R57" t="str">
        <v>N/A</v>
      </c>
      <c r="S57" t="str">
        <v>Male</v>
      </c>
      <c r="T57" t="str">
        <v>Biodex</v>
      </c>
      <c r="U57"/>
      <c r="V57"/>
      <c r="W57"/>
      <c r="X57"/>
      <c r="Y57"/>
      <c r="Z57"/>
      <c r="AA57"/>
      <c r="AB57"/>
      <c r="AC57"/>
      <c r="AD57"/>
      <c r="AE57"/>
      <c r="AF57"/>
      <c r="AG57" s="202"/>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row>
    <row r="58" spans="1:123" s="2" customFormat="1" hidden="1" x14ac:dyDescent="0.25">
      <c r="A58"/>
      <c r="B58"/>
      <c r="C58" s="78"/>
      <c r="D58" s="79"/>
      <c r="E58"/>
      <c r="F58"/>
      <c r="G58"/>
      <c r="H58" s="9"/>
      <c r="I58" s="9"/>
      <c r="J58" s="9"/>
      <c r="K58" s="9"/>
      <c r="L58"/>
      <c r="M58"/>
      <c r="N58"/>
      <c r="O58" t="str">
        <v>El-Ashker</v>
      </c>
      <c r="P58" t="str">
        <v>Boxing</v>
      </c>
      <c r="Q58" t="str">
        <v>Adults</v>
      </c>
      <c r="R58" t="str">
        <v>N/A</v>
      </c>
      <c r="S58" t="str">
        <v>Male</v>
      </c>
      <c r="T58" t="str">
        <v>Biodex</v>
      </c>
      <c r="U58"/>
      <c r="V58"/>
      <c r="W58"/>
      <c r="X58"/>
      <c r="Y58"/>
      <c r="Z58"/>
      <c r="AA58"/>
      <c r="AB58"/>
      <c r="AC58"/>
      <c r="AD58"/>
      <c r="AE58"/>
      <c r="AF58"/>
      <c r="AG58" s="202"/>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row>
    <row r="59" spans="1:123" s="2" customFormat="1" hidden="1" x14ac:dyDescent="0.25">
      <c r="A59"/>
      <c r="B59"/>
      <c r="C59" s="78"/>
      <c r="D59" s="79"/>
      <c r="E59"/>
      <c r="F59"/>
      <c r="G59"/>
      <c r="H59" s="9"/>
      <c r="I59" s="9"/>
      <c r="J59" s="9"/>
      <c r="K59" s="9"/>
      <c r="L59"/>
      <c r="M59"/>
      <c r="N59"/>
      <c r="O59" t="str">
        <v>El-Ashker</v>
      </c>
      <c r="P59" t="str">
        <v>Taekwondo</v>
      </c>
      <c r="Q59" t="str">
        <v>Adults</v>
      </c>
      <c r="R59" t="str">
        <v>N/A</v>
      </c>
      <c r="S59" t="str">
        <v>Male</v>
      </c>
      <c r="T59" t="str">
        <v>Biodex</v>
      </c>
      <c r="U59"/>
      <c r="V59"/>
      <c r="W59"/>
      <c r="X59"/>
      <c r="Y59"/>
      <c r="Z59"/>
      <c r="AA59"/>
      <c r="AB59"/>
      <c r="AC59"/>
      <c r="AD59"/>
      <c r="AE59"/>
      <c r="AF59"/>
      <c r="AG59" s="202"/>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row>
    <row r="60" spans="1:123" s="2" customFormat="1" hidden="1" x14ac:dyDescent="0.25">
      <c r="A60"/>
      <c r="B60"/>
      <c r="C60" s="78"/>
      <c r="D60" s="79"/>
      <c r="E60"/>
      <c r="F60"/>
      <c r="G60"/>
      <c r="H60" s="9"/>
      <c r="I60" s="9"/>
      <c r="J60"/>
      <c r="K60" s="9"/>
      <c r="L60"/>
      <c r="M60"/>
      <c r="N60"/>
      <c r="O60" t="str">
        <v>El-Ashker</v>
      </c>
      <c r="P60" t="str">
        <v>Taekwondo</v>
      </c>
      <c r="Q60" t="str">
        <v>Adults</v>
      </c>
      <c r="R60" t="str">
        <v>N/A</v>
      </c>
      <c r="S60" t="str">
        <v>Male</v>
      </c>
      <c r="T60" t="str">
        <v>Biodex</v>
      </c>
      <c r="U60"/>
      <c r="V60"/>
      <c r="W60"/>
      <c r="X60"/>
      <c r="Y60"/>
      <c r="Z60"/>
      <c r="AA60"/>
      <c r="AB60"/>
      <c r="AC60"/>
      <c r="AD60"/>
      <c r="AE60"/>
      <c r="AF60"/>
      <c r="AG60" s="202"/>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row>
    <row r="61" spans="1:123" s="2" customFormat="1" ht="9" hidden="1" customHeight="1" x14ac:dyDescent="0.25">
      <c r="A61"/>
      <c r="B61"/>
      <c r="C61" s="78"/>
      <c r="D61" s="79"/>
      <c r="E61"/>
      <c r="F61"/>
      <c r="G61"/>
      <c r="H61" s="9"/>
      <c r="I61" s="9"/>
      <c r="J61" s="9"/>
      <c r="K61" s="9"/>
      <c r="L61"/>
      <c r="M61"/>
      <c r="N61"/>
      <c r="O61" t="str">
        <v>El-Ashker</v>
      </c>
      <c r="P61" t="str">
        <v>Karate</v>
      </c>
      <c r="Q61" t="str">
        <v>Adults</v>
      </c>
      <c r="R61" t="str">
        <v>N/A</v>
      </c>
      <c r="S61" t="str">
        <v>Male</v>
      </c>
      <c r="T61" t="str">
        <v>Biodex</v>
      </c>
      <c r="U61"/>
      <c r="V61"/>
      <c r="W61"/>
      <c r="X61"/>
      <c r="Y61"/>
      <c r="Z61"/>
      <c r="AA61"/>
      <c r="AB61"/>
      <c r="AC61"/>
      <c r="AD61"/>
      <c r="AE61"/>
      <c r="AF61"/>
      <c r="AG61" s="202"/>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row>
    <row r="62" spans="1:123" s="2" customFormat="1" ht="9" hidden="1" customHeight="1" x14ac:dyDescent="0.25">
      <c r="A62"/>
      <c r="B62"/>
      <c r="C62" s="78"/>
      <c r="D62" s="79"/>
      <c r="E62"/>
      <c r="F62"/>
      <c r="G62"/>
      <c r="H62" s="9"/>
      <c r="I62" s="9"/>
      <c r="J62" s="9"/>
      <c r="K62" s="9"/>
      <c r="L62"/>
      <c r="M62"/>
      <c r="N62"/>
      <c r="O62" t="str">
        <v>El-Ashker</v>
      </c>
      <c r="P62" t="str">
        <v>Karate</v>
      </c>
      <c r="Q62" t="str">
        <v>Adults</v>
      </c>
      <c r="R62" t="str">
        <v>N/A</v>
      </c>
      <c r="S62" t="str">
        <v>Male</v>
      </c>
      <c r="T62" t="str">
        <v>Biodex</v>
      </c>
      <c r="U62"/>
      <c r="V62"/>
      <c r="W62"/>
      <c r="X62"/>
      <c r="Y62"/>
      <c r="Z62"/>
      <c r="AA62"/>
      <c r="AB62"/>
      <c r="AC62"/>
      <c r="AD62"/>
      <c r="AE62"/>
      <c r="AF62"/>
      <c r="AG62" s="20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row>
    <row r="63" spans="1:123" s="2" customFormat="1" ht="9" hidden="1" customHeight="1" x14ac:dyDescent="0.25">
      <c r="A63"/>
      <c r="B63"/>
      <c r="C63" s="78"/>
      <c r="D63" s="79"/>
      <c r="E63"/>
      <c r="F63"/>
      <c r="G63"/>
      <c r="H63" s="9"/>
      <c r="I63" s="9"/>
      <c r="J63" s="9"/>
      <c r="K63" s="9"/>
      <c r="L63"/>
      <c r="M63"/>
      <c r="N63"/>
      <c r="O63" t="str">
        <v>El-Ashker</v>
      </c>
      <c r="P63" t="str">
        <v>Judo</v>
      </c>
      <c r="Q63" t="str">
        <v>Adults</v>
      </c>
      <c r="R63" t="str">
        <v>N/A</v>
      </c>
      <c r="S63" t="str">
        <v>Male</v>
      </c>
      <c r="T63" t="str">
        <v>Biodex</v>
      </c>
      <c r="U63"/>
      <c r="V63"/>
      <c r="W63"/>
      <c r="X63"/>
      <c r="Y63"/>
      <c r="Z63"/>
      <c r="AA63"/>
      <c r="AB63"/>
      <c r="AC63"/>
      <c r="AD63"/>
      <c r="AE63"/>
      <c r="AF63"/>
      <c r="AG63" s="202"/>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row>
    <row r="64" spans="1:123" s="2" customFormat="1" ht="9" hidden="1" customHeight="1" x14ac:dyDescent="0.25">
      <c r="A64"/>
      <c r="B64"/>
      <c r="C64" s="78"/>
      <c r="D64" s="79"/>
      <c r="E64"/>
      <c r="F64"/>
      <c r="G64"/>
      <c r="H64" s="9"/>
      <c r="I64" s="9"/>
      <c r="J64" s="9"/>
      <c r="K64" s="9"/>
      <c r="L64"/>
      <c r="M64"/>
      <c r="N64"/>
      <c r="O64" t="str">
        <v>El-Ashker</v>
      </c>
      <c r="P64" t="str">
        <v>Judo</v>
      </c>
      <c r="Q64" t="str">
        <v>Adults</v>
      </c>
      <c r="R64" t="str">
        <v>N/A</v>
      </c>
      <c r="S64" t="str">
        <v>Male</v>
      </c>
      <c r="T64" t="str">
        <v>Biodex</v>
      </c>
      <c r="U64"/>
      <c r="V64"/>
      <c r="W64"/>
      <c r="X64"/>
      <c r="Y64"/>
      <c r="Z64"/>
      <c r="AA64"/>
      <c r="AB64"/>
      <c r="AC64"/>
      <c r="AD64"/>
      <c r="AE64"/>
      <c r="AF64"/>
      <c r="AG64" s="202"/>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row>
    <row r="65" spans="1:123" s="2" customFormat="1" ht="9" hidden="1" customHeight="1" x14ac:dyDescent="0.25">
      <c r="A65"/>
      <c r="B65"/>
      <c r="C65" s="78"/>
      <c r="D65" s="79"/>
      <c r="E65"/>
      <c r="F65"/>
      <c r="G65"/>
      <c r="H65" s="9"/>
      <c r="I65" s="9"/>
      <c r="J65" s="9"/>
      <c r="K65" s="9"/>
      <c r="L65"/>
      <c r="M65"/>
      <c r="N65"/>
      <c r="O65" t="str">
        <v>El-Ashker</v>
      </c>
      <c r="P65" t="str">
        <v>Boxing</v>
      </c>
      <c r="Q65" t="str">
        <v>Adults</v>
      </c>
      <c r="R65" t="str">
        <v>N/A</v>
      </c>
      <c r="S65" t="str">
        <v>Male</v>
      </c>
      <c r="T65" t="str">
        <v>Biodex</v>
      </c>
      <c r="U65"/>
      <c r="V65"/>
      <c r="W65"/>
      <c r="X65"/>
      <c r="Y65"/>
      <c r="Z65"/>
      <c r="AA65"/>
      <c r="AB65"/>
      <c r="AC65"/>
      <c r="AD65"/>
      <c r="AE65"/>
      <c r="AF65"/>
      <c r="AG65" s="202"/>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row>
    <row r="66" spans="1:123" s="2" customFormat="1" ht="9" hidden="1" customHeight="1" x14ac:dyDescent="0.25">
      <c r="A66"/>
      <c r="B66"/>
      <c r="C66" s="78"/>
      <c r="D66" s="79"/>
      <c r="E66"/>
      <c r="F66"/>
      <c r="G66"/>
      <c r="H66" s="9"/>
      <c r="I66" s="9"/>
      <c r="J66" s="9"/>
      <c r="K66" s="9"/>
      <c r="L66"/>
      <c r="M66"/>
      <c r="N66"/>
      <c r="O66" t="str">
        <v>El-Ashker</v>
      </c>
      <c r="P66" t="str">
        <v>Boxing</v>
      </c>
      <c r="Q66" t="str">
        <v>Adults</v>
      </c>
      <c r="R66" t="str">
        <v>N/A</v>
      </c>
      <c r="S66" t="str">
        <v>Male</v>
      </c>
      <c r="T66" t="str">
        <v>Biodex</v>
      </c>
      <c r="U66"/>
      <c r="V66"/>
      <c r="W66"/>
      <c r="X66"/>
      <c r="Y66"/>
      <c r="Z66"/>
      <c r="AA66"/>
      <c r="AB66"/>
      <c r="AC66"/>
      <c r="AD66"/>
      <c r="AE66"/>
      <c r="AF66"/>
      <c r="AG66" s="202"/>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row>
    <row r="67" spans="1:123" s="2" customFormat="1" ht="9" hidden="1" customHeight="1" x14ac:dyDescent="0.25">
      <c r="A67"/>
      <c r="B67"/>
      <c r="C67" s="78"/>
      <c r="D67" s="79"/>
      <c r="E67"/>
      <c r="F67"/>
      <c r="G67"/>
      <c r="H67" s="9"/>
      <c r="I67" s="9"/>
      <c r="J67" s="9"/>
      <c r="K67" s="9"/>
      <c r="L67"/>
      <c r="M67"/>
      <c r="N67"/>
      <c r="O67" t="str">
        <v>El-Ashker</v>
      </c>
      <c r="P67" t="str">
        <v>Taekwondo</v>
      </c>
      <c r="Q67" t="str">
        <v>Adults</v>
      </c>
      <c r="R67" t="str">
        <v>N/A</v>
      </c>
      <c r="S67" t="str">
        <v>Male</v>
      </c>
      <c r="T67" t="str">
        <v>Biodex</v>
      </c>
      <c r="U67"/>
      <c r="V67"/>
      <c r="W67"/>
      <c r="X67"/>
      <c r="Y67"/>
      <c r="Z67"/>
      <c r="AA67"/>
      <c r="AB67"/>
      <c r="AC67"/>
      <c r="AD67"/>
      <c r="AE67"/>
      <c r="AF67"/>
      <c r="AG67" s="202"/>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row>
    <row r="68" spans="1:123" s="2" customFormat="1" ht="9" hidden="1" customHeight="1" x14ac:dyDescent="0.25">
      <c r="A68"/>
      <c r="B68"/>
      <c r="C68" s="78"/>
      <c r="D68" s="79"/>
      <c r="E68"/>
      <c r="F68"/>
      <c r="G68"/>
      <c r="H68" s="9"/>
      <c r="I68" s="9"/>
      <c r="J68" s="9"/>
      <c r="K68" s="9"/>
      <c r="L68"/>
      <c r="M68"/>
      <c r="N68"/>
      <c r="O68" t="str">
        <v>El-Ashker</v>
      </c>
      <c r="P68" t="str">
        <v>Taekwondo</v>
      </c>
      <c r="Q68" t="str">
        <v>Adults</v>
      </c>
      <c r="R68" t="str">
        <v>N/A</v>
      </c>
      <c r="S68" t="str">
        <v>Male</v>
      </c>
      <c r="T68" t="str">
        <v>Biodex</v>
      </c>
      <c r="U68"/>
      <c r="V68"/>
      <c r="W68"/>
      <c r="X68"/>
      <c r="Y68"/>
      <c r="Z68"/>
      <c r="AA68"/>
      <c r="AB68"/>
      <c r="AC68"/>
      <c r="AD68"/>
      <c r="AE68"/>
      <c r="AF68"/>
      <c r="AG68" s="202"/>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row>
    <row r="69" spans="1:123" s="2" customFormat="1" ht="9" hidden="1" customHeight="1" x14ac:dyDescent="0.25">
      <c r="A69"/>
      <c r="B69"/>
      <c r="C69" s="78"/>
      <c r="D69" s="79"/>
      <c r="E69"/>
      <c r="F69"/>
      <c r="G69"/>
      <c r="H69" s="9"/>
      <c r="I69" s="9"/>
      <c r="J69" s="9"/>
      <c r="K69" s="9"/>
      <c r="L69"/>
      <c r="M69"/>
      <c r="N69"/>
      <c r="O69" t="str">
        <v>El-Ashker</v>
      </c>
      <c r="P69" t="str">
        <v>Karate</v>
      </c>
      <c r="Q69" t="str">
        <v>Adults</v>
      </c>
      <c r="R69" t="str">
        <v>N/A</v>
      </c>
      <c r="S69" t="str">
        <v>Male</v>
      </c>
      <c r="T69" t="str">
        <v>Biodex</v>
      </c>
      <c r="U69"/>
      <c r="V69"/>
      <c r="W69"/>
      <c r="X69"/>
      <c r="Y69"/>
      <c r="Z69"/>
      <c r="AA69"/>
      <c r="AB69"/>
      <c r="AC69"/>
      <c r="AD69"/>
      <c r="AE69"/>
      <c r="AF69"/>
      <c r="AG69" s="202"/>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row>
    <row r="70" spans="1:123" s="2" customFormat="1" ht="9" hidden="1" customHeight="1" x14ac:dyDescent="0.25">
      <c r="A70"/>
      <c r="B70"/>
      <c r="C70" s="78"/>
      <c r="D70" s="79"/>
      <c r="E70"/>
      <c r="F70"/>
      <c r="G70"/>
      <c r="H70" s="9"/>
      <c r="I70" s="9"/>
      <c r="J70" s="9"/>
      <c r="K70" s="9"/>
      <c r="L70"/>
      <c r="M70"/>
      <c r="N70"/>
      <c r="O70" t="str">
        <v>El-Ashker</v>
      </c>
      <c r="P70" t="str">
        <v>Karate</v>
      </c>
      <c r="Q70" t="str">
        <v>Adults</v>
      </c>
      <c r="R70" t="str">
        <v>N/A</v>
      </c>
      <c r="S70" t="str">
        <v>Male</v>
      </c>
      <c r="T70" t="str">
        <v>Biodex</v>
      </c>
      <c r="U70"/>
      <c r="V70"/>
      <c r="W70"/>
      <c r="X70"/>
      <c r="Y70"/>
      <c r="Z70"/>
      <c r="AA70"/>
      <c r="AB70"/>
      <c r="AC70"/>
      <c r="AD70"/>
      <c r="AE70"/>
      <c r="AF70"/>
      <c r="AG70" s="202"/>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row>
    <row r="71" spans="1:123" s="2" customFormat="1" ht="9" hidden="1" customHeight="1" x14ac:dyDescent="0.25">
      <c r="A71"/>
      <c r="B71"/>
      <c r="C71" s="78"/>
      <c r="D71" s="79"/>
      <c r="E71"/>
      <c r="F71"/>
      <c r="G71"/>
      <c r="H71" s="9"/>
      <c r="I71" s="9"/>
      <c r="J71" s="9"/>
      <c r="K71" s="9"/>
      <c r="L71"/>
      <c r="M71"/>
      <c r="N71"/>
      <c r="O71" t="str">
        <v>El-Ashker</v>
      </c>
      <c r="P71" t="str">
        <v>Judo</v>
      </c>
      <c r="Q71" t="str">
        <v>Adults</v>
      </c>
      <c r="R71" t="str">
        <v>N/A</v>
      </c>
      <c r="S71" t="str">
        <v>Male</v>
      </c>
      <c r="T71" t="str">
        <v>Biodex</v>
      </c>
      <c r="U71"/>
      <c r="V71"/>
      <c r="W71"/>
      <c r="X71"/>
      <c r="Y71"/>
      <c r="Z71"/>
      <c r="AA71"/>
      <c r="AB71"/>
      <c r="AC71"/>
      <c r="AD71"/>
      <c r="AE71"/>
      <c r="AF71"/>
      <c r="AG71" s="202"/>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row>
    <row r="72" spans="1:123" s="2" customFormat="1" ht="9" hidden="1" customHeight="1" x14ac:dyDescent="0.25">
      <c r="A72"/>
      <c r="B72"/>
      <c r="C72" s="78"/>
      <c r="D72" s="79"/>
      <c r="E72"/>
      <c r="F72"/>
      <c r="G72"/>
      <c r="H72" s="9"/>
      <c r="I72" s="9"/>
      <c r="J72" s="9"/>
      <c r="K72" s="9"/>
      <c r="L72"/>
      <c r="M72"/>
      <c r="N72"/>
      <c r="O72" t="str">
        <v>El-Ashker</v>
      </c>
      <c r="P72" t="str">
        <v>Judo</v>
      </c>
      <c r="Q72" t="str">
        <v>Adults</v>
      </c>
      <c r="R72" t="str">
        <v>N/A</v>
      </c>
      <c r="S72" t="str">
        <v>Male</v>
      </c>
      <c r="T72" t="str">
        <v>Biodex</v>
      </c>
      <c r="U72"/>
      <c r="V72"/>
      <c r="W72"/>
      <c r="X72"/>
      <c r="Y72"/>
      <c r="Z72"/>
      <c r="AA72"/>
      <c r="AB72"/>
      <c r="AC72"/>
      <c r="AD72"/>
      <c r="AE72"/>
      <c r="AF72"/>
      <c r="AG72" s="20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row>
    <row r="73" spans="1:123" s="2" customFormat="1" ht="9" hidden="1" customHeight="1" x14ac:dyDescent="0.25">
      <c r="A73"/>
      <c r="B73"/>
      <c r="C73" s="78"/>
      <c r="D73" s="79"/>
      <c r="E73"/>
      <c r="F73"/>
      <c r="G73"/>
      <c r="H73" s="9"/>
      <c r="I73" s="9"/>
      <c r="J73" s="9"/>
      <c r="K73" s="9"/>
      <c r="L73"/>
      <c r="M73"/>
      <c r="N73"/>
      <c r="O73" t="str">
        <v>El-Ashker</v>
      </c>
      <c r="P73" t="str">
        <v>Boxing</v>
      </c>
      <c r="Q73" t="str">
        <v>Adults</v>
      </c>
      <c r="R73" t="str">
        <v>N/A</v>
      </c>
      <c r="S73" t="str">
        <v>Male</v>
      </c>
      <c r="T73" t="str">
        <v>Biodex</v>
      </c>
      <c r="U73"/>
      <c r="V73"/>
      <c r="W73"/>
      <c r="X73"/>
      <c r="Y73"/>
      <c r="Z73"/>
      <c r="AA73"/>
      <c r="AB73"/>
      <c r="AC73"/>
      <c r="AD73"/>
      <c r="AE73"/>
      <c r="AF73"/>
      <c r="AG73" s="202"/>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row>
    <row r="74" spans="1:123" s="2" customFormat="1" ht="9" hidden="1" customHeight="1" x14ac:dyDescent="0.25">
      <c r="A74"/>
      <c r="B74"/>
      <c r="C74" s="78"/>
      <c r="D74" s="79"/>
      <c r="E74"/>
      <c r="F74"/>
      <c r="G74"/>
      <c r="H74" s="9"/>
      <c r="I74" s="9"/>
      <c r="J74" s="9"/>
      <c r="K74" s="9"/>
      <c r="L74"/>
      <c r="M74"/>
      <c r="N74"/>
      <c r="O74" t="str">
        <v>El-Ashker</v>
      </c>
      <c r="P74" t="str">
        <v>Boxing</v>
      </c>
      <c r="Q74" t="str">
        <v>Adults</v>
      </c>
      <c r="R74" t="str">
        <v>N/A</v>
      </c>
      <c r="S74" t="str">
        <v>Male</v>
      </c>
      <c r="T74" t="str">
        <v>Biodex</v>
      </c>
      <c r="U74"/>
      <c r="V74"/>
      <c r="W74"/>
      <c r="X74"/>
      <c r="Y74"/>
      <c r="Z74"/>
      <c r="AA74"/>
      <c r="AB74"/>
      <c r="AC74"/>
      <c r="AD74"/>
      <c r="AE74"/>
      <c r="AF74"/>
      <c r="AG74" s="202"/>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row>
    <row r="75" spans="1:123" s="2" customFormat="1" ht="9" hidden="1" customHeight="1" x14ac:dyDescent="0.25">
      <c r="A75"/>
      <c r="B75"/>
      <c r="C75" s="78"/>
      <c r="D75" s="79"/>
      <c r="E75"/>
      <c r="F75"/>
      <c r="G75"/>
      <c r="H75" s="9"/>
      <c r="I75" s="9"/>
      <c r="J75" s="9"/>
      <c r="K75" s="9"/>
      <c r="L75"/>
      <c r="M75"/>
      <c r="N75"/>
      <c r="O75" t="str">
        <v>El-Ashker</v>
      </c>
      <c r="P75" t="str">
        <v>Taekwondo</v>
      </c>
      <c r="Q75" t="str">
        <v>Adults</v>
      </c>
      <c r="R75" t="str">
        <v>N/A</v>
      </c>
      <c r="S75" t="str">
        <v>Male</v>
      </c>
      <c r="T75" t="str">
        <v>Biodex</v>
      </c>
      <c r="U75"/>
      <c r="V75"/>
      <c r="W75"/>
      <c r="X75"/>
      <c r="Y75"/>
      <c r="Z75"/>
      <c r="AA75"/>
      <c r="AB75"/>
      <c r="AC75"/>
      <c r="AD75"/>
      <c r="AE75"/>
      <c r="AF75"/>
      <c r="AG75" s="202"/>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row>
    <row r="76" spans="1:123" s="2" customFormat="1" ht="9" hidden="1" customHeight="1" x14ac:dyDescent="0.25">
      <c r="A76"/>
      <c r="B76"/>
      <c r="C76" s="78"/>
      <c r="D76" s="79"/>
      <c r="E76"/>
      <c r="F76"/>
      <c r="G76"/>
      <c r="H76" s="9"/>
      <c r="I76" s="9"/>
      <c r="J76" s="9"/>
      <c r="K76" s="9"/>
      <c r="L76"/>
      <c r="M76"/>
      <c r="N76"/>
      <c r="O76" t="str">
        <v>El-Ashker</v>
      </c>
      <c r="P76" t="str">
        <v>Taekwondo</v>
      </c>
      <c r="Q76" t="str">
        <v>Adults</v>
      </c>
      <c r="R76" t="str">
        <v>N/A</v>
      </c>
      <c r="S76" t="str">
        <v>Male</v>
      </c>
      <c r="T76" t="str">
        <v>Biodex</v>
      </c>
      <c r="U76"/>
      <c r="V76"/>
      <c r="W76"/>
      <c r="X76"/>
      <c r="Y76"/>
      <c r="Z76"/>
      <c r="AA76"/>
      <c r="AB76"/>
      <c r="AC76"/>
      <c r="AD76"/>
      <c r="AE76"/>
      <c r="AF76"/>
      <c r="AG76" s="202"/>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row>
    <row r="77" spans="1:123" s="2" customFormat="1" ht="9" hidden="1" customHeight="1" x14ac:dyDescent="0.25">
      <c r="A77"/>
      <c r="B77"/>
      <c r="C77" s="78"/>
      <c r="D77" s="79"/>
      <c r="E77"/>
      <c r="F77"/>
      <c r="G77"/>
      <c r="H77" s="9"/>
      <c r="I77" s="9"/>
      <c r="J77" s="9"/>
      <c r="K77" s="9"/>
      <c r="L77"/>
      <c r="M77"/>
      <c r="N77"/>
      <c r="O77" t="str">
        <v>El-Ashker</v>
      </c>
      <c r="P77" t="str">
        <v>Karate</v>
      </c>
      <c r="Q77" t="str">
        <v>Adults</v>
      </c>
      <c r="R77" t="str">
        <v>N/A</v>
      </c>
      <c r="S77" t="str">
        <v>Male</v>
      </c>
      <c r="T77" t="str">
        <v>Biodex</v>
      </c>
      <c r="U77"/>
      <c r="V77"/>
      <c r="W77"/>
      <c r="X77"/>
      <c r="Y77"/>
      <c r="Z77"/>
      <c r="AA77"/>
      <c r="AB77"/>
      <c r="AC77"/>
      <c r="AD77"/>
      <c r="AE77"/>
      <c r="AF77"/>
      <c r="AG77" s="202"/>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row>
    <row r="78" spans="1:123" s="2" customFormat="1" ht="9" hidden="1" customHeight="1" x14ac:dyDescent="0.25">
      <c r="A78"/>
      <c r="B78"/>
      <c r="C78" s="78"/>
      <c r="D78" s="79"/>
      <c r="E78"/>
      <c r="F78"/>
      <c r="G78"/>
      <c r="H78" s="9"/>
      <c r="I78" s="9"/>
      <c r="J78" s="9"/>
      <c r="K78" s="9"/>
      <c r="L78"/>
      <c r="M78"/>
      <c r="N78"/>
      <c r="O78" t="str">
        <v>El-Ashker</v>
      </c>
      <c r="P78" t="str">
        <v>Karate</v>
      </c>
      <c r="Q78" t="str">
        <v>Adults</v>
      </c>
      <c r="R78" t="str">
        <v>N/A</v>
      </c>
      <c r="S78" t="str">
        <v>Male</v>
      </c>
      <c r="T78" t="str">
        <v>Biodex</v>
      </c>
      <c r="U78"/>
      <c r="V78"/>
      <c r="W78"/>
      <c r="X78"/>
      <c r="Y78"/>
      <c r="Z78"/>
      <c r="AA78"/>
      <c r="AB78"/>
      <c r="AC78"/>
      <c r="AD78"/>
      <c r="AE78"/>
      <c r="AF78"/>
      <c r="AG78" s="202"/>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row>
    <row r="79" spans="1:123" s="2" customFormat="1" ht="9" hidden="1" customHeight="1" x14ac:dyDescent="0.25">
      <c r="A79"/>
      <c r="B79"/>
      <c r="C79" s="78"/>
      <c r="D79" s="79"/>
      <c r="E79"/>
      <c r="F79"/>
      <c r="G79"/>
      <c r="H79" s="9"/>
      <c r="I79" s="9"/>
      <c r="J79" s="9"/>
      <c r="K79" s="9"/>
      <c r="L79"/>
      <c r="M79"/>
      <c r="N79"/>
      <c r="O79" t="str">
        <v>El-Ashker</v>
      </c>
      <c r="P79" t="str">
        <v>Judo</v>
      </c>
      <c r="Q79" t="str">
        <v>Adults</v>
      </c>
      <c r="R79" t="str">
        <v>N/A</v>
      </c>
      <c r="S79" t="str">
        <v>Male</v>
      </c>
      <c r="T79" t="str">
        <v>Biodex</v>
      </c>
      <c r="U79"/>
      <c r="V79"/>
      <c r="W79"/>
      <c r="X79"/>
      <c r="Y79"/>
      <c r="Z79"/>
      <c r="AA79"/>
      <c r="AB79"/>
      <c r="AC79"/>
      <c r="AD79"/>
      <c r="AE79"/>
      <c r="AF79"/>
      <c r="AG79" s="202"/>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row>
    <row r="80" spans="1:123" s="2" customFormat="1" ht="9" hidden="1" customHeight="1" x14ac:dyDescent="0.25">
      <c r="A80"/>
      <c r="B80"/>
      <c r="C80" s="78"/>
      <c r="D80" s="79"/>
      <c r="E80"/>
      <c r="F80"/>
      <c r="G80"/>
      <c r="H80" s="9"/>
      <c r="I80" s="9"/>
      <c r="J80" s="9"/>
      <c r="K80" s="9"/>
      <c r="L80"/>
      <c r="M80"/>
      <c r="N80"/>
      <c r="O80" t="str">
        <v>El-Ashker</v>
      </c>
      <c r="P80" t="str">
        <v>Judo</v>
      </c>
      <c r="Q80" t="str">
        <v>Adults</v>
      </c>
      <c r="R80" t="str">
        <v>N/A</v>
      </c>
      <c r="S80" t="str">
        <v>Male</v>
      </c>
      <c r="T80" t="str">
        <v>Biodex</v>
      </c>
      <c r="U80"/>
      <c r="V80"/>
      <c r="W80"/>
      <c r="X80"/>
      <c r="Y80"/>
      <c r="Z80"/>
      <c r="AA80"/>
      <c r="AB80"/>
      <c r="AC80"/>
      <c r="AD80"/>
      <c r="AE80"/>
      <c r="AF80"/>
      <c r="AG80" s="202"/>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row>
    <row r="81" spans="1:123" s="2" customFormat="1" ht="9" hidden="1" customHeight="1" x14ac:dyDescent="0.25">
      <c r="A81"/>
      <c r="B81"/>
      <c r="C81" s="78"/>
      <c r="D81" s="79"/>
      <c r="E81"/>
      <c r="F81"/>
      <c r="G81"/>
      <c r="H81" s="9"/>
      <c r="I81" s="9"/>
      <c r="J81" s="9"/>
      <c r="K81" s="9"/>
      <c r="L81"/>
      <c r="M81"/>
      <c r="N81"/>
      <c r="O81" t="str">
        <v>El-Ashker</v>
      </c>
      <c r="P81" t="str">
        <v>Boxing</v>
      </c>
      <c r="Q81" t="str">
        <v>Adults</v>
      </c>
      <c r="R81" t="str">
        <v>N/A</v>
      </c>
      <c r="S81" t="str">
        <v>Male</v>
      </c>
      <c r="T81" t="str">
        <v>Biodex</v>
      </c>
      <c r="U81"/>
      <c r="V81"/>
      <c r="W81"/>
      <c r="X81"/>
      <c r="Y81"/>
      <c r="Z81"/>
      <c r="AA81"/>
      <c r="AB81"/>
      <c r="AC81"/>
      <c r="AD81"/>
      <c r="AE81"/>
      <c r="AF81"/>
      <c r="AG81" s="202"/>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row>
    <row r="82" spans="1:123" s="2" customFormat="1" ht="9" hidden="1" customHeight="1" x14ac:dyDescent="0.25">
      <c r="A82"/>
      <c r="B82"/>
      <c r="C82" s="78"/>
      <c r="D82" s="79"/>
      <c r="E82"/>
      <c r="F82"/>
      <c r="G82"/>
      <c r="H82" s="9"/>
      <c r="I82" s="9"/>
      <c r="J82" s="9"/>
      <c r="K82" s="9"/>
      <c r="L82"/>
      <c r="M82"/>
      <c r="N82"/>
      <c r="O82" t="str">
        <v>El-Ashker</v>
      </c>
      <c r="P82" t="str">
        <v>Boxing</v>
      </c>
      <c r="Q82" t="str">
        <v>Adults</v>
      </c>
      <c r="R82" t="str">
        <v>N/A</v>
      </c>
      <c r="S82" t="str">
        <v>Male</v>
      </c>
      <c r="T82" t="str">
        <v>Biodex</v>
      </c>
      <c r="U82"/>
      <c r="V82"/>
      <c r="W82"/>
      <c r="X82"/>
      <c r="Y82"/>
      <c r="Z82"/>
      <c r="AA82"/>
      <c r="AB82"/>
      <c r="AC82"/>
      <c r="AD82"/>
      <c r="AE82"/>
      <c r="AF82"/>
      <c r="AG82" s="20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row>
    <row r="83" spans="1:123" s="2" customFormat="1" ht="9" hidden="1" customHeight="1" x14ac:dyDescent="0.25">
      <c r="A83"/>
      <c r="B83"/>
      <c r="C83" s="78"/>
      <c r="D83" s="79"/>
      <c r="E83"/>
      <c r="F83"/>
      <c r="G83"/>
      <c r="H83" s="9"/>
      <c r="I83" s="9"/>
      <c r="J83" s="9"/>
      <c r="K83" s="9"/>
      <c r="L83"/>
      <c r="M83"/>
      <c r="N83"/>
      <c r="O83" t="str">
        <v>El-Ashker</v>
      </c>
      <c r="P83" t="str">
        <v>Taekwondo</v>
      </c>
      <c r="Q83" t="str">
        <v>Adults</v>
      </c>
      <c r="R83" t="str">
        <v>N/A</v>
      </c>
      <c r="S83" t="str">
        <v>Male</v>
      </c>
      <c r="T83" t="str">
        <v>Biodex</v>
      </c>
      <c r="U83"/>
      <c r="V83"/>
      <c r="W83"/>
      <c r="X83"/>
      <c r="Y83"/>
      <c r="Z83"/>
      <c r="AA83"/>
      <c r="AB83"/>
      <c r="AC83"/>
      <c r="AD83"/>
      <c r="AE83"/>
      <c r="AF83"/>
      <c r="AG83" s="202"/>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row>
    <row r="84" spans="1:123" s="2" customFormat="1" ht="9" hidden="1" customHeight="1" x14ac:dyDescent="0.25">
      <c r="A84"/>
      <c r="B84"/>
      <c r="C84" s="78"/>
      <c r="D84" s="79"/>
      <c r="E84"/>
      <c r="F84"/>
      <c r="G84"/>
      <c r="H84" s="9"/>
      <c r="I84" s="9"/>
      <c r="J84" s="9"/>
      <c r="K84" s="9"/>
      <c r="L84"/>
      <c r="M84"/>
      <c r="N84"/>
      <c r="O84" t="str">
        <v>El-Ashker</v>
      </c>
      <c r="P84" t="str">
        <v>Taekwondo</v>
      </c>
      <c r="Q84" t="str">
        <v>Adults</v>
      </c>
      <c r="R84" t="str">
        <v>N/A</v>
      </c>
      <c r="S84" t="str">
        <v>Male</v>
      </c>
      <c r="T84" t="str">
        <v>Biodex</v>
      </c>
      <c r="U84"/>
      <c r="V84"/>
      <c r="W84"/>
      <c r="X84"/>
      <c r="Y84"/>
      <c r="Z84"/>
      <c r="AA84"/>
      <c r="AB84"/>
      <c r="AC84"/>
      <c r="AD84"/>
      <c r="AE84"/>
      <c r="AF84"/>
      <c r="AG84" s="202"/>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row>
    <row r="85" spans="1:123" s="2" customFormat="1" ht="9" hidden="1" customHeight="1" x14ac:dyDescent="0.25">
      <c r="A85"/>
      <c r="B85"/>
      <c r="C85" s="78"/>
      <c r="D85" s="79"/>
      <c r="E85"/>
      <c r="F85"/>
      <c r="G85"/>
      <c r="H85" s="9"/>
      <c r="I85" s="9"/>
      <c r="J85" s="9"/>
      <c r="K85" s="9"/>
      <c r="L85"/>
      <c r="M85"/>
      <c r="N85"/>
      <c r="O85" t="str">
        <v>Fenandez</v>
      </c>
      <c r="P85" t="str">
        <v>Soccer</v>
      </c>
      <c r="Q85" t="str">
        <v>Professional</v>
      </c>
      <c r="R85" t="str">
        <v>N/A</v>
      </c>
      <c r="S85" t="str">
        <v>Female</v>
      </c>
      <c r="T85" t="str">
        <v>ISOMED 2000</v>
      </c>
      <c r="U85"/>
      <c r="V85"/>
      <c r="W85"/>
      <c r="X85"/>
      <c r="Y85"/>
      <c r="Z85"/>
      <c r="AA85"/>
      <c r="AB85"/>
      <c r="AC85"/>
      <c r="AD85"/>
      <c r="AE85"/>
      <c r="AF85"/>
      <c r="AG85" s="202"/>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row>
    <row r="86" spans="1:123" s="2" customFormat="1" ht="9" hidden="1" customHeight="1" x14ac:dyDescent="0.25">
      <c r="A86"/>
      <c r="B86"/>
      <c r="C86" s="78"/>
      <c r="D86" s="79"/>
      <c r="E86"/>
      <c r="F86"/>
      <c r="G86"/>
      <c r="H86" s="9"/>
      <c r="I86" s="9"/>
      <c r="J86" s="9"/>
      <c r="K86" s="9"/>
      <c r="L86"/>
      <c r="M86"/>
      <c r="N86"/>
      <c r="O86" t="str">
        <v>Fenandez</v>
      </c>
      <c r="P86" t="str">
        <v>Soccer</v>
      </c>
      <c r="Q86" t="str">
        <v>Professional</v>
      </c>
      <c r="R86" t="str">
        <v>N/A</v>
      </c>
      <c r="S86" t="str">
        <v>Female</v>
      </c>
      <c r="T86" t="str">
        <v>ISOMED 2000</v>
      </c>
      <c r="U86"/>
      <c r="V86"/>
      <c r="W86"/>
      <c r="X86"/>
      <c r="Y86"/>
      <c r="Z86"/>
      <c r="AA86"/>
      <c r="AB86"/>
      <c r="AC86"/>
      <c r="AD86"/>
      <c r="AE86"/>
      <c r="AF86"/>
      <c r="AG86" s="202"/>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row>
    <row r="87" spans="1:123" s="2" customFormat="1" ht="9" hidden="1" customHeight="1" x14ac:dyDescent="0.25">
      <c r="A87"/>
      <c r="B87"/>
      <c r="C87" s="78"/>
      <c r="D87" s="79"/>
      <c r="E87"/>
      <c r="F87"/>
      <c r="G87"/>
      <c r="H87" s="9"/>
      <c r="I87" s="9"/>
      <c r="J87" s="9"/>
      <c r="K87" s="9"/>
      <c r="L87"/>
      <c r="M87"/>
      <c r="N87"/>
      <c r="O87" t="str">
        <v>Fenandez</v>
      </c>
      <c r="P87" t="str">
        <v>Soccer</v>
      </c>
      <c r="Q87" t="str">
        <v>Professional</v>
      </c>
      <c r="R87" t="str">
        <v>N/A</v>
      </c>
      <c r="S87" t="str">
        <v>Female</v>
      </c>
      <c r="T87" t="str">
        <v>ISOMED 2000</v>
      </c>
      <c r="U87"/>
      <c r="V87"/>
      <c r="W87"/>
      <c r="X87"/>
      <c r="Y87"/>
      <c r="Z87"/>
      <c r="AA87"/>
      <c r="AB87"/>
      <c r="AC87"/>
      <c r="AD87"/>
      <c r="AE87"/>
      <c r="AF87"/>
      <c r="AG87" s="202"/>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row>
    <row r="88" spans="1:123" s="2" customFormat="1" ht="9" hidden="1" customHeight="1" x14ac:dyDescent="0.25">
      <c r="A88"/>
      <c r="B88"/>
      <c r="C88" s="78"/>
      <c r="D88" s="79"/>
      <c r="E88"/>
      <c r="F88"/>
      <c r="G88"/>
      <c r="H88" s="9"/>
      <c r="I88" s="9"/>
      <c r="J88" s="9"/>
      <c r="K88" s="9"/>
      <c r="L88"/>
      <c r="M88"/>
      <c r="N88"/>
      <c r="O88" t="str">
        <v>Fenandez</v>
      </c>
      <c r="P88" t="str">
        <v>Soccer</v>
      </c>
      <c r="Q88" t="str">
        <v>Professional</v>
      </c>
      <c r="R88" t="str">
        <v>N/A</v>
      </c>
      <c r="S88" t="str">
        <v>Female</v>
      </c>
      <c r="T88" t="str">
        <v>ISOMED 2000</v>
      </c>
      <c r="U88"/>
      <c r="V88"/>
      <c r="W88"/>
      <c r="X88"/>
      <c r="Y88"/>
      <c r="Z88"/>
      <c r="AA88"/>
      <c r="AB88"/>
      <c r="AC88"/>
      <c r="AD88"/>
      <c r="AE88"/>
      <c r="AF88"/>
      <c r="AG88" s="202"/>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row>
    <row r="89" spans="1:123" s="2" customFormat="1" ht="9" hidden="1" customHeight="1" x14ac:dyDescent="0.25">
      <c r="A89"/>
      <c r="B89"/>
      <c r="C89" s="78"/>
      <c r="D89" s="79"/>
      <c r="E89"/>
      <c r="F89"/>
      <c r="G89"/>
      <c r="H89" s="9"/>
      <c r="I89" s="9"/>
      <c r="J89" s="9"/>
      <c r="K89" s="9"/>
      <c r="L89"/>
      <c r="M89"/>
      <c r="N89"/>
      <c r="O89" t="str">
        <v>Fenandez</v>
      </c>
      <c r="P89" t="str">
        <v>Soccer</v>
      </c>
      <c r="Q89" t="str">
        <v>Professional</v>
      </c>
      <c r="R89" t="str">
        <v>N/A</v>
      </c>
      <c r="S89" t="str">
        <v>Female</v>
      </c>
      <c r="T89" t="str">
        <v>ISOMED 2000</v>
      </c>
      <c r="U89"/>
      <c r="V89"/>
      <c r="W89"/>
      <c r="X89"/>
      <c r="Y89"/>
      <c r="Z89"/>
      <c r="AA89"/>
      <c r="AB89"/>
      <c r="AC89"/>
      <c r="AD89"/>
      <c r="AE89"/>
      <c r="AF89"/>
      <c r="AG89" s="202"/>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row>
    <row r="90" spans="1:123" s="2" customFormat="1" ht="9" hidden="1" customHeight="1" x14ac:dyDescent="0.25">
      <c r="A90"/>
      <c r="B90"/>
      <c r="C90" s="78"/>
      <c r="D90" s="79"/>
      <c r="E90"/>
      <c r="F90"/>
      <c r="G90"/>
      <c r="H90" s="9"/>
      <c r="I90" s="9"/>
      <c r="J90" s="9"/>
      <c r="K90" s="9"/>
      <c r="L90"/>
      <c r="M90"/>
      <c r="N90"/>
      <c r="O90" t="str">
        <v>Fenandez</v>
      </c>
      <c r="P90" t="str">
        <v>Soccer</v>
      </c>
      <c r="Q90" t="str">
        <v>Professional</v>
      </c>
      <c r="R90" t="str">
        <v>N/A</v>
      </c>
      <c r="S90" t="str">
        <v>Female</v>
      </c>
      <c r="T90" t="str">
        <v>ISOMED 2000</v>
      </c>
      <c r="U90"/>
      <c r="V90"/>
      <c r="W90"/>
      <c r="X90"/>
      <c r="Y90"/>
      <c r="Z90"/>
      <c r="AA90"/>
      <c r="AB90"/>
      <c r="AC90"/>
      <c r="AD90"/>
      <c r="AE90"/>
      <c r="AF90"/>
      <c r="AG90" s="202"/>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row>
    <row r="91" spans="1:123" s="2" customFormat="1" ht="9" hidden="1" customHeight="1" x14ac:dyDescent="0.25">
      <c r="A91"/>
      <c r="B91"/>
      <c r="C91" s="78"/>
      <c r="D91" s="79"/>
      <c r="E91"/>
      <c r="F91"/>
      <c r="G91"/>
      <c r="H91" s="9"/>
      <c r="I91" s="9"/>
      <c r="J91" s="9"/>
      <c r="K91" s="9"/>
      <c r="L91"/>
      <c r="M91"/>
      <c r="N91"/>
      <c r="O91" t="str">
        <v>Fousekis</v>
      </c>
      <c r="P91" t="str">
        <v>Soccer</v>
      </c>
      <c r="Q91" t="str">
        <v>Professional</v>
      </c>
      <c r="R91" t="str">
        <v>N/A</v>
      </c>
      <c r="S91" t="str">
        <v>Male</v>
      </c>
      <c r="T91" t="str">
        <v>Biodex</v>
      </c>
      <c r="U91"/>
      <c r="V91"/>
      <c r="W91"/>
      <c r="X91"/>
      <c r="Y91"/>
      <c r="Z91"/>
      <c r="AA91"/>
      <c r="AB91"/>
      <c r="AC91"/>
      <c r="AD91"/>
      <c r="AE91"/>
      <c r="AF91"/>
      <c r="AG91" s="202"/>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row>
    <row r="92" spans="1:123" s="2" customFormat="1" ht="9" hidden="1" customHeight="1" x14ac:dyDescent="0.25">
      <c r="A92"/>
      <c r="B92"/>
      <c r="C92" s="78"/>
      <c r="D92" s="79"/>
      <c r="E92"/>
      <c r="F92"/>
      <c r="G92"/>
      <c r="H92" s="9"/>
      <c r="I92" s="9"/>
      <c r="J92" s="9"/>
      <c r="K92" s="9"/>
      <c r="L92"/>
      <c r="M92"/>
      <c r="N92"/>
      <c r="O92" t="str">
        <v>Fousekis</v>
      </c>
      <c r="P92" t="str">
        <v>Soccer</v>
      </c>
      <c r="Q92" t="str">
        <v>Professional</v>
      </c>
      <c r="R92" t="str">
        <v>N/A</v>
      </c>
      <c r="S92" t="str">
        <v>Male</v>
      </c>
      <c r="T92" t="str">
        <v>Biodex</v>
      </c>
      <c r="U92"/>
      <c r="V92"/>
      <c r="W92"/>
      <c r="X92"/>
      <c r="Y92"/>
      <c r="Z92"/>
      <c r="AA92"/>
      <c r="AB92"/>
      <c r="AC92"/>
      <c r="AD92"/>
      <c r="AE92"/>
      <c r="AF92"/>
      <c r="AG92" s="20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row>
    <row r="93" spans="1:123" s="2" customFormat="1" ht="9" hidden="1" customHeight="1" x14ac:dyDescent="0.25">
      <c r="A93"/>
      <c r="B93"/>
      <c r="C93" s="78"/>
      <c r="D93" s="79"/>
      <c r="E93"/>
      <c r="F93"/>
      <c r="G93"/>
      <c r="H93" s="9"/>
      <c r="I93" s="9"/>
      <c r="J93" s="9"/>
      <c r="K93" s="9"/>
      <c r="L93"/>
      <c r="M93"/>
      <c r="N93"/>
      <c r="O93" t="str">
        <v>Fousekis</v>
      </c>
      <c r="P93" t="str">
        <v>Soccer</v>
      </c>
      <c r="Q93" t="str">
        <v>Professional</v>
      </c>
      <c r="R93" t="str">
        <v>N/A</v>
      </c>
      <c r="S93" t="str">
        <v>Male</v>
      </c>
      <c r="T93" t="str">
        <v>Biodex</v>
      </c>
      <c r="U93"/>
      <c r="V93"/>
      <c r="W93"/>
      <c r="X93"/>
      <c r="Y93"/>
      <c r="Z93"/>
      <c r="AA93"/>
      <c r="AB93"/>
      <c r="AC93"/>
      <c r="AD93"/>
      <c r="AE93"/>
      <c r="AF93"/>
      <c r="AG93" s="202"/>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row>
    <row r="94" spans="1:123" s="2" customFormat="1" ht="9" hidden="1" customHeight="1" x14ac:dyDescent="0.25">
      <c r="A94"/>
      <c r="B94"/>
      <c r="C94" s="78"/>
      <c r="D94" s="79"/>
      <c r="E94"/>
      <c r="F94"/>
      <c r="G94"/>
      <c r="H94" s="9"/>
      <c r="I94" s="9"/>
      <c r="J94" s="9"/>
      <c r="K94" s="9"/>
      <c r="L94"/>
      <c r="M94"/>
      <c r="N94"/>
      <c r="O94" t="str">
        <v>Fousekis</v>
      </c>
      <c r="P94" t="str">
        <v>Soccer</v>
      </c>
      <c r="Q94" t="str">
        <v>Professional</v>
      </c>
      <c r="R94" t="str">
        <v>N/A</v>
      </c>
      <c r="S94" t="str">
        <v>Male</v>
      </c>
      <c r="T94" t="str">
        <v>Biodex</v>
      </c>
      <c r="U94"/>
      <c r="V94"/>
      <c r="W94"/>
      <c r="X94"/>
      <c r="Y94"/>
      <c r="Z94"/>
      <c r="AA94"/>
      <c r="AB94"/>
      <c r="AC94"/>
      <c r="AD94"/>
      <c r="AE94"/>
      <c r="AF94"/>
      <c r="AG94" s="202"/>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row>
    <row r="95" spans="1:123" s="2" customFormat="1" ht="9" hidden="1" customHeight="1" x14ac:dyDescent="0.25">
      <c r="A95"/>
      <c r="B95"/>
      <c r="C95" s="78"/>
      <c r="D95" s="79"/>
      <c r="E95"/>
      <c r="F95"/>
      <c r="G95"/>
      <c r="H95" s="9"/>
      <c r="I95" s="9"/>
      <c r="J95" s="9"/>
      <c r="K95" s="9"/>
      <c r="L95"/>
      <c r="M95"/>
      <c r="N95"/>
      <c r="O95" t="str">
        <v>Fousekis</v>
      </c>
      <c r="P95" t="str">
        <v>Soccer</v>
      </c>
      <c r="Q95" t="str">
        <v>Professional</v>
      </c>
      <c r="R95" t="str">
        <v>N/A</v>
      </c>
      <c r="S95" t="str">
        <v>Male</v>
      </c>
      <c r="T95" t="str">
        <v>Biodex</v>
      </c>
      <c r="U95"/>
      <c r="V95"/>
      <c r="W95"/>
      <c r="X95"/>
      <c r="Y95"/>
      <c r="Z95"/>
      <c r="AA95"/>
      <c r="AB95"/>
      <c r="AC95"/>
      <c r="AD95"/>
      <c r="AE95"/>
      <c r="AF95"/>
      <c r="AG95" s="202"/>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row>
    <row r="96" spans="1:123" s="2" customFormat="1" ht="9" hidden="1" customHeight="1" x14ac:dyDescent="0.25">
      <c r="A96"/>
      <c r="B96"/>
      <c r="C96" s="78"/>
      <c r="D96" s="79"/>
      <c r="E96"/>
      <c r="F96"/>
      <c r="G96"/>
      <c r="H96" s="9"/>
      <c r="I96" s="9"/>
      <c r="J96" s="9"/>
      <c r="K96" s="9"/>
      <c r="L96"/>
      <c r="M96"/>
      <c r="N96"/>
      <c r="O96" t="str">
        <v>Fousekis</v>
      </c>
      <c r="P96" t="str">
        <v>Soccer</v>
      </c>
      <c r="Q96" t="str">
        <v>Professional</v>
      </c>
      <c r="R96" t="str">
        <v>N/A</v>
      </c>
      <c r="S96" t="str">
        <v>Male</v>
      </c>
      <c r="T96" t="str">
        <v>Biodex</v>
      </c>
      <c r="U96"/>
      <c r="V96"/>
      <c r="W96"/>
      <c r="X96"/>
      <c r="Y96"/>
      <c r="Z96"/>
      <c r="AA96"/>
      <c r="AB96"/>
      <c r="AC96"/>
      <c r="AD96"/>
      <c r="AE96"/>
      <c r="AF96"/>
      <c r="AG96" s="202"/>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row>
    <row r="97" spans="1:123" s="2" customFormat="1" ht="9" hidden="1" customHeight="1" x14ac:dyDescent="0.25">
      <c r="A97"/>
      <c r="B97"/>
      <c r="C97" s="78"/>
      <c r="D97" s="79"/>
      <c r="E97"/>
      <c r="F97"/>
      <c r="G97"/>
      <c r="H97" s="9"/>
      <c r="I97" s="9"/>
      <c r="J97" s="9"/>
      <c r="K97" s="9"/>
      <c r="L97"/>
      <c r="M97"/>
      <c r="N97"/>
      <c r="O97" t="str">
        <v>Fousekis</v>
      </c>
      <c r="P97" t="str">
        <v>Soccer</v>
      </c>
      <c r="Q97" t="str">
        <v>Professional</v>
      </c>
      <c r="R97" t="str">
        <v>N/A</v>
      </c>
      <c r="S97" t="str">
        <v>Male</v>
      </c>
      <c r="T97" t="str">
        <v>Biodex</v>
      </c>
      <c r="U97"/>
      <c r="V97"/>
      <c r="W97"/>
      <c r="X97"/>
      <c r="Y97"/>
      <c r="Z97"/>
      <c r="AA97"/>
      <c r="AB97"/>
      <c r="AC97"/>
      <c r="AD97"/>
      <c r="AE97"/>
      <c r="AF97"/>
      <c r="AG97" s="202"/>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row>
    <row r="98" spans="1:123" s="2" customFormat="1" ht="9" hidden="1" customHeight="1" x14ac:dyDescent="0.25">
      <c r="A98"/>
      <c r="B98"/>
      <c r="C98" s="78"/>
      <c r="D98" s="79"/>
      <c r="E98"/>
      <c r="F98"/>
      <c r="G98"/>
      <c r="H98" s="9"/>
      <c r="I98" s="9"/>
      <c r="J98" s="9"/>
      <c r="K98" s="9"/>
      <c r="L98"/>
      <c r="M98"/>
      <c r="N98"/>
      <c r="O98" t="str">
        <v>Fousekis</v>
      </c>
      <c r="P98" t="str">
        <v>Soccer</v>
      </c>
      <c r="Q98" t="str">
        <v>Professional</v>
      </c>
      <c r="R98" t="str">
        <v>N/A</v>
      </c>
      <c r="S98" t="str">
        <v>Male</v>
      </c>
      <c r="T98" t="str">
        <v>Biodex</v>
      </c>
      <c r="U98"/>
      <c r="V98"/>
      <c r="W98"/>
      <c r="X98"/>
      <c r="Y98"/>
      <c r="Z98"/>
      <c r="AA98"/>
      <c r="AB98"/>
      <c r="AC98"/>
      <c r="AD98"/>
      <c r="AE98"/>
      <c r="AF98"/>
      <c r="AG98" s="202"/>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row>
    <row r="99" spans="1:123" s="2" customFormat="1" ht="9" hidden="1" customHeight="1" x14ac:dyDescent="0.25">
      <c r="A99"/>
      <c r="B99"/>
      <c r="C99" s="78"/>
      <c r="D99" s="79"/>
      <c r="E99"/>
      <c r="F99"/>
      <c r="G99"/>
      <c r="H99" s="9"/>
      <c r="I99" s="9"/>
      <c r="J99" s="9"/>
      <c r="K99" s="9"/>
      <c r="L99"/>
      <c r="M99"/>
      <c r="N99"/>
      <c r="O99" t="str">
        <v>Fousekis</v>
      </c>
      <c r="P99" t="str">
        <v>Soccer</v>
      </c>
      <c r="Q99" t="str">
        <v>Professional</v>
      </c>
      <c r="R99" t="str">
        <v>N/A</v>
      </c>
      <c r="S99" t="str">
        <v>Male</v>
      </c>
      <c r="T99" t="str">
        <v>Biodex</v>
      </c>
      <c r="U99"/>
      <c r="V99"/>
      <c r="W99"/>
      <c r="X99"/>
      <c r="Y99"/>
      <c r="Z99"/>
      <c r="AA99"/>
      <c r="AB99"/>
      <c r="AC99"/>
      <c r="AD99"/>
      <c r="AE99"/>
      <c r="AF99"/>
      <c r="AG99" s="202"/>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row>
    <row r="100" spans="1:123" s="2" customFormat="1" ht="9" hidden="1" customHeight="1" x14ac:dyDescent="0.25">
      <c r="A100"/>
      <c r="B100"/>
      <c r="C100" s="78"/>
      <c r="D100" s="79"/>
      <c r="E100"/>
      <c r="F100"/>
      <c r="G100"/>
      <c r="H100" s="9"/>
      <c r="I100" s="9"/>
      <c r="J100" s="9"/>
      <c r="K100" s="9"/>
      <c r="L100"/>
      <c r="M100"/>
      <c r="N100"/>
      <c r="O100" t="str">
        <v>Fousekis</v>
      </c>
      <c r="P100" t="str">
        <v>Soccer</v>
      </c>
      <c r="Q100" t="str">
        <v>Professional</v>
      </c>
      <c r="R100" t="str">
        <v>N/A</v>
      </c>
      <c r="S100" t="str">
        <v>Male</v>
      </c>
      <c r="T100" t="str">
        <v>Biodex</v>
      </c>
      <c r="U100"/>
      <c r="V100"/>
      <c r="W100"/>
      <c r="X100"/>
      <c r="Y100"/>
      <c r="Z100"/>
      <c r="AA100"/>
      <c r="AB100"/>
      <c r="AC100"/>
      <c r="AD100"/>
      <c r="AE100"/>
      <c r="AF100"/>
      <c r="AG100" s="202"/>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row>
    <row r="101" spans="1:123" s="2" customFormat="1" ht="9" hidden="1" customHeight="1" x14ac:dyDescent="0.25">
      <c r="A101"/>
      <c r="B101"/>
      <c r="C101" s="78"/>
      <c r="D101" s="79"/>
      <c r="E101"/>
      <c r="F101"/>
      <c r="G101"/>
      <c r="H101" s="9"/>
      <c r="I101" s="9"/>
      <c r="J101" s="9"/>
      <c r="K101" s="9"/>
      <c r="L101"/>
      <c r="M101"/>
      <c r="N101"/>
      <c r="O101" t="str">
        <v>Franca</v>
      </c>
      <c r="P101" t="str">
        <v>Soccer</v>
      </c>
      <c r="Q101" t="str">
        <v>Youth</v>
      </c>
      <c r="R101" t="str">
        <v>N/A</v>
      </c>
      <c r="S101" t="str">
        <v>Male</v>
      </c>
      <c r="T101" t="str">
        <v>Biodex</v>
      </c>
      <c r="U101"/>
      <c r="V101"/>
      <c r="W101"/>
      <c r="X101"/>
      <c r="Y101"/>
      <c r="Z101"/>
      <c r="AA101"/>
      <c r="AB101"/>
      <c r="AC101"/>
      <c r="AD101"/>
      <c r="AE101"/>
      <c r="AF101"/>
      <c r="AG101" s="202"/>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row>
    <row r="102" spans="1:123" s="2" customFormat="1" ht="9" hidden="1" customHeight="1" x14ac:dyDescent="0.25">
      <c r="A102"/>
      <c r="B102"/>
      <c r="C102" s="78"/>
      <c r="D102" s="79"/>
      <c r="E102"/>
      <c r="F102"/>
      <c r="G102"/>
      <c r="H102" s="9"/>
      <c r="I102" s="9"/>
      <c r="J102" s="9"/>
      <c r="K102" s="9"/>
      <c r="L102"/>
      <c r="M102"/>
      <c r="N102"/>
      <c r="O102" t="str">
        <v>Franca</v>
      </c>
      <c r="P102" t="str">
        <v>Soccer</v>
      </c>
      <c r="Q102" t="str">
        <v>Youth</v>
      </c>
      <c r="R102" t="str">
        <v>N/A</v>
      </c>
      <c r="S102" t="str">
        <v>Male</v>
      </c>
      <c r="T102" t="str">
        <v>Biodex</v>
      </c>
      <c r="U102"/>
      <c r="V102"/>
      <c r="W102"/>
      <c r="X102"/>
      <c r="Y102"/>
      <c r="Z102"/>
      <c r="AA102"/>
      <c r="AB102"/>
      <c r="AC102"/>
      <c r="AD102"/>
      <c r="AE102"/>
      <c r="AF102"/>
      <c r="AG102" s="2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row>
    <row r="103" spans="1:123" s="2" customFormat="1" ht="9" hidden="1" customHeight="1" x14ac:dyDescent="0.25">
      <c r="A103"/>
      <c r="B103"/>
      <c r="C103" s="78"/>
      <c r="D103" s="79"/>
      <c r="E103"/>
      <c r="F103"/>
      <c r="G103"/>
      <c r="H103" s="9"/>
      <c r="I103" s="9"/>
      <c r="J103" s="9"/>
      <c r="K103" s="9"/>
      <c r="L103"/>
      <c r="M103"/>
      <c r="N103"/>
      <c r="O103" t="str">
        <v>Gorski</v>
      </c>
      <c r="P103" t="str">
        <v>Soccer</v>
      </c>
      <c r="Q103" t="str">
        <v>Youth</v>
      </c>
      <c r="R103" t="str">
        <v>S.Goalkeeper</v>
      </c>
      <c r="S103" t="str">
        <v>Male</v>
      </c>
      <c r="T103" t="str">
        <v>Biodex</v>
      </c>
      <c r="U103"/>
      <c r="V103"/>
      <c r="W103"/>
      <c r="X103"/>
      <c r="Y103"/>
      <c r="Z103"/>
      <c r="AA103"/>
      <c r="AB103"/>
      <c r="AC103"/>
      <c r="AD103"/>
      <c r="AE103"/>
      <c r="AF103"/>
      <c r="AG103" s="202"/>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row>
    <row r="104" spans="1:123" s="2" customFormat="1" ht="9" hidden="1" customHeight="1" x14ac:dyDescent="0.25">
      <c r="A104"/>
      <c r="B104"/>
      <c r="C104" s="78"/>
      <c r="D104" s="79"/>
      <c r="E104"/>
      <c r="F104"/>
      <c r="G104"/>
      <c r="H104" s="9"/>
      <c r="I104" s="9"/>
      <c r="J104" s="9"/>
      <c r="K104" s="9"/>
      <c r="L104"/>
      <c r="M104"/>
      <c r="N104"/>
      <c r="O104" t="str">
        <v>Gorski</v>
      </c>
      <c r="P104" t="str">
        <v>Soccer</v>
      </c>
      <c r="Q104" t="str">
        <v>Youth</v>
      </c>
      <c r="R104" t="str">
        <v>S.Defense</v>
      </c>
      <c r="S104" t="str">
        <v>Male</v>
      </c>
      <c r="T104" t="str">
        <v>Biodex</v>
      </c>
      <c r="U104"/>
      <c r="V104"/>
      <c r="W104"/>
      <c r="X104"/>
      <c r="Y104"/>
      <c r="Z104"/>
      <c r="AA104"/>
      <c r="AB104"/>
      <c r="AC104"/>
      <c r="AD104"/>
      <c r="AE104"/>
      <c r="AF104"/>
      <c r="AG104" s="202"/>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row>
    <row r="105" spans="1:123" s="2" customFormat="1" ht="9" hidden="1" customHeight="1" x14ac:dyDescent="0.25">
      <c r="A105"/>
      <c r="B105"/>
      <c r="C105" s="78"/>
      <c r="D105" s="79"/>
      <c r="E105"/>
      <c r="F105"/>
      <c r="G105"/>
      <c r="H105" s="9"/>
      <c r="I105" s="9"/>
      <c r="J105" s="9"/>
      <c r="K105" s="9"/>
      <c r="L105"/>
      <c r="M105"/>
      <c r="N105"/>
      <c r="O105" t="str">
        <v>Gorski</v>
      </c>
      <c r="P105" t="str">
        <v>Soccer</v>
      </c>
      <c r="Q105" t="str">
        <v>Youth</v>
      </c>
      <c r="R105" t="str">
        <v>S.Midfield</v>
      </c>
      <c r="S105" t="str">
        <v>Male</v>
      </c>
      <c r="T105" t="str">
        <v>Biodex</v>
      </c>
      <c r="U105"/>
      <c r="V105"/>
      <c r="W105"/>
      <c r="X105"/>
      <c r="Y105"/>
      <c r="Z105"/>
      <c r="AA105"/>
      <c r="AB105"/>
      <c r="AC105"/>
      <c r="AD105"/>
      <c r="AE105"/>
      <c r="AF105"/>
      <c r="AG105" s="202"/>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row>
    <row r="106" spans="1:123" s="2" customFormat="1" ht="9" hidden="1" customHeight="1" x14ac:dyDescent="0.25">
      <c r="A106"/>
      <c r="B106"/>
      <c r="C106" s="78"/>
      <c r="D106" s="79"/>
      <c r="E106"/>
      <c r="F106"/>
      <c r="G106"/>
      <c r="H106" s="9"/>
      <c r="I106" s="9"/>
      <c r="J106" s="9"/>
      <c r="K106" s="9"/>
      <c r="L106"/>
      <c r="M106"/>
      <c r="N106"/>
      <c r="O106" t="str">
        <v>Gorski</v>
      </c>
      <c r="P106" t="str">
        <v>Soccer</v>
      </c>
      <c r="Q106" t="str">
        <v>Youth</v>
      </c>
      <c r="R106" t="str">
        <v>S.Striker</v>
      </c>
      <c r="S106" t="str">
        <v>Male</v>
      </c>
      <c r="T106" t="str">
        <v>Biodex</v>
      </c>
      <c r="U106"/>
      <c r="V106"/>
      <c r="W106"/>
      <c r="X106"/>
      <c r="Y106"/>
      <c r="Z106"/>
      <c r="AA106"/>
      <c r="AB106"/>
      <c r="AC106"/>
      <c r="AD106"/>
      <c r="AE106"/>
      <c r="AF106"/>
      <c r="AG106" s="202"/>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row>
    <row r="107" spans="1:123" s="2" customFormat="1" ht="9" hidden="1" customHeight="1" x14ac:dyDescent="0.25">
      <c r="A107"/>
      <c r="B107"/>
      <c r="C107" s="78"/>
      <c r="D107" s="79"/>
      <c r="E107"/>
      <c r="F107"/>
      <c r="G107"/>
      <c r="H107" s="9"/>
      <c r="I107" s="9"/>
      <c r="J107" s="9"/>
      <c r="K107" s="9"/>
      <c r="L107"/>
      <c r="M107"/>
      <c r="N107"/>
      <c r="O107" t="str">
        <v>Gorski</v>
      </c>
      <c r="P107" t="str">
        <v>Soccer</v>
      </c>
      <c r="Q107" t="str">
        <v>Youth</v>
      </c>
      <c r="R107" t="str">
        <v>S.Goalkeeper</v>
      </c>
      <c r="S107" t="str">
        <v>Male</v>
      </c>
      <c r="T107" t="str">
        <v>Biodex</v>
      </c>
      <c r="U107"/>
      <c r="V107"/>
      <c r="W107"/>
      <c r="X107"/>
      <c r="Y107"/>
      <c r="Z107"/>
      <c r="AA107"/>
      <c r="AB107"/>
      <c r="AC107"/>
      <c r="AD107"/>
      <c r="AE107"/>
      <c r="AF107"/>
      <c r="AG107" s="202"/>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row>
    <row r="108" spans="1:123" s="2" customFormat="1" ht="9" hidden="1" customHeight="1" x14ac:dyDescent="0.25">
      <c r="A108"/>
      <c r="B108"/>
      <c r="C108" s="78"/>
      <c r="D108" s="79"/>
      <c r="E108"/>
      <c r="F108"/>
      <c r="G108"/>
      <c r="H108" s="9"/>
      <c r="I108" s="9"/>
      <c r="J108" s="9"/>
      <c r="K108" s="9"/>
      <c r="L108"/>
      <c r="M108"/>
      <c r="N108"/>
      <c r="O108" t="str">
        <v>Gorski</v>
      </c>
      <c r="P108" t="str">
        <v>Soccer</v>
      </c>
      <c r="Q108" t="str">
        <v>Youth</v>
      </c>
      <c r="R108" t="str">
        <v>S.Defense</v>
      </c>
      <c r="S108" t="str">
        <v>Male</v>
      </c>
      <c r="T108" t="str">
        <v>Biodex</v>
      </c>
      <c r="U108"/>
      <c r="V108"/>
      <c r="W108"/>
      <c r="X108"/>
      <c r="Y108"/>
      <c r="Z108"/>
      <c r="AA108"/>
      <c r="AB108"/>
      <c r="AC108"/>
      <c r="AD108"/>
      <c r="AE108"/>
      <c r="AF108"/>
      <c r="AG108" s="202"/>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row>
    <row r="109" spans="1:123" s="2" customFormat="1" ht="9" hidden="1" customHeight="1" x14ac:dyDescent="0.25">
      <c r="A109"/>
      <c r="B109"/>
      <c r="C109" s="78"/>
      <c r="D109" s="79"/>
      <c r="E109"/>
      <c r="F109"/>
      <c r="G109"/>
      <c r="H109" s="9"/>
      <c r="I109" s="9"/>
      <c r="J109" s="9"/>
      <c r="K109" s="9"/>
      <c r="L109"/>
      <c r="M109"/>
      <c r="N109"/>
      <c r="O109" t="str">
        <v>Gorski</v>
      </c>
      <c r="P109" t="str">
        <v>Soccer</v>
      </c>
      <c r="Q109" t="str">
        <v>Youth</v>
      </c>
      <c r="R109" t="str">
        <v>S.Midfield</v>
      </c>
      <c r="S109" t="str">
        <v>Male</v>
      </c>
      <c r="T109" t="str">
        <v>Biodex</v>
      </c>
      <c r="U109"/>
      <c r="V109"/>
      <c r="W109"/>
      <c r="X109"/>
      <c r="Y109"/>
      <c r="Z109"/>
      <c r="AA109"/>
      <c r="AB109"/>
      <c r="AC109"/>
      <c r="AD109"/>
      <c r="AE109"/>
      <c r="AF109"/>
      <c r="AG109" s="202"/>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row>
    <row r="110" spans="1:123" s="2" customFormat="1" ht="9" hidden="1" customHeight="1" x14ac:dyDescent="0.25">
      <c r="A110"/>
      <c r="B110"/>
      <c r="C110" s="78"/>
      <c r="D110" s="79"/>
      <c r="E110"/>
      <c r="F110"/>
      <c r="G110"/>
      <c r="H110" s="9"/>
      <c r="I110" s="9"/>
      <c r="J110" s="9"/>
      <c r="K110" s="9"/>
      <c r="L110"/>
      <c r="M110"/>
      <c r="N110"/>
      <c r="O110" t="str">
        <v>Gorski</v>
      </c>
      <c r="P110" t="str">
        <v>Soccer</v>
      </c>
      <c r="Q110" t="str">
        <v>Youth</v>
      </c>
      <c r="R110" t="str">
        <v>S.Striker</v>
      </c>
      <c r="S110" t="str">
        <v>Male</v>
      </c>
      <c r="T110" t="str">
        <v>Biodex</v>
      </c>
      <c r="U110"/>
      <c r="V110"/>
      <c r="W110"/>
      <c r="X110"/>
      <c r="Y110"/>
      <c r="Z110"/>
      <c r="AA110"/>
      <c r="AB110"/>
      <c r="AC110"/>
      <c r="AD110"/>
      <c r="AE110"/>
      <c r="AF110"/>
      <c r="AG110" s="202"/>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row>
    <row r="111" spans="1:123" s="2" customFormat="1" ht="9" hidden="1" customHeight="1" x14ac:dyDescent="0.25">
      <c r="A111"/>
      <c r="B111"/>
      <c r="C111" s="78"/>
      <c r="D111" s="79"/>
      <c r="E111"/>
      <c r="F111"/>
      <c r="G111"/>
      <c r="H111" s="9"/>
      <c r="I111" s="9"/>
      <c r="J111" s="9"/>
      <c r="K111" s="9"/>
      <c r="L111"/>
      <c r="M111"/>
      <c r="N111"/>
      <c r="O111" t="str">
        <v>Gorski</v>
      </c>
      <c r="P111" t="str">
        <v>Soccer</v>
      </c>
      <c r="Q111" t="str">
        <v>Youth</v>
      </c>
      <c r="R111" t="str">
        <v>S.Goalkeeper</v>
      </c>
      <c r="S111" t="str">
        <v>Male</v>
      </c>
      <c r="T111" t="str">
        <v>Biodex</v>
      </c>
      <c r="U111"/>
      <c r="V111"/>
      <c r="W111"/>
      <c r="X111"/>
      <c r="Y111"/>
      <c r="Z111"/>
      <c r="AA111"/>
      <c r="AB111"/>
      <c r="AC111"/>
      <c r="AD111"/>
      <c r="AE111"/>
      <c r="AF111"/>
      <c r="AG111" s="202"/>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row>
    <row r="112" spans="1:123" s="2" customFormat="1" ht="9" hidden="1" customHeight="1" x14ac:dyDescent="0.25">
      <c r="A112"/>
      <c r="B112"/>
      <c r="C112" s="78"/>
      <c r="D112" s="79"/>
      <c r="E112"/>
      <c r="F112"/>
      <c r="G112"/>
      <c r="H112" s="9"/>
      <c r="I112" s="9"/>
      <c r="J112" s="9"/>
      <c r="K112" s="9"/>
      <c r="L112"/>
      <c r="M112"/>
      <c r="N112"/>
      <c r="O112" t="str">
        <v>Gorski</v>
      </c>
      <c r="P112" t="str">
        <v>Soccer</v>
      </c>
      <c r="Q112" t="str">
        <v>Youth</v>
      </c>
      <c r="R112" t="str">
        <v>S.Defense</v>
      </c>
      <c r="S112" t="str">
        <v>Male</v>
      </c>
      <c r="T112" t="str">
        <v>Biodex</v>
      </c>
      <c r="U112"/>
      <c r="V112"/>
      <c r="W112"/>
      <c r="X112"/>
      <c r="Y112"/>
      <c r="Z112"/>
      <c r="AA112"/>
      <c r="AB112"/>
      <c r="AC112"/>
      <c r="AD112"/>
      <c r="AE112"/>
      <c r="AF112"/>
      <c r="AG112" s="20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row>
    <row r="113" spans="1:123" s="2" customFormat="1" ht="9" hidden="1" customHeight="1" x14ac:dyDescent="0.25">
      <c r="A113"/>
      <c r="B113"/>
      <c r="C113" s="78"/>
      <c r="D113" s="79"/>
      <c r="E113"/>
      <c r="F113"/>
      <c r="G113"/>
      <c r="H113" s="9"/>
      <c r="I113" s="9"/>
      <c r="J113" s="9"/>
      <c r="K113" s="9"/>
      <c r="L113"/>
      <c r="M113"/>
      <c r="N113"/>
      <c r="O113" t="str">
        <v>Gorski</v>
      </c>
      <c r="P113" t="str">
        <v>Soccer</v>
      </c>
      <c r="Q113" t="str">
        <v>Youth</v>
      </c>
      <c r="R113" t="str">
        <v>S.Midfield</v>
      </c>
      <c r="S113" t="str">
        <v>Male</v>
      </c>
      <c r="T113" t="str">
        <v>Biodex</v>
      </c>
      <c r="U113"/>
      <c r="V113"/>
      <c r="W113"/>
      <c r="X113"/>
      <c r="Y113"/>
      <c r="Z113"/>
      <c r="AA113"/>
      <c r="AB113"/>
      <c r="AC113"/>
      <c r="AD113"/>
      <c r="AE113"/>
      <c r="AF113"/>
      <c r="AG113" s="202"/>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row>
    <row r="114" spans="1:123" s="2" customFormat="1" ht="9" hidden="1" customHeight="1" x14ac:dyDescent="0.25">
      <c r="A114"/>
      <c r="B114"/>
      <c r="C114" s="78"/>
      <c r="D114" s="79"/>
      <c r="E114"/>
      <c r="F114"/>
      <c r="G114"/>
      <c r="H114" s="9"/>
      <c r="I114" s="9"/>
      <c r="J114" s="9"/>
      <c r="K114" s="9"/>
      <c r="L114"/>
      <c r="M114"/>
      <c r="N114"/>
      <c r="O114" t="str">
        <v>Gorski</v>
      </c>
      <c r="P114" t="str">
        <v>Soccer</v>
      </c>
      <c r="Q114" t="str">
        <v>Youth</v>
      </c>
      <c r="R114" t="str">
        <v>S.Striker</v>
      </c>
      <c r="S114" t="str">
        <v>Male</v>
      </c>
      <c r="T114" t="str">
        <v>Biodex</v>
      </c>
      <c r="U114"/>
      <c r="V114"/>
      <c r="W114"/>
      <c r="X114"/>
      <c r="Y114"/>
      <c r="Z114"/>
      <c r="AA114"/>
      <c r="AB114"/>
      <c r="AC114"/>
      <c r="AD114"/>
      <c r="AE114"/>
      <c r="AF114"/>
      <c r="AG114" s="202"/>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row>
    <row r="115" spans="1:123" s="2" customFormat="1" ht="9" hidden="1" customHeight="1" x14ac:dyDescent="0.25">
      <c r="A115"/>
      <c r="B115"/>
      <c r="C115" s="78"/>
      <c r="D115" s="79"/>
      <c r="E115"/>
      <c r="F115"/>
      <c r="G115"/>
      <c r="H115" s="9"/>
      <c r="I115" s="9"/>
      <c r="J115" s="9"/>
      <c r="K115" s="9"/>
      <c r="L115"/>
      <c r="M115"/>
      <c r="N115"/>
      <c r="O115" t="str">
        <v>Henderson</v>
      </c>
      <c r="P115" t="str">
        <v>Soccer</v>
      </c>
      <c r="Q115" t="str">
        <v>Professional</v>
      </c>
      <c r="R115" t="str">
        <v>N/A</v>
      </c>
      <c r="S115" t="str">
        <v>Male</v>
      </c>
      <c r="T115" t="str">
        <v>Biodex</v>
      </c>
      <c r="U115"/>
      <c r="V115"/>
      <c r="W115"/>
      <c r="X115"/>
      <c r="Y115"/>
      <c r="Z115"/>
      <c r="AA115"/>
      <c r="AB115"/>
      <c r="AC115"/>
      <c r="AD115"/>
      <c r="AE115"/>
      <c r="AF115"/>
      <c r="AG115" s="202"/>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row>
    <row r="116" spans="1:123" s="2" customFormat="1" ht="9" hidden="1" customHeight="1" x14ac:dyDescent="0.25">
      <c r="A116"/>
      <c r="B116"/>
      <c r="C116" s="78"/>
      <c r="D116" s="79"/>
      <c r="E116"/>
      <c r="F116"/>
      <c r="G116"/>
      <c r="H116" s="9"/>
      <c r="I116" s="9"/>
      <c r="J116" s="9"/>
      <c r="K116" s="9"/>
      <c r="L116"/>
      <c r="M116"/>
      <c r="N116"/>
      <c r="O116" t="str">
        <v>Henderson</v>
      </c>
      <c r="P116" t="str">
        <v>Soccer</v>
      </c>
      <c r="Q116" t="str">
        <v>Professional</v>
      </c>
      <c r="R116" t="str">
        <v>N/A</v>
      </c>
      <c r="S116" t="str">
        <v>Male</v>
      </c>
      <c r="T116" t="str">
        <v>Biodex</v>
      </c>
      <c r="U116"/>
      <c r="V116"/>
      <c r="W116"/>
      <c r="X116"/>
      <c r="Y116"/>
      <c r="Z116"/>
      <c r="AA116"/>
      <c r="AB116"/>
      <c r="AC116"/>
      <c r="AD116"/>
      <c r="AE116"/>
      <c r="AF116"/>
      <c r="AG116" s="202"/>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row>
    <row r="117" spans="1:123" s="2" customFormat="1" ht="9" hidden="1" customHeight="1" x14ac:dyDescent="0.25">
      <c r="A117"/>
      <c r="B117"/>
      <c r="C117" s="78"/>
      <c r="D117" s="79"/>
      <c r="E117"/>
      <c r="F117"/>
      <c r="G117"/>
      <c r="H117" s="9"/>
      <c r="I117" s="9"/>
      <c r="J117" s="9"/>
      <c r="K117" s="9"/>
      <c r="L117"/>
      <c r="M117"/>
      <c r="N117"/>
      <c r="O117" t="str">
        <v>Henderson</v>
      </c>
      <c r="P117" t="str">
        <v>Soccer</v>
      </c>
      <c r="Q117" t="str">
        <v>Professional</v>
      </c>
      <c r="R117" t="str">
        <v>N/A</v>
      </c>
      <c r="S117" t="str">
        <v>Male</v>
      </c>
      <c r="T117" t="str">
        <v>Biodex</v>
      </c>
      <c r="U117"/>
      <c r="V117"/>
      <c r="W117"/>
      <c r="X117"/>
      <c r="Y117"/>
      <c r="Z117"/>
      <c r="AA117"/>
      <c r="AB117"/>
      <c r="AC117"/>
      <c r="AD117"/>
      <c r="AE117"/>
      <c r="AF117"/>
      <c r="AG117" s="202"/>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row>
    <row r="118" spans="1:123" s="2" customFormat="1" ht="9" hidden="1" customHeight="1" x14ac:dyDescent="0.25">
      <c r="A118"/>
      <c r="B118"/>
      <c r="C118" s="78"/>
      <c r="D118" s="79"/>
      <c r="E118"/>
      <c r="F118"/>
      <c r="G118"/>
      <c r="H118" s="9"/>
      <c r="I118" s="9"/>
      <c r="J118" s="9"/>
      <c r="K118" s="9"/>
      <c r="L118"/>
      <c r="M118"/>
      <c r="N118"/>
      <c r="O118" t="str">
        <v>Henderson</v>
      </c>
      <c r="P118" t="str">
        <v>Soccer</v>
      </c>
      <c r="Q118" t="str">
        <v>Professional</v>
      </c>
      <c r="R118" t="str">
        <v>N/A</v>
      </c>
      <c r="S118" t="str">
        <v>Male</v>
      </c>
      <c r="T118" t="str">
        <v>Biodex</v>
      </c>
      <c r="U118"/>
      <c r="V118"/>
      <c r="W118"/>
      <c r="X118"/>
      <c r="Y118"/>
      <c r="Z118"/>
      <c r="AA118"/>
      <c r="AB118"/>
      <c r="AC118"/>
      <c r="AD118"/>
      <c r="AE118"/>
      <c r="AF118"/>
      <c r="AG118" s="202"/>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row>
    <row r="119" spans="1:123" s="2" customFormat="1" ht="9" hidden="1" customHeight="1" x14ac:dyDescent="0.25">
      <c r="A119"/>
      <c r="B119"/>
      <c r="C119" s="78"/>
      <c r="D119" s="79"/>
      <c r="E119"/>
      <c r="F119"/>
      <c r="G119"/>
      <c r="H119" s="9"/>
      <c r="I119" s="9"/>
      <c r="J119" s="9"/>
      <c r="K119" s="9"/>
      <c r="L119"/>
      <c r="M119"/>
      <c r="N119"/>
      <c r="O119" t="str">
        <v>Henderson</v>
      </c>
      <c r="P119" t="str">
        <v>Soccer</v>
      </c>
      <c r="Q119" t="str">
        <v>Professional</v>
      </c>
      <c r="R119" t="str">
        <v>N/A</v>
      </c>
      <c r="S119" t="str">
        <v>Male</v>
      </c>
      <c r="T119" t="str">
        <v>Biodex</v>
      </c>
      <c r="U119"/>
      <c r="V119"/>
      <c r="W119"/>
      <c r="X119"/>
      <c r="Y119"/>
      <c r="Z119"/>
      <c r="AA119"/>
      <c r="AB119"/>
      <c r="AC119"/>
      <c r="AD119"/>
      <c r="AE119"/>
      <c r="AF119"/>
      <c r="AG119" s="202"/>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row>
    <row r="120" spans="1:123" s="2" customFormat="1" ht="9" hidden="1" customHeight="1" x14ac:dyDescent="0.25">
      <c r="A120"/>
      <c r="B120"/>
      <c r="C120" s="78"/>
      <c r="D120" s="79"/>
      <c r="E120"/>
      <c r="F120"/>
      <c r="G120"/>
      <c r="H120" s="9"/>
      <c r="I120" s="9"/>
      <c r="J120" s="9"/>
      <c r="K120" s="9"/>
      <c r="L120"/>
      <c r="M120"/>
      <c r="N120"/>
      <c r="O120" t="str">
        <v>Henderson</v>
      </c>
      <c r="P120" t="str">
        <v>Soccer</v>
      </c>
      <c r="Q120" t="str">
        <v>Professional</v>
      </c>
      <c r="R120" t="str">
        <v>N/A</v>
      </c>
      <c r="S120" t="str">
        <v>Male</v>
      </c>
      <c r="T120" t="str">
        <v>Biodex</v>
      </c>
      <c r="U120"/>
      <c r="V120"/>
      <c r="W120"/>
      <c r="X120"/>
      <c r="Y120"/>
      <c r="Z120"/>
      <c r="AA120"/>
      <c r="AB120"/>
      <c r="AC120"/>
      <c r="AD120"/>
      <c r="AE120"/>
      <c r="AF120"/>
      <c r="AG120" s="202"/>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row>
    <row r="121" spans="1:123" s="2" customFormat="1" ht="9" hidden="1" customHeight="1" x14ac:dyDescent="0.25">
      <c r="A121"/>
      <c r="B121"/>
      <c r="C121" s="78"/>
      <c r="D121" s="79"/>
      <c r="E121"/>
      <c r="F121"/>
      <c r="G121"/>
      <c r="H121" s="9"/>
      <c r="I121" s="9"/>
      <c r="J121" s="9"/>
      <c r="K121" s="9"/>
      <c r="L121"/>
      <c r="M121"/>
      <c r="N121"/>
      <c r="O121" t="str">
        <v>Henderson</v>
      </c>
      <c r="P121" t="str">
        <v>Soccer</v>
      </c>
      <c r="Q121" t="str">
        <v>Professional</v>
      </c>
      <c r="R121" t="str">
        <v>N/A</v>
      </c>
      <c r="S121" t="str">
        <v>Male</v>
      </c>
      <c r="T121" t="str">
        <v>Biodex</v>
      </c>
      <c r="U121"/>
      <c r="V121"/>
      <c r="W121"/>
      <c r="X121"/>
      <c r="Y121"/>
      <c r="Z121"/>
      <c r="AA121"/>
      <c r="AB121"/>
      <c r="AC121"/>
      <c r="AD121"/>
      <c r="AE121"/>
      <c r="AF121"/>
      <c r="AG121" s="202"/>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row>
    <row r="122" spans="1:123" s="2" customFormat="1" ht="9" hidden="1" customHeight="1" x14ac:dyDescent="0.25">
      <c r="A122"/>
      <c r="B122"/>
      <c r="C122" s="78"/>
      <c r="D122" s="79"/>
      <c r="E122"/>
      <c r="F122"/>
      <c r="G122"/>
      <c r="H122" s="9"/>
      <c r="I122" s="9"/>
      <c r="J122" s="9"/>
      <c r="K122" s="9"/>
      <c r="L122"/>
      <c r="M122"/>
      <c r="N122"/>
      <c r="O122" t="str">
        <v>Henderson</v>
      </c>
      <c r="P122" t="str">
        <v>Soccer</v>
      </c>
      <c r="Q122" t="str">
        <v>Professional</v>
      </c>
      <c r="R122" t="str">
        <v>N/A</v>
      </c>
      <c r="S122" t="str">
        <v>Male</v>
      </c>
      <c r="T122" t="str">
        <v>Biodex</v>
      </c>
      <c r="U122"/>
      <c r="V122"/>
      <c r="W122"/>
      <c r="X122"/>
      <c r="Y122"/>
      <c r="Z122"/>
      <c r="AA122"/>
      <c r="AB122"/>
      <c r="AC122"/>
      <c r="AD122"/>
      <c r="AE122"/>
      <c r="AF122"/>
      <c r="AG122" s="20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row>
    <row r="123" spans="1:123" s="2" customFormat="1" ht="9" hidden="1" customHeight="1" x14ac:dyDescent="0.25">
      <c r="A123"/>
      <c r="B123"/>
      <c r="C123" s="78"/>
      <c r="D123" s="79"/>
      <c r="E123"/>
      <c r="F123"/>
      <c r="G123"/>
      <c r="H123" s="9"/>
      <c r="I123" s="9"/>
      <c r="J123" s="9"/>
      <c r="K123" s="9"/>
      <c r="L123"/>
      <c r="M123"/>
      <c r="N123"/>
      <c r="O123" t="str">
        <v>Henderson</v>
      </c>
      <c r="P123" t="str">
        <v>Soccer</v>
      </c>
      <c r="Q123" t="str">
        <v>Professional</v>
      </c>
      <c r="R123" t="str">
        <v>N/A</v>
      </c>
      <c r="S123" t="str">
        <v>Male</v>
      </c>
      <c r="T123" t="str">
        <v>Biodex</v>
      </c>
      <c r="U123"/>
      <c r="V123"/>
      <c r="W123"/>
      <c r="X123"/>
      <c r="Y123"/>
      <c r="Z123"/>
      <c r="AA123"/>
      <c r="AB123"/>
      <c r="AC123"/>
      <c r="AD123"/>
      <c r="AE123"/>
      <c r="AF123"/>
      <c r="AG123" s="202"/>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row>
    <row r="124" spans="1:123" s="2" customFormat="1" ht="9" hidden="1" customHeight="1" x14ac:dyDescent="0.25">
      <c r="A124"/>
      <c r="B124"/>
      <c r="C124" s="78"/>
      <c r="D124" s="79"/>
      <c r="E124"/>
      <c r="F124"/>
      <c r="G124"/>
      <c r="H124" s="9"/>
      <c r="I124" s="9"/>
      <c r="J124" s="9"/>
      <c r="K124" s="9"/>
      <c r="L124"/>
      <c r="M124"/>
      <c r="N124"/>
      <c r="O124" t="str">
        <v>Henderson</v>
      </c>
      <c r="P124" t="str">
        <v>Soccer</v>
      </c>
      <c r="Q124" t="str">
        <v>Professional</v>
      </c>
      <c r="R124" t="str">
        <v>N/A</v>
      </c>
      <c r="S124" t="str">
        <v>Male</v>
      </c>
      <c r="T124" t="str">
        <v>Biodex</v>
      </c>
      <c r="U124"/>
      <c r="V124"/>
      <c r="W124"/>
      <c r="X124"/>
      <c r="Y124"/>
      <c r="Z124"/>
      <c r="AA124"/>
      <c r="AB124"/>
      <c r="AC124"/>
      <c r="AD124"/>
      <c r="AE124"/>
      <c r="AF124"/>
      <c r="AG124" s="202"/>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row>
    <row r="125" spans="1:123" s="2" customFormat="1" ht="9" hidden="1" customHeight="1" x14ac:dyDescent="0.25">
      <c r="A125"/>
      <c r="B125"/>
      <c r="C125" s="78"/>
      <c r="D125" s="79"/>
      <c r="E125"/>
      <c r="F125"/>
      <c r="G125"/>
      <c r="H125" s="9"/>
      <c r="I125" s="9"/>
      <c r="J125" s="9"/>
      <c r="K125" s="9"/>
      <c r="L125"/>
      <c r="M125"/>
      <c r="N125"/>
      <c r="O125" t="str">
        <v>Henderson</v>
      </c>
      <c r="P125" t="str">
        <v>Soccer</v>
      </c>
      <c r="Q125" t="str">
        <v>Professional</v>
      </c>
      <c r="R125" t="str">
        <v>N/A</v>
      </c>
      <c r="S125" t="str">
        <v>Male</v>
      </c>
      <c r="T125" t="str">
        <v>Biodex</v>
      </c>
      <c r="U125"/>
      <c r="V125"/>
      <c r="W125"/>
      <c r="X125"/>
      <c r="Y125"/>
      <c r="Z125"/>
      <c r="AA125"/>
      <c r="AB125"/>
      <c r="AC125"/>
      <c r="AD125"/>
      <c r="AE125"/>
      <c r="AF125"/>
      <c r="AG125" s="202"/>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row>
    <row r="126" spans="1:123" s="2" customFormat="1" ht="9" hidden="1" customHeight="1" x14ac:dyDescent="0.25">
      <c r="A126"/>
      <c r="B126"/>
      <c r="C126" s="78"/>
      <c r="D126" s="79"/>
      <c r="E126"/>
      <c r="F126"/>
      <c r="G126"/>
      <c r="H126" s="9"/>
      <c r="I126" s="9"/>
      <c r="J126" s="9"/>
      <c r="K126" s="9"/>
      <c r="L126"/>
      <c r="M126"/>
      <c r="N126"/>
      <c r="O126" t="str">
        <v>Henderson</v>
      </c>
      <c r="P126" t="str">
        <v>Soccer</v>
      </c>
      <c r="Q126" t="str">
        <v>Professional</v>
      </c>
      <c r="R126" t="str">
        <v>N/A</v>
      </c>
      <c r="S126" t="str">
        <v>Male</v>
      </c>
      <c r="T126" t="str">
        <v>Biodex</v>
      </c>
      <c r="U126"/>
      <c r="V126"/>
      <c r="W126"/>
      <c r="X126"/>
      <c r="Y126"/>
      <c r="Z126"/>
      <c r="AA126"/>
      <c r="AB126"/>
      <c r="AC126"/>
      <c r="AD126"/>
      <c r="AE126"/>
      <c r="AF126"/>
      <c r="AG126" s="202"/>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row>
    <row r="127" spans="1:123" s="2" customFormat="1" ht="9" hidden="1" customHeight="1" x14ac:dyDescent="0.25">
      <c r="A127"/>
      <c r="B127"/>
      <c r="C127" s="78"/>
      <c r="D127" s="79"/>
      <c r="E127"/>
      <c r="F127"/>
      <c r="G127"/>
      <c r="H127" s="9"/>
      <c r="I127" s="9"/>
      <c r="J127" s="9"/>
      <c r="K127" s="9"/>
      <c r="L127"/>
      <c r="M127"/>
      <c r="N127"/>
      <c r="O127" t="str">
        <v>Housh</v>
      </c>
      <c r="P127" t="str">
        <v>Football</v>
      </c>
      <c r="Q127" t="str">
        <v>Elite</v>
      </c>
      <c r="R127" t="str">
        <v>F.Offensive Back</v>
      </c>
      <c r="S127" t="str">
        <v>Male</v>
      </c>
      <c r="T127" t="str">
        <v>Cybex</v>
      </c>
      <c r="U127"/>
      <c r="V127"/>
      <c r="W127"/>
      <c r="X127"/>
      <c r="Y127"/>
      <c r="Z127"/>
      <c r="AA127"/>
      <c r="AB127"/>
      <c r="AC127"/>
      <c r="AD127"/>
      <c r="AE127"/>
      <c r="AF127"/>
      <c r="AG127" s="202"/>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row>
    <row r="128" spans="1:123" s="2" customFormat="1" ht="9" hidden="1" customHeight="1" x14ac:dyDescent="0.25">
      <c r="A128"/>
      <c r="B128"/>
      <c r="C128" s="78"/>
      <c r="D128" s="79"/>
      <c r="E128"/>
      <c r="F128"/>
      <c r="G128"/>
      <c r="H128" s="9"/>
      <c r="I128" s="9"/>
      <c r="J128" s="9"/>
      <c r="K128" s="9"/>
      <c r="L128"/>
      <c r="M128"/>
      <c r="N128"/>
      <c r="O128" t="str">
        <v>Housh</v>
      </c>
      <c r="P128" t="str">
        <v>Football</v>
      </c>
      <c r="Q128" t="str">
        <v>Elite</v>
      </c>
      <c r="R128" t="str">
        <v>F.Offensive Back</v>
      </c>
      <c r="S128" t="str">
        <v>Male</v>
      </c>
      <c r="T128" t="str">
        <v>Cybex</v>
      </c>
      <c r="U128"/>
      <c r="V128"/>
      <c r="W128"/>
      <c r="X128"/>
      <c r="Y128"/>
      <c r="Z128"/>
      <c r="AA128"/>
      <c r="AB128"/>
      <c r="AC128"/>
      <c r="AD128"/>
      <c r="AE128"/>
      <c r="AF128"/>
      <c r="AG128" s="202"/>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row>
    <row r="129" spans="1:123" s="2" customFormat="1" ht="9" hidden="1" customHeight="1" x14ac:dyDescent="0.25">
      <c r="A129"/>
      <c r="B129"/>
      <c r="C129" s="78"/>
      <c r="D129" s="79"/>
      <c r="E129"/>
      <c r="F129"/>
      <c r="G129"/>
      <c r="H129" s="9"/>
      <c r="I129" s="9"/>
      <c r="J129" s="9"/>
      <c r="K129" s="9"/>
      <c r="L129"/>
      <c r="M129"/>
      <c r="N129"/>
      <c r="O129" t="str">
        <v>Housh</v>
      </c>
      <c r="P129" t="str">
        <v>Football</v>
      </c>
      <c r="Q129" t="str">
        <v>Elite</v>
      </c>
      <c r="R129" t="str">
        <v>F.Offensive Line</v>
      </c>
      <c r="S129" t="str">
        <v>Male</v>
      </c>
      <c r="T129" t="str">
        <v>Cybex</v>
      </c>
      <c r="U129"/>
      <c r="V129"/>
      <c r="W129"/>
      <c r="X129"/>
      <c r="Y129"/>
      <c r="Z129"/>
      <c r="AA129"/>
      <c r="AB129"/>
      <c r="AC129"/>
      <c r="AD129"/>
      <c r="AE129"/>
      <c r="AF129"/>
      <c r="AG129" s="202"/>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row>
    <row r="130" spans="1:123" s="2" customFormat="1" ht="9" hidden="1" customHeight="1" x14ac:dyDescent="0.25">
      <c r="A130"/>
      <c r="B130"/>
      <c r="C130" s="78"/>
      <c r="D130" s="79"/>
      <c r="E130"/>
      <c r="F130"/>
      <c r="G130"/>
      <c r="H130" s="9"/>
      <c r="I130" s="9"/>
      <c r="J130" s="9"/>
      <c r="K130" s="9"/>
      <c r="L130"/>
      <c r="M130"/>
      <c r="N130"/>
      <c r="O130" t="str">
        <v>Housh</v>
      </c>
      <c r="P130" t="str">
        <v>Football</v>
      </c>
      <c r="Q130" t="str">
        <v>Elite</v>
      </c>
      <c r="R130" t="str">
        <v>F.Offensive Line</v>
      </c>
      <c r="S130" t="str">
        <v>Male</v>
      </c>
      <c r="T130" t="str">
        <v>Cybex</v>
      </c>
      <c r="U130"/>
      <c r="V130"/>
      <c r="W130"/>
      <c r="X130"/>
      <c r="Y130"/>
      <c r="Z130"/>
      <c r="AA130"/>
      <c r="AB130"/>
      <c r="AC130"/>
      <c r="AD130"/>
      <c r="AE130"/>
      <c r="AF130"/>
      <c r="AG130" s="202"/>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row>
    <row r="131" spans="1:123" s="2" customFormat="1" ht="9" hidden="1" customHeight="1" x14ac:dyDescent="0.25">
      <c r="A131"/>
      <c r="B131"/>
      <c r="C131" s="78"/>
      <c r="D131" s="79"/>
      <c r="E131"/>
      <c r="F131"/>
      <c r="G131"/>
      <c r="H131" s="9"/>
      <c r="I131" s="9"/>
      <c r="J131" s="9"/>
      <c r="K131" s="9"/>
      <c r="L131"/>
      <c r="M131"/>
      <c r="N131"/>
      <c r="O131" t="str">
        <v>Housh</v>
      </c>
      <c r="P131" t="str">
        <v>Football</v>
      </c>
      <c r="Q131" t="str">
        <v>Elite</v>
      </c>
      <c r="R131" t="str">
        <v>F.Defensive Back</v>
      </c>
      <c r="S131" t="str">
        <v>Male</v>
      </c>
      <c r="T131" t="str">
        <v>Cybex</v>
      </c>
      <c r="U131"/>
      <c r="V131"/>
      <c r="W131"/>
      <c r="X131"/>
      <c r="Y131"/>
      <c r="Z131"/>
      <c r="AA131"/>
      <c r="AB131"/>
      <c r="AC131"/>
      <c r="AD131"/>
      <c r="AE131"/>
      <c r="AF131"/>
      <c r="AG131" s="202"/>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row>
    <row r="132" spans="1:123" s="2" customFormat="1" ht="9" hidden="1" customHeight="1" x14ac:dyDescent="0.25">
      <c r="A132"/>
      <c r="B132"/>
      <c r="C132" s="78"/>
      <c r="D132" s="79"/>
      <c r="E132"/>
      <c r="F132"/>
      <c r="G132"/>
      <c r="H132" s="9"/>
      <c r="I132" s="9"/>
      <c r="J132" s="9"/>
      <c r="K132" s="9"/>
      <c r="L132"/>
      <c r="M132"/>
      <c r="N132"/>
      <c r="O132" t="str">
        <v>Housh</v>
      </c>
      <c r="P132" t="str">
        <v>Football</v>
      </c>
      <c r="Q132" t="str">
        <v>Elite</v>
      </c>
      <c r="R132" t="str">
        <v>F.Defensive Back</v>
      </c>
      <c r="S132" t="str">
        <v>Male</v>
      </c>
      <c r="T132" t="str">
        <v>Cybex</v>
      </c>
      <c r="U132"/>
      <c r="V132"/>
      <c r="W132"/>
      <c r="X132"/>
      <c r="Y132"/>
      <c r="Z132"/>
      <c r="AA132"/>
      <c r="AB132"/>
      <c r="AC132"/>
      <c r="AD132"/>
      <c r="AE132"/>
      <c r="AF132"/>
      <c r="AG132" s="20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row>
    <row r="133" spans="1:123" s="2" customFormat="1" ht="9" hidden="1" customHeight="1" x14ac:dyDescent="0.25">
      <c r="A133"/>
      <c r="B133"/>
      <c r="C133" s="78"/>
      <c r="D133" s="79"/>
      <c r="E133"/>
      <c r="F133"/>
      <c r="G133"/>
      <c r="H133" s="9"/>
      <c r="I133" s="9"/>
      <c r="J133" s="9"/>
      <c r="K133" s="9"/>
      <c r="L133"/>
      <c r="M133"/>
      <c r="N133"/>
      <c r="O133" t="str">
        <v>Housh</v>
      </c>
      <c r="P133" t="str">
        <v>Football</v>
      </c>
      <c r="Q133" t="str">
        <v>Elite</v>
      </c>
      <c r="R133" t="str">
        <v>F.Defensive Back</v>
      </c>
      <c r="S133" t="str">
        <v>Male</v>
      </c>
      <c r="T133" t="str">
        <v>Cybex</v>
      </c>
      <c r="U133"/>
      <c r="V133"/>
      <c r="W133"/>
      <c r="X133"/>
      <c r="Y133"/>
      <c r="Z133"/>
      <c r="AA133"/>
      <c r="AB133"/>
      <c r="AC133"/>
      <c r="AD133"/>
      <c r="AE133"/>
      <c r="AF133"/>
      <c r="AG133" s="202"/>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row>
    <row r="134" spans="1:123" s="2" customFormat="1" ht="9" hidden="1" customHeight="1" x14ac:dyDescent="0.25">
      <c r="A134"/>
      <c r="B134"/>
      <c r="C134" s="78"/>
      <c r="D134" s="79"/>
      <c r="E134"/>
      <c r="F134"/>
      <c r="G134"/>
      <c r="H134" s="9"/>
      <c r="I134" s="9"/>
      <c r="J134" s="9"/>
      <c r="K134" s="9"/>
      <c r="L134"/>
      <c r="M134"/>
      <c r="N134"/>
      <c r="O134" t="str">
        <v>Housh</v>
      </c>
      <c r="P134" t="str">
        <v>Football</v>
      </c>
      <c r="Q134" t="str">
        <v>Elite</v>
      </c>
      <c r="R134" t="str">
        <v>F.Defensive Back</v>
      </c>
      <c r="S134" t="str">
        <v>Male</v>
      </c>
      <c r="T134" t="str">
        <v>Cybex</v>
      </c>
      <c r="U134"/>
      <c r="V134"/>
      <c r="W134"/>
      <c r="X134"/>
      <c r="Y134"/>
      <c r="Z134"/>
      <c r="AA134"/>
      <c r="AB134"/>
      <c r="AC134"/>
      <c r="AD134"/>
      <c r="AE134"/>
      <c r="AF134"/>
      <c r="AG134" s="202"/>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row>
    <row r="135" spans="1:123" s="2" customFormat="1" ht="9" hidden="1" customHeight="1" x14ac:dyDescent="0.25">
      <c r="A135"/>
      <c r="B135"/>
      <c r="C135" s="78"/>
      <c r="D135" s="79"/>
      <c r="E135"/>
      <c r="F135"/>
      <c r="G135"/>
      <c r="H135" s="9"/>
      <c r="I135" s="9"/>
      <c r="J135" s="9"/>
      <c r="K135" s="9"/>
      <c r="L135"/>
      <c r="M135"/>
      <c r="N135"/>
      <c r="O135" t="str">
        <v>Housh</v>
      </c>
      <c r="P135" t="str">
        <v>Football</v>
      </c>
      <c r="Q135" t="str">
        <v>Elite</v>
      </c>
      <c r="R135" t="str">
        <v>F.Offensive Back</v>
      </c>
      <c r="S135" t="str">
        <v>Male</v>
      </c>
      <c r="T135" t="str">
        <v>Cybex</v>
      </c>
      <c r="U135"/>
      <c r="V135"/>
      <c r="W135"/>
      <c r="X135"/>
      <c r="Y135"/>
      <c r="Z135"/>
      <c r="AA135"/>
      <c r="AB135"/>
      <c r="AC135"/>
      <c r="AD135"/>
      <c r="AE135"/>
      <c r="AF135"/>
      <c r="AG135" s="202"/>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row>
    <row r="136" spans="1:123" s="2" customFormat="1" ht="9" hidden="1" customHeight="1" x14ac:dyDescent="0.25">
      <c r="A136"/>
      <c r="B136"/>
      <c r="C136" s="78"/>
      <c r="D136" s="79"/>
      <c r="E136"/>
      <c r="F136"/>
      <c r="G136"/>
      <c r="H136" s="9"/>
      <c r="I136" s="9"/>
      <c r="J136" s="9"/>
      <c r="K136" s="9"/>
      <c r="L136"/>
      <c r="M136"/>
      <c r="N136"/>
      <c r="O136" t="str">
        <v>Housh</v>
      </c>
      <c r="P136" t="str">
        <v>Football</v>
      </c>
      <c r="Q136" t="str">
        <v>Elite</v>
      </c>
      <c r="R136" t="str">
        <v>F.Offensive Back</v>
      </c>
      <c r="S136" t="str">
        <v>Male</v>
      </c>
      <c r="T136" t="str">
        <v>Cybex</v>
      </c>
      <c r="U136"/>
      <c r="V136"/>
      <c r="W136"/>
      <c r="X136"/>
      <c r="Y136"/>
      <c r="Z136"/>
      <c r="AA136"/>
      <c r="AB136"/>
      <c r="AC136"/>
      <c r="AD136"/>
      <c r="AE136"/>
      <c r="AF136"/>
      <c r="AG136" s="202"/>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row>
    <row r="137" spans="1:123" s="2" customFormat="1" ht="9" hidden="1" customHeight="1" x14ac:dyDescent="0.25">
      <c r="A137"/>
      <c r="B137"/>
      <c r="C137" s="78"/>
      <c r="D137" s="79"/>
      <c r="E137"/>
      <c r="F137"/>
      <c r="G137"/>
      <c r="H137" s="9"/>
      <c r="I137" s="9"/>
      <c r="J137" s="9"/>
      <c r="K137" s="9"/>
      <c r="L137"/>
      <c r="M137"/>
      <c r="N137"/>
      <c r="O137" t="str">
        <v>Housh</v>
      </c>
      <c r="P137" t="str">
        <v>Football</v>
      </c>
      <c r="Q137" t="str">
        <v>Elite</v>
      </c>
      <c r="R137" t="str">
        <v>F.Offensive Line</v>
      </c>
      <c r="S137" t="str">
        <v>Male</v>
      </c>
      <c r="T137" t="str">
        <v>Cybex</v>
      </c>
      <c r="U137"/>
      <c r="V137"/>
      <c r="W137"/>
      <c r="X137"/>
      <c r="Y137"/>
      <c r="Z137"/>
      <c r="AA137"/>
      <c r="AB137"/>
      <c r="AC137"/>
      <c r="AD137"/>
      <c r="AE137"/>
      <c r="AF137"/>
      <c r="AG137" s="202"/>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row>
    <row r="138" spans="1:123" s="2" customFormat="1" ht="9" hidden="1" customHeight="1" x14ac:dyDescent="0.25">
      <c r="A138"/>
      <c r="B138"/>
      <c r="C138" s="78"/>
      <c r="D138" s="79"/>
      <c r="E138"/>
      <c r="F138"/>
      <c r="G138"/>
      <c r="H138" s="9"/>
      <c r="I138" s="9"/>
      <c r="J138" s="9"/>
      <c r="K138" s="9"/>
      <c r="L138"/>
      <c r="M138"/>
      <c r="N138"/>
      <c r="O138" t="str">
        <v>Housh</v>
      </c>
      <c r="P138" t="str">
        <v>Football</v>
      </c>
      <c r="Q138" t="str">
        <v>Elite</v>
      </c>
      <c r="R138" t="str">
        <v>F.Offensive Line</v>
      </c>
      <c r="S138" t="str">
        <v>Male</v>
      </c>
      <c r="T138" t="str">
        <v>Cybex</v>
      </c>
      <c r="U138"/>
      <c r="V138"/>
      <c r="W138"/>
      <c r="X138"/>
      <c r="Y138"/>
      <c r="Z138"/>
      <c r="AA138"/>
      <c r="AB138"/>
      <c r="AC138"/>
      <c r="AD138"/>
      <c r="AE138"/>
      <c r="AF138"/>
      <c r="AG138" s="202"/>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row>
    <row r="139" spans="1:123" s="2" customFormat="1" ht="9" hidden="1" customHeight="1" x14ac:dyDescent="0.25">
      <c r="A139"/>
      <c r="B139"/>
      <c r="C139" s="78"/>
      <c r="D139" s="79"/>
      <c r="E139"/>
      <c r="F139"/>
      <c r="G139"/>
      <c r="H139" s="9"/>
      <c r="I139" s="9"/>
      <c r="J139" s="9"/>
      <c r="K139" s="9"/>
      <c r="L139"/>
      <c r="M139"/>
      <c r="N139"/>
      <c r="O139" t="str">
        <v>Housh</v>
      </c>
      <c r="P139" t="str">
        <v>Football</v>
      </c>
      <c r="Q139" t="str">
        <v>Elite</v>
      </c>
      <c r="R139" t="str">
        <v>Defensive Line</v>
      </c>
      <c r="S139" t="str">
        <v>Male</v>
      </c>
      <c r="T139" t="str">
        <v>Cybex</v>
      </c>
      <c r="U139"/>
      <c r="V139"/>
      <c r="W139"/>
      <c r="X139"/>
      <c r="Y139"/>
      <c r="Z139"/>
      <c r="AA139"/>
      <c r="AB139"/>
      <c r="AC139"/>
      <c r="AD139"/>
      <c r="AE139"/>
      <c r="AF139"/>
      <c r="AG139" s="202"/>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row>
    <row r="140" spans="1:123" s="2" customFormat="1" ht="9" hidden="1" customHeight="1" x14ac:dyDescent="0.25">
      <c r="A140"/>
      <c r="B140"/>
      <c r="C140" s="78"/>
      <c r="D140" s="79"/>
      <c r="E140"/>
      <c r="F140"/>
      <c r="G140"/>
      <c r="H140" s="9"/>
      <c r="I140" s="9"/>
      <c r="J140" s="9"/>
      <c r="K140" s="9"/>
      <c r="L140"/>
      <c r="M140"/>
      <c r="N140"/>
      <c r="O140" t="str">
        <v>Housh</v>
      </c>
      <c r="P140" t="str">
        <v>Football</v>
      </c>
      <c r="Q140" t="str">
        <v>Elite</v>
      </c>
      <c r="R140" t="str">
        <v>F.Defensive Line</v>
      </c>
      <c r="S140" t="str">
        <v>Male</v>
      </c>
      <c r="T140" t="str">
        <v>Cybex</v>
      </c>
      <c r="U140"/>
      <c r="V140"/>
      <c r="W140"/>
      <c r="X140"/>
      <c r="Y140"/>
      <c r="Z140"/>
      <c r="AA140"/>
      <c r="AB140"/>
      <c r="AC140"/>
      <c r="AD140"/>
      <c r="AE140"/>
      <c r="AF140"/>
      <c r="AG140" s="202"/>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row>
    <row r="141" spans="1:123" s="2" customFormat="1" ht="9" hidden="1" customHeight="1" x14ac:dyDescent="0.25">
      <c r="A141"/>
      <c r="B141"/>
      <c r="C141" s="78"/>
      <c r="D141" s="79"/>
      <c r="E141"/>
      <c r="F141"/>
      <c r="G141"/>
      <c r="H141" s="9"/>
      <c r="I141" s="9"/>
      <c r="J141" s="9"/>
      <c r="K141" s="9"/>
      <c r="L141"/>
      <c r="M141"/>
      <c r="N141"/>
      <c r="O141" t="str">
        <v>Housh</v>
      </c>
      <c r="P141" t="str">
        <v>Football</v>
      </c>
      <c r="Q141" t="str">
        <v>Elite</v>
      </c>
      <c r="R141" t="str">
        <v>F.Defensive Line</v>
      </c>
      <c r="S141" t="str">
        <v>Male</v>
      </c>
      <c r="T141" t="str">
        <v>Cybex</v>
      </c>
      <c r="U141"/>
      <c r="V141"/>
      <c r="W141"/>
      <c r="X141"/>
      <c r="Y141"/>
      <c r="Z141"/>
      <c r="AA141"/>
      <c r="AB141"/>
      <c r="AC141"/>
      <c r="AD141"/>
      <c r="AE141"/>
      <c r="AF141"/>
      <c r="AG141" s="202"/>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row>
    <row r="142" spans="1:123" s="2" customFormat="1" ht="9" hidden="1" customHeight="1" x14ac:dyDescent="0.25">
      <c r="A142"/>
      <c r="B142"/>
      <c r="C142" s="78"/>
      <c r="D142" s="79"/>
      <c r="E142"/>
      <c r="F142"/>
      <c r="G142"/>
      <c r="H142" s="9"/>
      <c r="I142" s="9"/>
      <c r="J142" s="9"/>
      <c r="K142" s="9"/>
      <c r="L142"/>
      <c r="M142"/>
      <c r="N142"/>
      <c r="O142" t="str">
        <v>Housh</v>
      </c>
      <c r="P142" t="str">
        <v>Football</v>
      </c>
      <c r="Q142" t="str">
        <v>Elite</v>
      </c>
      <c r="R142" t="str">
        <v>F.Defensive Back</v>
      </c>
      <c r="S142" t="str">
        <v>Male</v>
      </c>
      <c r="T142" t="str">
        <v>Cybex</v>
      </c>
      <c r="U142"/>
      <c r="V142"/>
      <c r="W142"/>
      <c r="X142"/>
      <c r="Y142"/>
      <c r="Z142"/>
      <c r="AA142"/>
      <c r="AB142"/>
      <c r="AC142"/>
      <c r="AD142"/>
      <c r="AE142"/>
      <c r="AF142"/>
      <c r="AG142" s="20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row>
    <row r="143" spans="1:123" s="2" customFormat="1" ht="9" hidden="1" customHeight="1" x14ac:dyDescent="0.25">
      <c r="A143"/>
      <c r="B143"/>
      <c r="C143" s="78"/>
      <c r="D143" s="79"/>
      <c r="E143"/>
      <c r="F143"/>
      <c r="G143"/>
      <c r="H143" s="9"/>
      <c r="I143" s="9"/>
      <c r="J143" s="9"/>
      <c r="K143" s="9"/>
      <c r="L143"/>
      <c r="M143"/>
      <c r="N143"/>
      <c r="O143" t="str">
        <v>Kabacinski</v>
      </c>
      <c r="P143" t="str">
        <v>Soccer</v>
      </c>
      <c r="Q143" t="str">
        <v>Professional</v>
      </c>
      <c r="R143" t="str">
        <v>N/A</v>
      </c>
      <c r="S143" t="str">
        <v>Male</v>
      </c>
      <c r="T143" t="str">
        <v>Biodex</v>
      </c>
      <c r="U143"/>
      <c r="V143"/>
      <c r="W143"/>
      <c r="X143"/>
      <c r="Y143"/>
      <c r="Z143"/>
      <c r="AA143"/>
      <c r="AB143"/>
      <c r="AC143"/>
      <c r="AD143"/>
      <c r="AE143"/>
      <c r="AF143"/>
      <c r="AG143" s="202"/>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row>
    <row r="144" spans="1:123" s="2" customFormat="1" ht="9" hidden="1" customHeight="1" x14ac:dyDescent="0.25">
      <c r="A144"/>
      <c r="B144"/>
      <c r="C144" s="78"/>
      <c r="D144" s="79"/>
      <c r="E144"/>
      <c r="F144"/>
      <c r="G144"/>
      <c r="H144" s="9"/>
      <c r="I144" s="9"/>
      <c r="J144" s="9"/>
      <c r="K144" s="9"/>
      <c r="L144"/>
      <c r="M144"/>
      <c r="N144"/>
      <c r="O144" t="str">
        <v>Kabacinski</v>
      </c>
      <c r="P144" t="str">
        <v>Soccer</v>
      </c>
      <c r="Q144" t="str">
        <v>Professional</v>
      </c>
      <c r="R144" t="str">
        <v>N/A</v>
      </c>
      <c r="S144" t="str">
        <v>Male</v>
      </c>
      <c r="T144" t="str">
        <v>Biodex</v>
      </c>
      <c r="U144"/>
      <c r="V144"/>
      <c r="W144"/>
      <c r="X144"/>
      <c r="Y144"/>
      <c r="Z144"/>
      <c r="AA144"/>
      <c r="AB144"/>
      <c r="AC144"/>
      <c r="AD144"/>
      <c r="AE144"/>
      <c r="AF144"/>
      <c r="AG144" s="202"/>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row>
    <row r="145" spans="1:123" s="2" customFormat="1" ht="9" hidden="1" customHeight="1" x14ac:dyDescent="0.25">
      <c r="A145"/>
      <c r="B145"/>
      <c r="C145" s="78"/>
      <c r="D145" s="79"/>
      <c r="E145"/>
      <c r="F145"/>
      <c r="G145"/>
      <c r="H145" s="9"/>
      <c r="I145" s="9"/>
      <c r="J145" s="9"/>
      <c r="K145" s="9"/>
      <c r="L145"/>
      <c r="M145"/>
      <c r="N145"/>
      <c r="O145" t="str">
        <v>Kabacinski</v>
      </c>
      <c r="P145" t="str">
        <v>Soccer</v>
      </c>
      <c r="Q145" t="str">
        <v>Professional</v>
      </c>
      <c r="R145" t="str">
        <v>N/A</v>
      </c>
      <c r="S145" t="str">
        <v>Male</v>
      </c>
      <c r="T145" t="str">
        <v>Biodex</v>
      </c>
      <c r="U145"/>
      <c r="V145"/>
      <c r="W145"/>
      <c r="X145"/>
      <c r="Y145"/>
      <c r="Z145"/>
      <c r="AA145"/>
      <c r="AB145"/>
      <c r="AC145"/>
      <c r="AD145"/>
      <c r="AE145"/>
      <c r="AF145"/>
      <c r="AG145" s="202"/>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row>
    <row r="146" spans="1:123" s="2" customFormat="1" ht="9" hidden="1" customHeight="1" x14ac:dyDescent="0.25">
      <c r="A146"/>
      <c r="B146"/>
      <c r="C146" s="78"/>
      <c r="D146" s="79"/>
      <c r="E146"/>
      <c r="F146"/>
      <c r="G146"/>
      <c r="H146" s="9"/>
      <c r="I146" s="9"/>
      <c r="J146" s="9"/>
      <c r="K146" s="9"/>
      <c r="L146"/>
      <c r="M146"/>
      <c r="N146"/>
      <c r="O146" t="str">
        <v>Kabacinski</v>
      </c>
      <c r="P146" t="str">
        <v>Soccer</v>
      </c>
      <c r="Q146" t="str">
        <v>Professional</v>
      </c>
      <c r="R146" t="str">
        <v>N/A</v>
      </c>
      <c r="S146" t="str">
        <v>Male</v>
      </c>
      <c r="T146" t="str">
        <v>Biodex</v>
      </c>
      <c r="U146"/>
      <c r="V146"/>
      <c r="W146"/>
      <c r="X146"/>
      <c r="Y146"/>
      <c r="Z146"/>
      <c r="AA146"/>
      <c r="AB146"/>
      <c r="AC146"/>
      <c r="AD146"/>
      <c r="AE146"/>
      <c r="AF146"/>
      <c r="AG146" s="202"/>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row>
    <row r="147" spans="1:123" s="2" customFormat="1" ht="9" hidden="1" customHeight="1" x14ac:dyDescent="0.25">
      <c r="A147"/>
      <c r="B147"/>
      <c r="C147" s="78"/>
      <c r="D147" s="79"/>
      <c r="E147"/>
      <c r="F147"/>
      <c r="G147"/>
      <c r="H147" s="9"/>
      <c r="I147" s="9"/>
      <c r="J147" s="9"/>
      <c r="K147" s="9"/>
      <c r="L147"/>
      <c r="M147"/>
      <c r="N147"/>
      <c r="O147" t="str">
        <v>Kabacinski</v>
      </c>
      <c r="P147" t="str">
        <v>Soccer</v>
      </c>
      <c r="Q147" t="str">
        <v>Professional</v>
      </c>
      <c r="R147" t="str">
        <v>N/A</v>
      </c>
      <c r="S147" t="str">
        <v>Male</v>
      </c>
      <c r="T147" t="str">
        <v>Biodex</v>
      </c>
      <c r="U147"/>
      <c r="V147"/>
      <c r="W147"/>
      <c r="X147"/>
      <c r="Y147"/>
      <c r="Z147"/>
      <c r="AA147"/>
      <c r="AB147"/>
      <c r="AC147"/>
      <c r="AD147"/>
      <c r="AE147"/>
      <c r="AF147"/>
      <c r="AG147" s="202"/>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row>
    <row r="148" spans="1:123" s="2" customFormat="1" ht="9" hidden="1" customHeight="1" x14ac:dyDescent="0.25">
      <c r="A148"/>
      <c r="B148"/>
      <c r="C148" s="78"/>
      <c r="D148" s="79"/>
      <c r="E148"/>
      <c r="F148"/>
      <c r="G148"/>
      <c r="H148" s="9"/>
      <c r="I148" s="9"/>
      <c r="J148" s="9"/>
      <c r="K148" s="9"/>
      <c r="L148"/>
      <c r="M148"/>
      <c r="N148"/>
      <c r="O148" t="str">
        <v>Kabacinski</v>
      </c>
      <c r="P148" t="str">
        <v>Soccer</v>
      </c>
      <c r="Q148" t="str">
        <v>Professional</v>
      </c>
      <c r="R148" t="str">
        <v>N/A</v>
      </c>
      <c r="S148" t="str">
        <v>Male</v>
      </c>
      <c r="T148" t="str">
        <v>Biodex</v>
      </c>
      <c r="U148"/>
      <c r="V148"/>
      <c r="W148"/>
      <c r="X148"/>
      <c r="Y148"/>
      <c r="Z148"/>
      <c r="AA148"/>
      <c r="AB148"/>
      <c r="AC148"/>
      <c r="AD148"/>
      <c r="AE148"/>
      <c r="AF148"/>
      <c r="AG148" s="202"/>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row>
    <row r="149" spans="1:123" s="2" customFormat="1" ht="9" hidden="1" customHeight="1" x14ac:dyDescent="0.25">
      <c r="A149"/>
      <c r="B149"/>
      <c r="C149" s="78"/>
      <c r="D149" s="79"/>
      <c r="E149"/>
      <c r="F149"/>
      <c r="G149"/>
      <c r="H149" s="9"/>
      <c r="I149" s="9"/>
      <c r="J149" s="9"/>
      <c r="K149" s="9"/>
      <c r="L149"/>
      <c r="M149"/>
      <c r="N149"/>
      <c r="O149" t="str">
        <v>Lategan</v>
      </c>
      <c r="P149" t="str">
        <v>Gen Pop</v>
      </c>
      <c r="Q149" t="str">
        <v>Adults</v>
      </c>
      <c r="R149" t="str">
        <v>N/A</v>
      </c>
      <c r="S149" t="str">
        <v>Male</v>
      </c>
      <c r="T149" t="str">
        <v>Cybex</v>
      </c>
      <c r="U149"/>
      <c r="V149"/>
      <c r="W149"/>
      <c r="X149"/>
      <c r="Y149"/>
      <c r="Z149"/>
      <c r="AA149"/>
      <c r="AB149"/>
      <c r="AC149"/>
      <c r="AD149"/>
      <c r="AE149"/>
      <c r="AF149"/>
      <c r="AG149" s="202"/>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row>
    <row r="150" spans="1:123" s="2" customFormat="1" ht="9" hidden="1" customHeight="1" x14ac:dyDescent="0.25">
      <c r="A150"/>
      <c r="B150"/>
      <c r="C150" s="78"/>
      <c r="D150" s="79"/>
      <c r="E150"/>
      <c r="F150"/>
      <c r="G150"/>
      <c r="H150" s="9"/>
      <c r="I150" s="9"/>
      <c r="J150" s="9"/>
      <c r="K150" s="9"/>
      <c r="L150"/>
      <c r="M150"/>
      <c r="N150"/>
      <c r="O150" t="str">
        <v>Pekel</v>
      </c>
      <c r="P150" t="str">
        <v>Basketball</v>
      </c>
      <c r="Q150" t="str">
        <v>Adults</v>
      </c>
      <c r="R150" t="str">
        <v>N/A</v>
      </c>
      <c r="S150" t="str">
        <v>Male</v>
      </c>
      <c r="T150" t="str">
        <v>ISOMED 2000</v>
      </c>
      <c r="U150"/>
      <c r="V150"/>
      <c r="W150"/>
      <c r="X150"/>
      <c r="Y150"/>
      <c r="Z150"/>
      <c r="AA150"/>
      <c r="AB150"/>
      <c r="AC150"/>
      <c r="AD150"/>
      <c r="AE150"/>
      <c r="AF150"/>
      <c r="AG150" s="202"/>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row>
    <row r="151" spans="1:123" s="2" customFormat="1" ht="9" hidden="1" customHeight="1" x14ac:dyDescent="0.25">
      <c r="A151"/>
      <c r="B151"/>
      <c r="C151" s="78"/>
      <c r="D151" s="79"/>
      <c r="E151"/>
      <c r="F151"/>
      <c r="G151"/>
      <c r="H151" s="9"/>
      <c r="I151" s="9"/>
      <c r="J151" s="9"/>
      <c r="K151" s="9"/>
      <c r="L151"/>
      <c r="M151"/>
      <c r="N151"/>
      <c r="O151" t="str">
        <v>Pekel</v>
      </c>
      <c r="P151" t="str">
        <v>Basketball</v>
      </c>
      <c r="Q151" t="str">
        <v>Adults</v>
      </c>
      <c r="R151" t="str">
        <v>N/A</v>
      </c>
      <c r="S151" t="str">
        <v>Male</v>
      </c>
      <c r="T151" t="str">
        <v>ISOMED 2000</v>
      </c>
      <c r="U151"/>
      <c r="V151"/>
      <c r="W151"/>
      <c r="X151"/>
      <c r="Y151"/>
      <c r="Z151"/>
      <c r="AA151"/>
      <c r="AB151"/>
      <c r="AC151"/>
      <c r="AD151"/>
      <c r="AE151"/>
      <c r="AF151"/>
      <c r="AG151" s="202"/>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row>
    <row r="152" spans="1:123" s="2" customFormat="1" ht="9" hidden="1" customHeight="1" x14ac:dyDescent="0.25">
      <c r="A152"/>
      <c r="B152"/>
      <c r="C152" s="78"/>
      <c r="D152" s="79"/>
      <c r="E152"/>
      <c r="F152"/>
      <c r="G152"/>
      <c r="H152" s="9"/>
      <c r="I152" s="9"/>
      <c r="J152" s="9"/>
      <c r="K152" s="9"/>
      <c r="L152"/>
      <c r="M152"/>
      <c r="N152"/>
      <c r="O152" t="str">
        <v>Pekel</v>
      </c>
      <c r="P152" t="str">
        <v>Basketball</v>
      </c>
      <c r="Q152" t="str">
        <v>Adults</v>
      </c>
      <c r="R152" t="str">
        <v>N/A</v>
      </c>
      <c r="S152" t="str">
        <v>Male</v>
      </c>
      <c r="T152" t="str">
        <v>ISOMED 2000</v>
      </c>
      <c r="U152"/>
      <c r="V152"/>
      <c r="W152"/>
      <c r="X152"/>
      <c r="Y152"/>
      <c r="Z152"/>
      <c r="AA152"/>
      <c r="AB152"/>
      <c r="AC152"/>
      <c r="AD152"/>
      <c r="AE152"/>
      <c r="AF152"/>
      <c r="AG152" s="20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row>
    <row r="153" spans="1:123" s="2" customFormat="1" ht="9" hidden="1" customHeight="1" x14ac:dyDescent="0.25">
      <c r="A153"/>
      <c r="B153"/>
      <c r="C153" s="78"/>
      <c r="D153" s="79"/>
      <c r="E153"/>
      <c r="F153"/>
      <c r="G153"/>
      <c r="H153" s="9"/>
      <c r="I153" s="9"/>
      <c r="J153" s="9"/>
      <c r="K153" s="9"/>
      <c r="L153"/>
      <c r="M153"/>
      <c r="N153"/>
      <c r="O153" t="str">
        <v>Pekel</v>
      </c>
      <c r="P153" t="str">
        <v>Basketball</v>
      </c>
      <c r="Q153" t="str">
        <v>Adults</v>
      </c>
      <c r="R153" t="str">
        <v>N/A</v>
      </c>
      <c r="S153" t="str">
        <v>Male</v>
      </c>
      <c r="T153" t="str">
        <v>ISOMED 2000</v>
      </c>
      <c r="U153"/>
      <c r="V153"/>
      <c r="W153"/>
      <c r="X153"/>
      <c r="Y153"/>
      <c r="Z153"/>
      <c r="AA153"/>
      <c r="AB153"/>
      <c r="AC153"/>
      <c r="AD153"/>
      <c r="AE153"/>
      <c r="AF153"/>
      <c r="AG153" s="202"/>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row>
    <row r="154" spans="1:123" s="2" customFormat="1" ht="9" hidden="1" customHeight="1" x14ac:dyDescent="0.25">
      <c r="A154"/>
      <c r="B154"/>
      <c r="C154" s="78"/>
      <c r="D154" s="79"/>
      <c r="E154"/>
      <c r="F154"/>
      <c r="G154"/>
      <c r="H154" s="9"/>
      <c r="I154" s="9"/>
      <c r="J154" s="9"/>
      <c r="K154" s="9"/>
      <c r="L154"/>
      <c r="M154"/>
      <c r="N154"/>
      <c r="O154" t="str">
        <v>Pekel</v>
      </c>
      <c r="P154" t="str">
        <v>Basketball</v>
      </c>
      <c r="Q154" t="str">
        <v>Adults</v>
      </c>
      <c r="R154" t="str">
        <v>N/A</v>
      </c>
      <c r="S154" t="str">
        <v>Male</v>
      </c>
      <c r="T154" t="str">
        <v>ISOMED 2000</v>
      </c>
      <c r="U154"/>
      <c r="V154"/>
      <c r="W154"/>
      <c r="X154"/>
      <c r="Y154"/>
      <c r="Z154"/>
      <c r="AA154"/>
      <c r="AB154"/>
      <c r="AC154"/>
      <c r="AD154"/>
      <c r="AE154"/>
      <c r="AF154"/>
      <c r="AG154" s="202"/>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row>
    <row r="155" spans="1:123" s="2" customFormat="1" ht="9" hidden="1" customHeight="1" x14ac:dyDescent="0.25">
      <c r="A155"/>
      <c r="B155"/>
      <c r="C155" s="78"/>
      <c r="D155" s="79"/>
      <c r="E155"/>
      <c r="F155"/>
      <c r="G155"/>
      <c r="H155" s="9"/>
      <c r="I155" s="9"/>
      <c r="J155" s="9"/>
      <c r="K155" s="9"/>
      <c r="L155"/>
      <c r="M155"/>
      <c r="N155"/>
      <c r="O155" t="str">
        <v>Pekel</v>
      </c>
      <c r="P155" t="str">
        <v>Basketball</v>
      </c>
      <c r="Q155" t="str">
        <v>Adults</v>
      </c>
      <c r="R155" t="str">
        <v>N/A</v>
      </c>
      <c r="S155" t="str">
        <v>Male</v>
      </c>
      <c r="T155" t="str">
        <v>ISOMED 2000</v>
      </c>
      <c r="U155"/>
      <c r="V155"/>
      <c r="W155"/>
      <c r="X155"/>
      <c r="Y155"/>
      <c r="Z155"/>
      <c r="AA155"/>
      <c r="AB155"/>
      <c r="AC155"/>
      <c r="AD155"/>
      <c r="AE155"/>
      <c r="AF155"/>
      <c r="AG155" s="202"/>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row>
    <row r="156" spans="1:123" s="2" customFormat="1" ht="9" hidden="1" customHeight="1" x14ac:dyDescent="0.25">
      <c r="A156"/>
      <c r="B156"/>
      <c r="C156" s="78"/>
      <c r="D156" s="79"/>
      <c r="E156"/>
      <c r="F156"/>
      <c r="G156"/>
      <c r="H156" s="9"/>
      <c r="I156" s="9"/>
      <c r="J156" s="9"/>
      <c r="K156" s="9"/>
      <c r="L156"/>
      <c r="M156"/>
      <c r="N156"/>
      <c r="O156" t="str">
        <v>Perry</v>
      </c>
      <c r="P156" t="str">
        <v>Tennis</v>
      </c>
      <c r="Q156" t="str">
        <v>Youth</v>
      </c>
      <c r="R156" t="str">
        <v>N/A</v>
      </c>
      <c r="S156" t="str">
        <v>Male</v>
      </c>
      <c r="T156" t="str">
        <v>Biodex</v>
      </c>
      <c r="U156"/>
      <c r="V156"/>
      <c r="W156"/>
      <c r="X156"/>
      <c r="Y156"/>
      <c r="Z156"/>
      <c r="AA156"/>
      <c r="AB156"/>
      <c r="AC156"/>
      <c r="AD156"/>
      <c r="AE156"/>
      <c r="AF156"/>
      <c r="AG156" s="202"/>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row>
    <row r="157" spans="1:123" s="2" customFormat="1" ht="9" hidden="1" customHeight="1" x14ac:dyDescent="0.25">
      <c r="A157"/>
      <c r="B157"/>
      <c r="C157" s="78"/>
      <c r="D157" s="79"/>
      <c r="E157"/>
      <c r="F157"/>
      <c r="G157"/>
      <c r="H157" s="9"/>
      <c r="I157" s="9"/>
      <c r="J157" s="9"/>
      <c r="K157" s="9"/>
      <c r="L157"/>
      <c r="M157"/>
      <c r="N157"/>
      <c r="O157" t="str">
        <v>Perry</v>
      </c>
      <c r="P157" t="str">
        <v>Tennis</v>
      </c>
      <c r="Q157" t="str">
        <v>Youth</v>
      </c>
      <c r="R157" t="str">
        <v>N/A</v>
      </c>
      <c r="S157" t="str">
        <v>Female</v>
      </c>
      <c r="T157" t="str">
        <v>Biodex</v>
      </c>
      <c r="U157"/>
      <c r="V157"/>
      <c r="W157"/>
      <c r="X157"/>
      <c r="Y157"/>
      <c r="Z157"/>
      <c r="AA157"/>
      <c r="AB157"/>
      <c r="AC157"/>
      <c r="AD157"/>
      <c r="AE157"/>
      <c r="AF157"/>
      <c r="AG157" s="202"/>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row>
    <row r="158" spans="1:123" s="2" customFormat="1" ht="9" hidden="1" customHeight="1" x14ac:dyDescent="0.25">
      <c r="A158"/>
      <c r="B158"/>
      <c r="C158" s="78"/>
      <c r="D158" s="79"/>
      <c r="E158"/>
      <c r="F158"/>
      <c r="G158"/>
      <c r="H158" s="9"/>
      <c r="I158" s="9"/>
      <c r="J158" s="9"/>
      <c r="K158" s="9"/>
      <c r="L158"/>
      <c r="M158"/>
      <c r="N158"/>
      <c r="O158" t="str">
        <v>Perry</v>
      </c>
      <c r="P158" t="str">
        <v>Tennis</v>
      </c>
      <c r="Q158" t="str">
        <v>Youth</v>
      </c>
      <c r="R158" t="str">
        <v>N/A</v>
      </c>
      <c r="S158" t="str">
        <v>Mixed</v>
      </c>
      <c r="T158" t="str">
        <v>Biodex</v>
      </c>
      <c r="U158"/>
      <c r="V158"/>
      <c r="W158"/>
      <c r="X158"/>
      <c r="Y158"/>
      <c r="Z158"/>
      <c r="AA158"/>
      <c r="AB158"/>
      <c r="AC158"/>
      <c r="AD158"/>
      <c r="AE158"/>
      <c r="AF158"/>
      <c r="AG158" s="202"/>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row>
    <row r="159" spans="1:123" s="2" customFormat="1" ht="9" hidden="1" customHeight="1" x14ac:dyDescent="0.25">
      <c r="A159"/>
      <c r="B159"/>
      <c r="C159" s="78"/>
      <c r="D159" s="79"/>
      <c r="E159"/>
      <c r="F159"/>
      <c r="G159"/>
      <c r="H159" s="9"/>
      <c r="I159" s="9"/>
      <c r="J159" s="9"/>
      <c r="K159" s="9"/>
      <c r="L159"/>
      <c r="M159"/>
      <c r="N159"/>
      <c r="O159" t="str">
        <v>Rave</v>
      </c>
      <c r="P159" t="str">
        <v>Handball</v>
      </c>
      <c r="Q159" t="str">
        <v>Elite</v>
      </c>
      <c r="R159" t="str">
        <v>N/A</v>
      </c>
      <c r="S159" t="str">
        <v>Male</v>
      </c>
      <c r="T159" t="str">
        <v>Biodex</v>
      </c>
      <c r="U159"/>
      <c r="V159"/>
      <c r="W159"/>
      <c r="X159"/>
      <c r="Y159"/>
      <c r="Z159"/>
      <c r="AA159"/>
      <c r="AB159"/>
      <c r="AC159"/>
      <c r="AD159"/>
      <c r="AE159"/>
      <c r="AF159"/>
      <c r="AG159" s="202"/>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row>
    <row r="160" spans="1:123" s="2" customFormat="1" ht="9" hidden="1" customHeight="1" x14ac:dyDescent="0.25">
      <c r="A160"/>
      <c r="B160"/>
      <c r="C160" s="78"/>
      <c r="D160" s="79"/>
      <c r="E160"/>
      <c r="F160"/>
      <c r="G160"/>
      <c r="H160" s="9"/>
      <c r="I160" s="9"/>
      <c r="J160" s="9"/>
      <c r="K160" s="9"/>
      <c r="L160"/>
      <c r="M160"/>
      <c r="N160"/>
      <c r="O160" t="str">
        <v>Rave</v>
      </c>
      <c r="P160" t="str">
        <v>Handball</v>
      </c>
      <c r="Q160" t="str">
        <v>Elite</v>
      </c>
      <c r="R160" t="str">
        <v>N/A</v>
      </c>
      <c r="S160" t="str">
        <v>Male</v>
      </c>
      <c r="T160" t="str">
        <v>Biodex</v>
      </c>
      <c r="U160"/>
      <c r="V160"/>
      <c r="W160"/>
      <c r="X160"/>
      <c r="Y160"/>
      <c r="Z160"/>
      <c r="AA160"/>
      <c r="AB160"/>
      <c r="AC160"/>
      <c r="AD160"/>
      <c r="AE160"/>
      <c r="AF160"/>
      <c r="AG160" s="202"/>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row>
    <row r="161" spans="1:123" s="2" customFormat="1" ht="9" hidden="1" customHeight="1" x14ac:dyDescent="0.25">
      <c r="A161"/>
      <c r="B161"/>
      <c r="C161" s="78"/>
      <c r="D161" s="79"/>
      <c r="E161"/>
      <c r="F161"/>
      <c r="G161"/>
      <c r="H161" s="9"/>
      <c r="I161" s="9"/>
      <c r="J161" s="9"/>
      <c r="K161" s="9"/>
      <c r="L161"/>
      <c r="M161"/>
      <c r="N161"/>
      <c r="O161" t="str">
        <v>Rave</v>
      </c>
      <c r="P161" t="str">
        <v>Handball</v>
      </c>
      <c r="Q161" t="str">
        <v>Elite</v>
      </c>
      <c r="R161" t="str">
        <v>N/A</v>
      </c>
      <c r="S161" t="str">
        <v>Male</v>
      </c>
      <c r="T161" t="str">
        <v>Biodex</v>
      </c>
      <c r="U161"/>
      <c r="V161"/>
      <c r="W161"/>
      <c r="X161"/>
      <c r="Y161"/>
      <c r="Z161"/>
      <c r="AA161"/>
      <c r="AB161"/>
      <c r="AC161"/>
      <c r="AD161"/>
      <c r="AE161"/>
      <c r="AF161"/>
      <c r="AG161" s="202"/>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row>
    <row r="162" spans="1:123" s="2" customFormat="1" ht="9" hidden="1" customHeight="1" x14ac:dyDescent="0.25">
      <c r="A162"/>
      <c r="B162"/>
      <c r="C162" s="78"/>
      <c r="D162" s="79"/>
      <c r="E162"/>
      <c r="F162"/>
      <c r="G162"/>
      <c r="H162" s="9"/>
      <c r="I162" s="9"/>
      <c r="J162" s="9"/>
      <c r="K162" s="9"/>
      <c r="L162"/>
      <c r="M162"/>
      <c r="N162"/>
      <c r="O162" t="str">
        <v>Rave</v>
      </c>
      <c r="P162" t="str">
        <v>Handball</v>
      </c>
      <c r="Q162" t="str">
        <v>Elite</v>
      </c>
      <c r="R162" t="str">
        <v>N/A</v>
      </c>
      <c r="S162" t="str">
        <v>Male</v>
      </c>
      <c r="T162" t="str">
        <v>Biodex</v>
      </c>
      <c r="U162"/>
      <c r="V162"/>
      <c r="W162"/>
      <c r="X162"/>
      <c r="Y162"/>
      <c r="Z162"/>
      <c r="AA162"/>
      <c r="AB162"/>
      <c r="AC162"/>
      <c r="AD162"/>
      <c r="AE162"/>
      <c r="AF162"/>
      <c r="AG162" s="20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row>
    <row r="163" spans="1:123" s="2" customFormat="1" ht="9" hidden="1" customHeight="1" x14ac:dyDescent="0.25">
      <c r="A163"/>
      <c r="B163"/>
      <c r="C163" s="78"/>
      <c r="D163" s="79"/>
      <c r="E163"/>
      <c r="F163"/>
      <c r="G163"/>
      <c r="H163" s="9"/>
      <c r="I163" s="9"/>
      <c r="J163" s="9"/>
      <c r="K163" s="9"/>
      <c r="L163"/>
      <c r="M163"/>
      <c r="N163"/>
      <c r="O163" t="str">
        <v>Read</v>
      </c>
      <c r="P163" t="str">
        <v>Mixed Sport</v>
      </c>
      <c r="Q163" t="str">
        <v>Adults</v>
      </c>
      <c r="R163" t="str">
        <v>N/A</v>
      </c>
      <c r="S163" t="str">
        <v>Male</v>
      </c>
      <c r="T163" t="str">
        <v>Biodex</v>
      </c>
      <c r="U163"/>
      <c r="V163"/>
      <c r="W163"/>
      <c r="X163"/>
      <c r="Y163"/>
      <c r="Z163"/>
      <c r="AA163"/>
      <c r="AB163"/>
      <c r="AC163"/>
      <c r="AD163"/>
      <c r="AE163"/>
      <c r="AF163"/>
      <c r="AG163" s="202"/>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row>
    <row r="164" spans="1:123" s="2" customFormat="1" ht="9" hidden="1" customHeight="1" x14ac:dyDescent="0.25">
      <c r="A164"/>
      <c r="B164"/>
      <c r="C164" s="78"/>
      <c r="D164" s="79"/>
      <c r="E164"/>
      <c r="F164"/>
      <c r="G164"/>
      <c r="H164" s="9"/>
      <c r="I164" s="9"/>
      <c r="J164" s="9"/>
      <c r="K164" s="9"/>
      <c r="L164"/>
      <c r="M164"/>
      <c r="N164"/>
      <c r="O164" t="str">
        <v>Read</v>
      </c>
      <c r="P164" t="str">
        <v>Mixed Sport</v>
      </c>
      <c r="Q164" t="str">
        <v>Adults</v>
      </c>
      <c r="R164" t="str">
        <v>N/A</v>
      </c>
      <c r="S164" t="str">
        <v>Male</v>
      </c>
      <c r="T164" t="str">
        <v>Biodex</v>
      </c>
      <c r="U164"/>
      <c r="V164"/>
      <c r="W164"/>
      <c r="X164"/>
      <c r="Y164"/>
      <c r="Z164"/>
      <c r="AA164"/>
      <c r="AB164"/>
      <c r="AC164"/>
      <c r="AD164"/>
      <c r="AE164"/>
      <c r="AF164"/>
      <c r="AG164" s="202"/>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row>
    <row r="165" spans="1:123" s="2" customFormat="1" ht="9" hidden="1" customHeight="1" x14ac:dyDescent="0.25">
      <c r="A165"/>
      <c r="B165"/>
      <c r="C165" s="78"/>
      <c r="D165" s="79"/>
      <c r="E165"/>
      <c r="F165"/>
      <c r="G165"/>
      <c r="H165" s="9"/>
      <c r="I165" s="9"/>
      <c r="J165" s="9"/>
      <c r="K165" s="9"/>
      <c r="L165"/>
      <c r="M165"/>
      <c r="N165"/>
      <c r="O165" t="str">
        <v>Risberg</v>
      </c>
      <c r="P165" t="str">
        <v>Handball</v>
      </c>
      <c r="Q165" t="str">
        <v>Elite</v>
      </c>
      <c r="R165" t="str">
        <v>N/A</v>
      </c>
      <c r="S165" t="str">
        <v>Female</v>
      </c>
      <c r="T165" t="str">
        <v>TechnoGym Rev 9000</v>
      </c>
      <c r="U165"/>
      <c r="V165"/>
      <c r="W165"/>
      <c r="X165"/>
      <c r="Y165"/>
      <c r="Z165"/>
      <c r="AA165"/>
      <c r="AB165"/>
      <c r="AC165"/>
      <c r="AD165"/>
      <c r="AE165"/>
      <c r="AF165"/>
      <c r="AG165" s="202"/>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row>
    <row r="166" spans="1:123" s="2" customFormat="1" ht="9" hidden="1" customHeight="1" x14ac:dyDescent="0.25">
      <c r="A166"/>
      <c r="B166"/>
      <c r="C166" s="78"/>
      <c r="D166" s="79"/>
      <c r="E166"/>
      <c r="F166"/>
      <c r="G166"/>
      <c r="H166" s="9"/>
      <c r="I166" s="9"/>
      <c r="J166" s="9"/>
      <c r="K166" s="9"/>
      <c r="L166"/>
      <c r="M166"/>
      <c r="N166"/>
      <c r="O166" t="str">
        <v>Risberg</v>
      </c>
      <c r="P166" t="str">
        <v>Handball</v>
      </c>
      <c r="Q166" t="str">
        <v>Elite</v>
      </c>
      <c r="R166" t="str">
        <v>N/A</v>
      </c>
      <c r="S166" t="str">
        <v>Female</v>
      </c>
      <c r="T166" t="str">
        <v>TechnoGym Rev 9000</v>
      </c>
      <c r="U166"/>
      <c r="V166"/>
      <c r="W166"/>
      <c r="X166"/>
      <c r="Y166"/>
      <c r="Z166"/>
      <c r="AA166"/>
      <c r="AB166"/>
      <c r="AC166"/>
      <c r="AD166"/>
      <c r="AE166"/>
      <c r="AF166"/>
      <c r="AG166" s="202"/>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row>
    <row r="167" spans="1:123" s="2" customFormat="1" ht="9" hidden="1" customHeight="1" x14ac:dyDescent="0.25">
      <c r="A167"/>
      <c r="B167"/>
      <c r="C167" s="78"/>
      <c r="D167" s="79"/>
      <c r="E167"/>
      <c r="F167"/>
      <c r="G167"/>
      <c r="H167" s="9"/>
      <c r="I167" s="9"/>
      <c r="J167" s="9"/>
      <c r="K167" s="9"/>
      <c r="L167"/>
      <c r="M167"/>
      <c r="N167"/>
      <c r="O167" t="str">
        <v>Risberg</v>
      </c>
      <c r="P167" t="str">
        <v>Football</v>
      </c>
      <c r="Q167" t="str">
        <v>Elite</v>
      </c>
      <c r="R167" t="str">
        <v>N/A</v>
      </c>
      <c r="S167" t="str">
        <v>Female</v>
      </c>
      <c r="T167" t="str">
        <v>TechnoGym Rev 9000</v>
      </c>
      <c r="U167"/>
      <c r="V167"/>
      <c r="W167"/>
      <c r="X167"/>
      <c r="Y167"/>
      <c r="Z167"/>
      <c r="AA167"/>
      <c r="AB167"/>
      <c r="AC167"/>
      <c r="AD167"/>
      <c r="AE167"/>
      <c r="AF167"/>
      <c r="AG167" s="202"/>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row>
    <row r="168" spans="1:123" s="2" customFormat="1" ht="9" hidden="1" customHeight="1" x14ac:dyDescent="0.25">
      <c r="A168"/>
      <c r="B168"/>
      <c r="C168" s="78"/>
      <c r="D168" s="79"/>
      <c r="E168"/>
      <c r="F168"/>
      <c r="G168"/>
      <c r="H168" s="9"/>
      <c r="I168" s="9"/>
      <c r="J168" s="9"/>
      <c r="K168" s="9"/>
      <c r="L168"/>
      <c r="M168"/>
      <c r="N168"/>
      <c r="O168" t="str">
        <v>Risberg</v>
      </c>
      <c r="P168" t="str">
        <v>Football</v>
      </c>
      <c r="Q168" t="str">
        <v>Elite</v>
      </c>
      <c r="R168" t="str">
        <v>N/A</v>
      </c>
      <c r="S168" t="str">
        <v>Female</v>
      </c>
      <c r="T168" t="str">
        <v>TechnoGym Rev 9000</v>
      </c>
      <c r="U168"/>
      <c r="V168"/>
      <c r="W168"/>
      <c r="X168"/>
      <c r="Y168"/>
      <c r="Z168"/>
      <c r="AA168"/>
      <c r="AB168"/>
      <c r="AC168"/>
      <c r="AD168"/>
      <c r="AE168"/>
      <c r="AF168"/>
      <c r="AG168" s="202"/>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row>
    <row r="169" spans="1:123" s="2" customFormat="1" ht="9" hidden="1" customHeight="1" x14ac:dyDescent="0.25">
      <c r="A169"/>
      <c r="B169"/>
      <c r="C169" s="78"/>
      <c r="D169" s="79"/>
      <c r="E169"/>
      <c r="F169"/>
      <c r="G169"/>
      <c r="H169" s="9"/>
      <c r="I169" s="9"/>
      <c r="J169" s="9"/>
      <c r="K169" s="9"/>
      <c r="L169"/>
      <c r="M169"/>
      <c r="N169"/>
      <c r="O169" t="str">
        <v>Rouis</v>
      </c>
      <c r="P169" t="str">
        <v>Basketball</v>
      </c>
      <c r="Q169" t="str">
        <v>Elite</v>
      </c>
      <c r="R169" t="str">
        <v>N/A</v>
      </c>
      <c r="S169" t="str">
        <v>Female</v>
      </c>
      <c r="T169" t="str">
        <v>Biodex</v>
      </c>
      <c r="U169"/>
      <c r="V169"/>
      <c r="W169"/>
      <c r="X169"/>
      <c r="Y169"/>
      <c r="Z169"/>
      <c r="AA169"/>
      <c r="AB169"/>
      <c r="AC169"/>
      <c r="AD169"/>
      <c r="AE169"/>
      <c r="AF169"/>
      <c r="AG169" s="202"/>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row>
    <row r="170" spans="1:123" s="2" customFormat="1" ht="9" hidden="1" customHeight="1" x14ac:dyDescent="0.25">
      <c r="A170"/>
      <c r="B170"/>
      <c r="C170" s="78"/>
      <c r="D170" s="79"/>
      <c r="E170"/>
      <c r="F170"/>
      <c r="G170"/>
      <c r="H170" s="9"/>
      <c r="I170" s="9"/>
      <c r="J170" s="9"/>
      <c r="K170" s="9"/>
      <c r="L170"/>
      <c r="M170"/>
      <c r="N170"/>
      <c r="O170" t="str">
        <v>Rouis</v>
      </c>
      <c r="P170" t="str">
        <v>Basketball</v>
      </c>
      <c r="Q170" t="str">
        <v>Elite</v>
      </c>
      <c r="R170" t="str">
        <v>N/A</v>
      </c>
      <c r="S170" t="str">
        <v>Female</v>
      </c>
      <c r="T170" t="str">
        <v>Biodex</v>
      </c>
      <c r="U170"/>
      <c r="V170"/>
      <c r="W170"/>
      <c r="X170"/>
      <c r="Y170"/>
      <c r="Z170"/>
      <c r="AA170"/>
      <c r="AB170"/>
      <c r="AC170"/>
      <c r="AD170"/>
      <c r="AE170"/>
      <c r="AF170"/>
      <c r="AG170" s="202"/>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row>
    <row r="171" spans="1:123" s="2" customFormat="1" ht="9" hidden="1" customHeight="1" x14ac:dyDescent="0.25">
      <c r="A171"/>
      <c r="B171"/>
      <c r="C171" s="78"/>
      <c r="D171" s="79"/>
      <c r="E171"/>
      <c r="F171"/>
      <c r="G171"/>
      <c r="H171" s="9"/>
      <c r="I171" s="9"/>
      <c r="J171" s="9"/>
      <c r="K171" s="9"/>
      <c r="L171"/>
      <c r="M171"/>
      <c r="N171"/>
      <c r="O171" t="str">
        <v>Rouis</v>
      </c>
      <c r="P171" t="str">
        <v>Basketball</v>
      </c>
      <c r="Q171" t="str">
        <v>Elite</v>
      </c>
      <c r="R171" t="str">
        <v>N/A</v>
      </c>
      <c r="S171" t="str">
        <v>Female</v>
      </c>
      <c r="T171" t="str">
        <v>Biodex</v>
      </c>
      <c r="U171"/>
      <c r="V171"/>
      <c r="W171"/>
      <c r="X171"/>
      <c r="Y171"/>
      <c r="Z171"/>
      <c r="AA171"/>
      <c r="AB171"/>
      <c r="AC171"/>
      <c r="AD171"/>
      <c r="AE171"/>
      <c r="AF171"/>
      <c r="AG171" s="202"/>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row>
    <row r="172" spans="1:123" s="2" customFormat="1" ht="9" hidden="1" customHeight="1" x14ac:dyDescent="0.25">
      <c r="A172"/>
      <c r="B172"/>
      <c r="C172" s="78"/>
      <c r="D172" s="79"/>
      <c r="E172"/>
      <c r="F172"/>
      <c r="G172"/>
      <c r="H172" s="9"/>
      <c r="I172" s="9"/>
      <c r="J172" s="9"/>
      <c r="K172" s="9"/>
      <c r="L172"/>
      <c r="M172"/>
      <c r="N172"/>
      <c r="O172" t="str">
        <v>Rouis</v>
      </c>
      <c r="P172" t="str">
        <v>Basketball</v>
      </c>
      <c r="Q172" t="str">
        <v>Elite</v>
      </c>
      <c r="R172" t="str">
        <v>N/A</v>
      </c>
      <c r="S172" t="str">
        <v>Female</v>
      </c>
      <c r="T172" t="str">
        <v>Biodex</v>
      </c>
      <c r="U172"/>
      <c r="V172"/>
      <c r="W172"/>
      <c r="X172"/>
      <c r="Y172"/>
      <c r="Z172"/>
      <c r="AA172"/>
      <c r="AB172"/>
      <c r="AC172"/>
      <c r="AD172"/>
      <c r="AE172"/>
      <c r="AF172"/>
      <c r="AG172" s="20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row>
    <row r="173" spans="1:123" s="2" customFormat="1" ht="9" hidden="1" customHeight="1" x14ac:dyDescent="0.25">
      <c r="A173"/>
      <c r="B173"/>
      <c r="C173" s="78"/>
      <c r="D173" s="79"/>
      <c r="E173"/>
      <c r="F173"/>
      <c r="G173"/>
      <c r="H173" s="9"/>
      <c r="I173" s="9"/>
      <c r="J173" s="9"/>
      <c r="K173" s="9"/>
      <c r="L173"/>
      <c r="M173"/>
      <c r="N173"/>
      <c r="O173" t="str">
        <v>Rouis</v>
      </c>
      <c r="P173" t="str">
        <v>Basketball</v>
      </c>
      <c r="Q173" t="str">
        <v>Elite</v>
      </c>
      <c r="R173" t="str">
        <v>N/A</v>
      </c>
      <c r="S173" t="str">
        <v>Female</v>
      </c>
      <c r="T173" t="str">
        <v>Biodex</v>
      </c>
      <c r="U173"/>
      <c r="V173"/>
      <c r="W173"/>
      <c r="X173"/>
      <c r="Y173"/>
      <c r="Z173"/>
      <c r="AA173"/>
      <c r="AB173"/>
      <c r="AC173"/>
      <c r="AD173"/>
      <c r="AE173"/>
      <c r="AF173"/>
      <c r="AG173" s="202"/>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row>
    <row r="174" spans="1:123" s="2" customFormat="1" ht="9" hidden="1" customHeight="1" x14ac:dyDescent="0.25">
      <c r="A174"/>
      <c r="B174"/>
      <c r="C174" s="78"/>
      <c r="D174" s="79"/>
      <c r="E174"/>
      <c r="F174"/>
      <c r="G174"/>
      <c r="H174" s="9"/>
      <c r="I174" s="9"/>
      <c r="J174" s="9"/>
      <c r="K174" s="9"/>
      <c r="L174"/>
      <c r="M174"/>
      <c r="N174"/>
      <c r="O174" t="str">
        <v>Rouis</v>
      </c>
      <c r="P174" t="str">
        <v>Basketball</v>
      </c>
      <c r="Q174" t="str">
        <v>Elite</v>
      </c>
      <c r="R174" t="str">
        <v>N/A</v>
      </c>
      <c r="S174" t="str">
        <v>Female</v>
      </c>
      <c r="T174" t="str">
        <v>Biodex</v>
      </c>
      <c r="U174"/>
      <c r="V174"/>
      <c r="W174"/>
      <c r="X174"/>
      <c r="Y174"/>
      <c r="Z174"/>
      <c r="AA174"/>
      <c r="AB174"/>
      <c r="AC174"/>
      <c r="AD174"/>
      <c r="AE174"/>
      <c r="AF174"/>
      <c r="AG174" s="202"/>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row>
    <row r="175" spans="1:123" s="2" customFormat="1" ht="9" hidden="1" customHeight="1" x14ac:dyDescent="0.25">
      <c r="A175"/>
      <c r="B175"/>
      <c r="C175" s="78"/>
      <c r="D175" s="79"/>
      <c r="E175"/>
      <c r="F175"/>
      <c r="G175"/>
      <c r="H175" s="9"/>
      <c r="I175" s="9"/>
      <c r="J175" s="9"/>
      <c r="K175" s="9"/>
      <c r="L175"/>
      <c r="M175"/>
      <c r="N175"/>
      <c r="O175" t="str">
        <v>Santos</v>
      </c>
      <c r="P175" t="str">
        <v>Gen Pop</v>
      </c>
      <c r="Q175" t="str">
        <v>Elderly</v>
      </c>
      <c r="R175" t="str">
        <v>N/A</v>
      </c>
      <c r="S175" t="str">
        <v>Female</v>
      </c>
      <c r="T175" t="str">
        <v>Biodex</v>
      </c>
      <c r="U175"/>
      <c r="V175"/>
      <c r="W175"/>
      <c r="X175"/>
      <c r="Y175"/>
      <c r="Z175"/>
      <c r="AA175"/>
      <c r="AB175"/>
      <c r="AC175"/>
      <c r="AD175"/>
      <c r="AE175"/>
      <c r="AF175"/>
      <c r="AG175" s="202"/>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row>
    <row r="176" spans="1:123" s="2" customFormat="1" ht="9" hidden="1" customHeight="1" x14ac:dyDescent="0.25">
      <c r="A176"/>
      <c r="B176"/>
      <c r="C176" s="78"/>
      <c r="D176" s="79"/>
      <c r="E176"/>
      <c r="F176"/>
      <c r="G176"/>
      <c r="H176" s="9"/>
      <c r="I176" s="9"/>
      <c r="J176" s="9"/>
      <c r="K176" s="9"/>
      <c r="L176"/>
      <c r="M176"/>
      <c r="N176"/>
      <c r="O176" t="str">
        <v>Santos</v>
      </c>
      <c r="P176" t="str">
        <v>Gen Pop</v>
      </c>
      <c r="Q176" t="str">
        <v>Elderly</v>
      </c>
      <c r="R176" t="str">
        <v>N/A</v>
      </c>
      <c r="S176" t="str">
        <v>Female</v>
      </c>
      <c r="T176" t="str">
        <v>Biodex</v>
      </c>
      <c r="U176"/>
      <c r="V176"/>
      <c r="W176"/>
      <c r="X176"/>
      <c r="Y176"/>
      <c r="Z176"/>
      <c r="AA176"/>
      <c r="AB176"/>
      <c r="AC176"/>
      <c r="AD176"/>
      <c r="AE176"/>
      <c r="AF176"/>
      <c r="AG176" s="202"/>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row>
    <row r="177" spans="1:123" s="2" customFormat="1" ht="9" hidden="1" customHeight="1" x14ac:dyDescent="0.25">
      <c r="A177"/>
      <c r="B177"/>
      <c r="C177" s="78"/>
      <c r="D177" s="79"/>
      <c r="E177"/>
      <c r="F177"/>
      <c r="G177"/>
      <c r="H177" s="9"/>
      <c r="I177" s="9"/>
      <c r="J177" s="9"/>
      <c r="K177" s="9"/>
      <c r="L177"/>
      <c r="M177"/>
      <c r="N177"/>
      <c r="O177" t="str">
        <v>Schlitz</v>
      </c>
      <c r="P177" t="str">
        <v>Basketball</v>
      </c>
      <c r="Q177" t="str">
        <v>Professional</v>
      </c>
      <c r="R177" t="str">
        <v>N/A</v>
      </c>
      <c r="S177" t="str">
        <v>Male</v>
      </c>
      <c r="T177" t="str">
        <v>Cybex</v>
      </c>
      <c r="U177"/>
      <c r="V177"/>
      <c r="W177"/>
      <c r="X177"/>
      <c r="Y177"/>
      <c r="Z177"/>
      <c r="AA177"/>
      <c r="AB177"/>
      <c r="AC177"/>
      <c r="AD177"/>
      <c r="AE177"/>
      <c r="AF177"/>
      <c r="AG177" s="202"/>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row>
    <row r="178" spans="1:123" s="2" customFormat="1" ht="9" hidden="1" customHeight="1" x14ac:dyDescent="0.25">
      <c r="A178"/>
      <c r="B178"/>
      <c r="C178" s="78"/>
      <c r="D178" s="79"/>
      <c r="E178"/>
      <c r="F178"/>
      <c r="G178"/>
      <c r="H178" s="9"/>
      <c r="I178" s="9"/>
      <c r="J178" s="9"/>
      <c r="K178" s="9"/>
      <c r="L178"/>
      <c r="M178"/>
      <c r="N178"/>
      <c r="O178" t="str">
        <v>Schlitz</v>
      </c>
      <c r="P178" t="str">
        <v>Basketball</v>
      </c>
      <c r="Q178" t="str">
        <v>Professional</v>
      </c>
      <c r="R178" t="str">
        <v>N/A</v>
      </c>
      <c r="S178" t="str">
        <v>Male</v>
      </c>
      <c r="T178" t="str">
        <v>Cybex</v>
      </c>
      <c r="U178"/>
      <c r="V178"/>
      <c r="W178"/>
      <c r="X178"/>
      <c r="Y178"/>
      <c r="Z178"/>
      <c r="AA178"/>
      <c r="AB178"/>
      <c r="AC178"/>
      <c r="AD178"/>
      <c r="AE178"/>
      <c r="AF178"/>
      <c r="AG178" s="202"/>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row>
    <row r="179" spans="1:123" s="2" customFormat="1" ht="9" hidden="1" customHeight="1" x14ac:dyDescent="0.25">
      <c r="A179"/>
      <c r="B179"/>
      <c r="C179" s="78"/>
      <c r="D179" s="79"/>
      <c r="E179"/>
      <c r="F179"/>
      <c r="G179"/>
      <c r="H179" s="9"/>
      <c r="I179" s="9"/>
      <c r="J179" s="9"/>
      <c r="K179" s="9"/>
      <c r="L179"/>
      <c r="M179"/>
      <c r="N179"/>
      <c r="O179" t="str">
        <v>Schlitz</v>
      </c>
      <c r="P179" t="str">
        <v>Basketball</v>
      </c>
      <c r="Q179" t="str">
        <v>Junior</v>
      </c>
      <c r="R179" t="str">
        <v>N/A</v>
      </c>
      <c r="S179" t="str">
        <v>Male</v>
      </c>
      <c r="T179" t="str">
        <v>Cybex</v>
      </c>
      <c r="U179"/>
      <c r="V179"/>
      <c r="W179"/>
      <c r="X179"/>
      <c r="Y179"/>
      <c r="Z179"/>
      <c r="AA179"/>
      <c r="AB179"/>
      <c r="AC179"/>
      <c r="AD179"/>
      <c r="AE179"/>
      <c r="AF179"/>
      <c r="AG179" s="202"/>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row>
    <row r="180" spans="1:123" s="2" customFormat="1" ht="9" hidden="1" customHeight="1" x14ac:dyDescent="0.25">
      <c r="A180"/>
      <c r="B180"/>
      <c r="C180" s="78"/>
      <c r="D180" s="79"/>
      <c r="E180"/>
      <c r="F180"/>
      <c r="G180"/>
      <c r="H180" s="9"/>
      <c r="I180" s="9"/>
      <c r="J180" s="9"/>
      <c r="K180" s="9"/>
      <c r="L180"/>
      <c r="M180"/>
      <c r="N180"/>
      <c r="O180" t="str">
        <v>Schlitz</v>
      </c>
      <c r="P180" t="str">
        <v>Basketball</v>
      </c>
      <c r="Q180" t="str">
        <v>Junior</v>
      </c>
      <c r="R180" t="str">
        <v>N/A</v>
      </c>
      <c r="S180" t="str">
        <v>Male</v>
      </c>
      <c r="T180" t="str">
        <v>Cybex</v>
      </c>
      <c r="U180"/>
      <c r="V180"/>
      <c r="W180"/>
      <c r="X180"/>
      <c r="Y180"/>
      <c r="Z180"/>
      <c r="AA180"/>
      <c r="AB180"/>
      <c r="AC180"/>
      <c r="AD180"/>
      <c r="AE180"/>
      <c r="AF180"/>
      <c r="AG180" s="202"/>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row>
    <row r="181" spans="1:123" s="2" customFormat="1" ht="9" hidden="1" customHeight="1" x14ac:dyDescent="0.25">
      <c r="A181"/>
      <c r="B181"/>
      <c r="C181" s="78"/>
      <c r="D181" s="79"/>
      <c r="E181"/>
      <c r="F181"/>
      <c r="G181"/>
      <c r="H181" s="9"/>
      <c r="I181" s="9"/>
      <c r="J181" s="9"/>
      <c r="K181" s="9"/>
      <c r="L181"/>
      <c r="M181"/>
      <c r="N181"/>
      <c r="O181" t="str">
        <v>Schlitz</v>
      </c>
      <c r="P181" t="str">
        <v>Basketball</v>
      </c>
      <c r="Q181" t="str">
        <v>Adults</v>
      </c>
      <c r="R181" t="str">
        <v>N/A</v>
      </c>
      <c r="S181" t="str">
        <v>Male</v>
      </c>
      <c r="T181" t="str">
        <v>Cybex</v>
      </c>
      <c r="U181"/>
      <c r="V181"/>
      <c r="W181"/>
      <c r="X181"/>
      <c r="Y181"/>
      <c r="Z181"/>
      <c r="AA181"/>
      <c r="AB181"/>
      <c r="AC181"/>
      <c r="AD181"/>
      <c r="AE181"/>
      <c r="AF181"/>
      <c r="AG181" s="202"/>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row>
    <row r="182" spans="1:123" s="2" customFormat="1" ht="9" hidden="1" customHeight="1" x14ac:dyDescent="0.25">
      <c r="A182"/>
      <c r="B182"/>
      <c r="C182" s="78"/>
      <c r="D182" s="79"/>
      <c r="E182"/>
      <c r="F182"/>
      <c r="G182"/>
      <c r="H182" s="9"/>
      <c r="I182" s="9"/>
      <c r="J182" s="9"/>
      <c r="K182" s="9"/>
      <c r="L182"/>
      <c r="M182"/>
      <c r="N182"/>
      <c r="O182" t="str">
        <v>Schlitz</v>
      </c>
      <c r="P182" t="str">
        <v>Basketball</v>
      </c>
      <c r="Q182" t="str">
        <v>Adults</v>
      </c>
      <c r="R182" t="str">
        <v>N/A</v>
      </c>
      <c r="S182" t="str">
        <v>Male</v>
      </c>
      <c r="T182" t="str">
        <v>Cybex</v>
      </c>
      <c r="U182"/>
      <c r="V182"/>
      <c r="W182"/>
      <c r="X182"/>
      <c r="Y182"/>
      <c r="Z182"/>
      <c r="AA182"/>
      <c r="AB182"/>
      <c r="AC182"/>
      <c r="AD182"/>
      <c r="AE182"/>
      <c r="AF182"/>
      <c r="AG182" s="20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row>
    <row r="183" spans="1:123" s="2" customFormat="1" ht="9" hidden="1" customHeight="1" x14ac:dyDescent="0.25">
      <c r="A183"/>
      <c r="B183"/>
      <c r="C183" s="78"/>
      <c r="D183" s="79"/>
      <c r="E183"/>
      <c r="F183"/>
      <c r="G183"/>
      <c r="H183" s="9"/>
      <c r="I183" s="9"/>
      <c r="J183" s="9"/>
      <c r="K183" s="9"/>
      <c r="L183"/>
      <c r="M183"/>
      <c r="N183"/>
      <c r="O183" t="str">
        <v>Schlitz</v>
      </c>
      <c r="P183" t="str">
        <v>Basketball</v>
      </c>
      <c r="Q183" t="str">
        <v>Professional</v>
      </c>
      <c r="R183" t="str">
        <v>N/A</v>
      </c>
      <c r="S183" t="str">
        <v>Male</v>
      </c>
      <c r="T183" t="str">
        <v>Cybex</v>
      </c>
      <c r="U183"/>
      <c r="V183"/>
      <c r="W183"/>
      <c r="X183"/>
      <c r="Y183"/>
      <c r="Z183"/>
      <c r="AA183"/>
      <c r="AB183"/>
      <c r="AC183"/>
      <c r="AD183"/>
      <c r="AE183"/>
      <c r="AF183"/>
      <c r="AG183" s="202"/>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row>
    <row r="184" spans="1:123" s="2" customFormat="1" ht="9" hidden="1" customHeight="1" x14ac:dyDescent="0.25">
      <c r="A184"/>
      <c r="B184"/>
      <c r="C184" s="78"/>
      <c r="D184" s="79"/>
      <c r="E184"/>
      <c r="F184"/>
      <c r="G184"/>
      <c r="H184" s="9"/>
      <c r="I184" s="9"/>
      <c r="J184" s="9"/>
      <c r="K184" s="9"/>
      <c r="L184"/>
      <c r="M184"/>
      <c r="N184"/>
      <c r="O184" t="str">
        <v>Schlitz</v>
      </c>
      <c r="P184" t="str">
        <v>Basketball</v>
      </c>
      <c r="Q184" t="str">
        <v>Professional</v>
      </c>
      <c r="R184" t="str">
        <v>N/A</v>
      </c>
      <c r="S184" t="str">
        <v>Male</v>
      </c>
      <c r="T184" t="str">
        <v>Cybex</v>
      </c>
      <c r="U184"/>
      <c r="V184"/>
      <c r="W184"/>
      <c r="X184"/>
      <c r="Y184"/>
      <c r="Z184"/>
      <c r="AA184"/>
      <c r="AB184"/>
      <c r="AC184"/>
      <c r="AD184"/>
      <c r="AE184"/>
      <c r="AF184"/>
      <c r="AG184" s="202"/>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row>
    <row r="185" spans="1:123" s="2" customFormat="1" ht="9" hidden="1" customHeight="1" x14ac:dyDescent="0.25">
      <c r="A185"/>
      <c r="B185"/>
      <c r="C185" s="78"/>
      <c r="D185" s="79"/>
      <c r="E185"/>
      <c r="F185"/>
      <c r="G185"/>
      <c r="H185" s="9"/>
      <c r="I185" s="9"/>
      <c r="J185" s="9"/>
      <c r="K185" s="9"/>
      <c r="L185"/>
      <c r="M185"/>
      <c r="N185"/>
      <c r="O185" t="str">
        <v>Schlitz</v>
      </c>
      <c r="P185" t="str">
        <v>Basketball</v>
      </c>
      <c r="Q185" t="str">
        <v>Junior</v>
      </c>
      <c r="R185" t="str">
        <v>N/A</v>
      </c>
      <c r="S185" t="str">
        <v>Male</v>
      </c>
      <c r="T185" t="str">
        <v>Cybex</v>
      </c>
      <c r="U185"/>
      <c r="V185"/>
      <c r="W185"/>
      <c r="X185"/>
      <c r="Y185"/>
      <c r="Z185"/>
      <c r="AA185"/>
      <c r="AB185"/>
      <c r="AC185"/>
      <c r="AD185"/>
      <c r="AE185"/>
      <c r="AF185"/>
      <c r="AG185" s="202"/>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row>
    <row r="186" spans="1:123" s="2" customFormat="1" ht="9" hidden="1" customHeight="1" x14ac:dyDescent="0.25">
      <c r="A186"/>
      <c r="B186"/>
      <c r="C186" s="78"/>
      <c r="D186" s="79"/>
      <c r="E186"/>
      <c r="F186"/>
      <c r="G186"/>
      <c r="H186" s="9"/>
      <c r="I186" s="9"/>
      <c r="J186" s="9"/>
      <c r="K186" s="9"/>
      <c r="L186"/>
      <c r="M186"/>
      <c r="N186"/>
      <c r="O186" t="str">
        <v>Schlitz</v>
      </c>
      <c r="P186" t="str">
        <v>Basketball</v>
      </c>
      <c r="Q186" t="str">
        <v>Junior</v>
      </c>
      <c r="R186" t="str">
        <v>N/A</v>
      </c>
      <c r="S186" t="str">
        <v>Male</v>
      </c>
      <c r="T186" t="str">
        <v>Cybex</v>
      </c>
      <c r="U186"/>
      <c r="V186"/>
      <c r="W186"/>
      <c r="X186"/>
      <c r="Y186"/>
      <c r="Z186"/>
      <c r="AA186"/>
      <c r="AB186"/>
      <c r="AC186"/>
      <c r="AD186"/>
      <c r="AE186"/>
      <c r="AF186"/>
      <c r="AG186" s="202"/>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row>
    <row r="187" spans="1:123" s="2" customFormat="1" ht="9" hidden="1" customHeight="1" x14ac:dyDescent="0.25">
      <c r="A187"/>
      <c r="B187"/>
      <c r="C187" s="78"/>
      <c r="D187" s="79"/>
      <c r="E187"/>
      <c r="F187"/>
      <c r="G187"/>
      <c r="H187" s="9"/>
      <c r="I187" s="9"/>
      <c r="J187" s="9"/>
      <c r="K187" s="9"/>
      <c r="L187"/>
      <c r="M187"/>
      <c r="N187"/>
      <c r="O187" t="str">
        <v>Schlitz</v>
      </c>
      <c r="P187" t="str">
        <v>Basketball</v>
      </c>
      <c r="Q187" t="str">
        <v>Adults</v>
      </c>
      <c r="R187" t="str">
        <v>N/A</v>
      </c>
      <c r="S187" t="str">
        <v>Male</v>
      </c>
      <c r="T187" t="str">
        <v>Cybex</v>
      </c>
      <c r="U187"/>
      <c r="V187"/>
      <c r="W187"/>
      <c r="X187"/>
      <c r="Y187"/>
      <c r="Z187"/>
      <c r="AA187"/>
      <c r="AB187"/>
      <c r="AC187"/>
      <c r="AD187"/>
      <c r="AE187"/>
      <c r="AF187"/>
      <c r="AG187" s="202"/>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row>
    <row r="188" spans="1:123" s="2" customFormat="1" ht="9" hidden="1" customHeight="1" x14ac:dyDescent="0.25">
      <c r="A188"/>
      <c r="B188"/>
      <c r="C188" s="78"/>
      <c r="D188" s="79"/>
      <c r="E188"/>
      <c r="F188"/>
      <c r="G188"/>
      <c r="H188" s="9"/>
      <c r="I188" s="9"/>
      <c r="J188" s="9"/>
      <c r="K188" s="9"/>
      <c r="L188"/>
      <c r="M188"/>
      <c r="N188"/>
      <c r="O188" t="str">
        <v>Schlitz</v>
      </c>
      <c r="P188" t="str">
        <v>Basketball</v>
      </c>
      <c r="Q188" t="str">
        <v>Adults</v>
      </c>
      <c r="R188" t="str">
        <v>N/A</v>
      </c>
      <c r="S188" t="str">
        <v>Male</v>
      </c>
      <c r="T188" t="str">
        <v>Cybex</v>
      </c>
      <c r="U188"/>
      <c r="V188"/>
      <c r="W188"/>
      <c r="X188"/>
      <c r="Y188"/>
      <c r="Z188"/>
      <c r="AA188"/>
      <c r="AB188"/>
      <c r="AC188"/>
      <c r="AD188"/>
      <c r="AE188"/>
      <c r="AF188"/>
      <c r="AG188" s="202"/>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row>
    <row r="189" spans="1:123" s="2" customFormat="1" ht="9" hidden="1" customHeight="1" x14ac:dyDescent="0.25">
      <c r="A189"/>
      <c r="B189"/>
      <c r="C189" s="78"/>
      <c r="D189" s="79"/>
      <c r="E189"/>
      <c r="F189"/>
      <c r="G189"/>
      <c r="H189" s="9"/>
      <c r="I189" s="9"/>
      <c r="J189" s="9"/>
      <c r="K189" s="9"/>
      <c r="L189"/>
      <c r="M189"/>
      <c r="N189"/>
      <c r="O189" t="str">
        <v>Silva</v>
      </c>
      <c r="P189" t="str">
        <v>Soccer</v>
      </c>
      <c r="Q189" t="str">
        <v>Professional</v>
      </c>
      <c r="R189" t="str">
        <v>N/A</v>
      </c>
      <c r="S189" t="str">
        <v>Male</v>
      </c>
      <c r="T189" t="str">
        <v>Biodex</v>
      </c>
      <c r="U189"/>
      <c r="V189"/>
      <c r="W189"/>
      <c r="X189"/>
      <c r="Y189"/>
      <c r="Z189"/>
      <c r="AA189"/>
      <c r="AB189"/>
      <c r="AC189"/>
      <c r="AD189"/>
      <c r="AE189"/>
      <c r="AF189"/>
      <c r="AG189" s="202"/>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row>
    <row r="190" spans="1:123" s="2" customFormat="1" ht="9" hidden="1" customHeight="1" x14ac:dyDescent="0.25">
      <c r="A190"/>
      <c r="B190"/>
      <c r="C190" s="78"/>
      <c r="D190" s="79"/>
      <c r="E190"/>
      <c r="F190"/>
      <c r="G190"/>
      <c r="H190" s="9"/>
      <c r="I190" s="9"/>
      <c r="J190" s="9"/>
      <c r="K190" s="9"/>
      <c r="L190"/>
      <c r="M190"/>
      <c r="N190"/>
      <c r="O190" t="str">
        <v>Silva</v>
      </c>
      <c r="P190" t="str">
        <v>Soccer</v>
      </c>
      <c r="Q190" t="str">
        <v>Professional</v>
      </c>
      <c r="R190" t="str">
        <v>N/A</v>
      </c>
      <c r="S190" t="str">
        <v>Male</v>
      </c>
      <c r="T190" t="str">
        <v>Biodex</v>
      </c>
      <c r="U190"/>
      <c r="V190"/>
      <c r="W190"/>
      <c r="X190"/>
      <c r="Y190"/>
      <c r="Z190"/>
      <c r="AA190"/>
      <c r="AB190"/>
      <c r="AC190"/>
      <c r="AD190"/>
      <c r="AE190"/>
      <c r="AF190"/>
      <c r="AG190" s="202"/>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row>
    <row r="191" spans="1:123" s="2" customFormat="1" ht="9" hidden="1" customHeight="1" x14ac:dyDescent="0.25">
      <c r="A191"/>
      <c r="B191"/>
      <c r="C191" s="78"/>
      <c r="D191" s="79"/>
      <c r="E191"/>
      <c r="F191"/>
      <c r="G191"/>
      <c r="H191" s="9"/>
      <c r="I191" s="9"/>
      <c r="J191" s="9"/>
      <c r="K191" s="9"/>
      <c r="L191"/>
      <c r="M191"/>
      <c r="N191"/>
      <c r="O191" t="str">
        <v>Silva</v>
      </c>
      <c r="P191" t="str">
        <v>Soccer</v>
      </c>
      <c r="Q191" t="str">
        <v>Professional</v>
      </c>
      <c r="R191" t="str">
        <v>N/A</v>
      </c>
      <c r="S191" t="str">
        <v>Male</v>
      </c>
      <c r="T191" t="str">
        <v>Biodex</v>
      </c>
      <c r="U191"/>
      <c r="V191"/>
      <c r="W191"/>
      <c r="X191"/>
      <c r="Y191"/>
      <c r="Z191"/>
      <c r="AA191"/>
      <c r="AB191"/>
      <c r="AC191"/>
      <c r="AD191"/>
      <c r="AE191"/>
      <c r="AF191"/>
      <c r="AG191" s="202"/>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row>
    <row r="192" spans="1:123" s="2" customFormat="1" ht="9" hidden="1" customHeight="1" x14ac:dyDescent="0.25">
      <c r="A192"/>
      <c r="B192"/>
      <c r="C192" s="78"/>
      <c r="D192" s="79"/>
      <c r="E192"/>
      <c r="F192"/>
      <c r="G192"/>
      <c r="H192" s="9"/>
      <c r="I192" s="9"/>
      <c r="J192" s="9"/>
      <c r="K192" s="9"/>
      <c r="L192"/>
      <c r="M192"/>
      <c r="N192"/>
      <c r="O192" t="str">
        <v>Silva</v>
      </c>
      <c r="P192" t="str">
        <v>Soccer</v>
      </c>
      <c r="Q192" t="str">
        <v>Professional</v>
      </c>
      <c r="R192" t="str">
        <v>N/A</v>
      </c>
      <c r="S192" t="str">
        <v>Male</v>
      </c>
      <c r="T192" t="str">
        <v>Biodex</v>
      </c>
      <c r="U192"/>
      <c r="V192"/>
      <c r="W192"/>
      <c r="X192"/>
      <c r="Y192"/>
      <c r="Z192"/>
      <c r="AA192"/>
      <c r="AB192"/>
      <c r="AC192"/>
      <c r="AD192"/>
      <c r="AE192"/>
      <c r="AF192"/>
      <c r="AG192" s="20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row>
    <row r="193" spans="1:123" s="2" customFormat="1" ht="9" hidden="1" customHeight="1" x14ac:dyDescent="0.25">
      <c r="A193"/>
      <c r="B193"/>
      <c r="C193" s="78"/>
      <c r="D193" s="79"/>
      <c r="E193"/>
      <c r="F193"/>
      <c r="G193"/>
      <c r="H193" s="9"/>
      <c r="I193" s="9"/>
      <c r="J193" s="9"/>
      <c r="K193" s="9"/>
      <c r="L193"/>
      <c r="M193"/>
      <c r="N193"/>
      <c r="O193" t="str">
        <v>Silva</v>
      </c>
      <c r="P193" t="str">
        <v>Soccer</v>
      </c>
      <c r="Q193" t="str">
        <v>Professional</v>
      </c>
      <c r="R193" t="str">
        <v>S.Defense</v>
      </c>
      <c r="S193" t="str">
        <v>Male</v>
      </c>
      <c r="T193" t="str">
        <v>Biodex</v>
      </c>
      <c r="U193"/>
      <c r="V193"/>
      <c r="W193"/>
      <c r="X193"/>
      <c r="Y193"/>
      <c r="Z193"/>
      <c r="AA193"/>
      <c r="AB193"/>
      <c r="AC193"/>
      <c r="AD193"/>
      <c r="AE193"/>
      <c r="AF193"/>
      <c r="AG193" s="202"/>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row>
    <row r="194" spans="1:123" s="2" customFormat="1" ht="9" hidden="1" customHeight="1" x14ac:dyDescent="0.25">
      <c r="A194"/>
      <c r="B194"/>
      <c r="C194" s="78"/>
      <c r="D194" s="79"/>
      <c r="E194"/>
      <c r="F194"/>
      <c r="G194"/>
      <c r="H194" s="9"/>
      <c r="I194" s="9"/>
      <c r="J194" s="9"/>
      <c r="K194" s="9"/>
      <c r="L194"/>
      <c r="M194"/>
      <c r="N194"/>
      <c r="O194" t="str">
        <v>Silva</v>
      </c>
      <c r="P194" t="str">
        <v>Soccer</v>
      </c>
      <c r="Q194" t="str">
        <v>Professional</v>
      </c>
      <c r="R194" t="str">
        <v>S.Midfield</v>
      </c>
      <c r="S194" t="str">
        <v>Male</v>
      </c>
      <c r="T194" t="str">
        <v>Biodex</v>
      </c>
      <c r="U194"/>
      <c r="V194"/>
      <c r="W194"/>
      <c r="X194"/>
      <c r="Y194"/>
      <c r="Z194"/>
      <c r="AA194"/>
      <c r="AB194"/>
      <c r="AC194"/>
      <c r="AD194"/>
      <c r="AE194"/>
      <c r="AF194"/>
      <c r="AG194" s="202"/>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row>
    <row r="195" spans="1:123" s="2" customFormat="1" ht="9" hidden="1" customHeight="1" x14ac:dyDescent="0.25">
      <c r="A195"/>
      <c r="B195"/>
      <c r="C195" s="78"/>
      <c r="D195" s="79"/>
      <c r="E195"/>
      <c r="F195"/>
      <c r="G195"/>
      <c r="H195" s="9"/>
      <c r="I195" s="9"/>
      <c r="J195" s="9"/>
      <c r="K195" s="9"/>
      <c r="L195"/>
      <c r="M195"/>
      <c r="N195"/>
      <c r="O195" t="str">
        <v>Silva</v>
      </c>
      <c r="P195" t="str">
        <v>Soccer</v>
      </c>
      <c r="Q195" t="str">
        <v>Professional</v>
      </c>
      <c r="R195" t="str">
        <v>S.Forwarders</v>
      </c>
      <c r="S195" t="str">
        <v>Male</v>
      </c>
      <c r="T195" t="str">
        <v>Biodex</v>
      </c>
      <c r="U195"/>
      <c r="V195"/>
      <c r="W195"/>
      <c r="X195"/>
      <c r="Y195"/>
      <c r="Z195"/>
      <c r="AA195"/>
      <c r="AB195"/>
      <c r="AC195"/>
      <c r="AD195"/>
      <c r="AE195"/>
      <c r="AF195"/>
      <c r="AG195" s="202"/>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row>
    <row r="196" spans="1:123" s="2" customFormat="1" ht="9" hidden="1" customHeight="1" x14ac:dyDescent="0.25">
      <c r="A196"/>
      <c r="B196"/>
      <c r="C196" s="78"/>
      <c r="D196" s="79"/>
      <c r="E196"/>
      <c r="F196"/>
      <c r="G196"/>
      <c r="H196" s="9"/>
      <c r="I196" s="9"/>
      <c r="J196" s="9"/>
      <c r="K196" s="9"/>
      <c r="L196"/>
      <c r="M196"/>
      <c r="N196"/>
      <c r="O196" t="str">
        <v>Silva</v>
      </c>
      <c r="P196" t="str">
        <v>Soccer</v>
      </c>
      <c r="Q196" t="str">
        <v>Professional</v>
      </c>
      <c r="R196" t="str">
        <v>S.Defense</v>
      </c>
      <c r="S196" t="str">
        <v>Male</v>
      </c>
      <c r="T196" t="str">
        <v>Biodex</v>
      </c>
      <c r="U196"/>
      <c r="V196"/>
      <c r="W196"/>
      <c r="X196"/>
      <c r="Y196"/>
      <c r="Z196"/>
      <c r="AA196"/>
      <c r="AB196"/>
      <c r="AC196"/>
      <c r="AD196"/>
      <c r="AE196"/>
      <c r="AF196"/>
      <c r="AG196" s="202"/>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row>
    <row r="197" spans="1:123" s="2" customFormat="1" ht="9" hidden="1" customHeight="1" x14ac:dyDescent="0.25">
      <c r="A197"/>
      <c r="B197"/>
      <c r="C197" s="78"/>
      <c r="D197" s="79"/>
      <c r="E197"/>
      <c r="F197"/>
      <c r="G197"/>
      <c r="H197" s="9"/>
      <c r="I197" s="9"/>
      <c r="J197" s="9"/>
      <c r="K197" s="9"/>
      <c r="L197"/>
      <c r="M197"/>
      <c r="N197"/>
      <c r="O197" t="str">
        <v>Silva</v>
      </c>
      <c r="P197" t="str">
        <v>Soccer</v>
      </c>
      <c r="Q197" t="str">
        <v>Professional</v>
      </c>
      <c r="R197" t="str">
        <v>S.Midfield</v>
      </c>
      <c r="S197" t="str">
        <v>Male</v>
      </c>
      <c r="T197" t="str">
        <v>Biodex</v>
      </c>
      <c r="U197"/>
      <c r="V197"/>
      <c r="W197"/>
      <c r="X197"/>
      <c r="Y197"/>
      <c r="Z197"/>
      <c r="AA197"/>
      <c r="AB197"/>
      <c r="AC197"/>
      <c r="AD197"/>
      <c r="AE197"/>
      <c r="AF197"/>
      <c r="AG197" s="202"/>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row>
    <row r="198" spans="1:123" s="2" customFormat="1" ht="9" hidden="1" customHeight="1" x14ac:dyDescent="0.25">
      <c r="A198"/>
      <c r="B198"/>
      <c r="C198" s="78"/>
      <c r="D198" s="79"/>
      <c r="E198"/>
      <c r="F198"/>
      <c r="G198"/>
      <c r="H198" s="9"/>
      <c r="I198" s="9"/>
      <c r="J198" s="9"/>
      <c r="K198" s="9"/>
      <c r="L198"/>
      <c r="M198"/>
      <c r="N198"/>
      <c r="O198" t="str">
        <v>Silva</v>
      </c>
      <c r="P198" t="str">
        <v>Soccer</v>
      </c>
      <c r="Q198" t="str">
        <v>Professional</v>
      </c>
      <c r="R198" t="str">
        <v>S.Forwarders</v>
      </c>
      <c r="S198" t="str">
        <v>Male</v>
      </c>
      <c r="T198" t="str">
        <v>Biodex</v>
      </c>
      <c r="U198"/>
      <c r="V198"/>
      <c r="W198"/>
      <c r="X198"/>
      <c r="Y198"/>
      <c r="Z198"/>
      <c r="AA198"/>
      <c r="AB198"/>
      <c r="AC198"/>
      <c r="AD198"/>
      <c r="AE198"/>
      <c r="AF198"/>
      <c r="AG198" s="202"/>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row>
    <row r="199" spans="1:123" s="2" customFormat="1" ht="9" hidden="1" customHeight="1" x14ac:dyDescent="0.25">
      <c r="A199"/>
      <c r="B199"/>
      <c r="C199" s="78"/>
      <c r="D199" s="79"/>
      <c r="E199"/>
      <c r="F199"/>
      <c r="G199"/>
      <c r="H199" s="9"/>
      <c r="I199" s="9"/>
      <c r="J199" s="9"/>
      <c r="K199" s="9"/>
      <c r="L199"/>
      <c r="M199"/>
      <c r="N199"/>
      <c r="O199" t="str">
        <v>Takey</v>
      </c>
      <c r="P199" t="str">
        <v>Gen Pop</v>
      </c>
      <c r="Q199" t="str">
        <v>Elderly</v>
      </c>
      <c r="R199" t="str">
        <v>N/A</v>
      </c>
      <c r="S199" t="str">
        <v>Female</v>
      </c>
      <c r="T199" t="str">
        <v>Biodex</v>
      </c>
      <c r="U199"/>
      <c r="V199"/>
      <c r="W199"/>
      <c r="X199"/>
      <c r="Y199"/>
      <c r="Z199"/>
      <c r="AA199"/>
      <c r="AB199"/>
      <c r="AC199"/>
      <c r="AD199"/>
      <c r="AE199"/>
      <c r="AF199"/>
      <c r="AG199" s="202"/>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row>
    <row r="200" spans="1:123" s="2" customFormat="1" ht="9" hidden="1" customHeight="1" x14ac:dyDescent="0.25">
      <c r="A200"/>
      <c r="B200"/>
      <c r="C200" s="78"/>
      <c r="D200" s="79"/>
      <c r="E200"/>
      <c r="F200"/>
      <c r="G200"/>
      <c r="H200" s="9"/>
      <c r="I200" s="9"/>
      <c r="J200" s="9"/>
      <c r="K200" s="9"/>
      <c r="L200"/>
      <c r="M200"/>
      <c r="N200"/>
      <c r="O200" t="str">
        <v>Takey</v>
      </c>
      <c r="P200" t="str">
        <v>Gen Pop</v>
      </c>
      <c r="Q200" t="str">
        <v>Elderly</v>
      </c>
      <c r="R200" t="str">
        <v>N/A</v>
      </c>
      <c r="S200" t="str">
        <v>Female</v>
      </c>
      <c r="T200" t="str">
        <v>Biodex</v>
      </c>
      <c r="U200"/>
      <c r="V200"/>
      <c r="W200"/>
      <c r="X200"/>
      <c r="Y200"/>
      <c r="Z200"/>
      <c r="AA200"/>
      <c r="AB200"/>
      <c r="AC200"/>
      <c r="AD200"/>
      <c r="AE200"/>
      <c r="AF200"/>
      <c r="AG200" s="202"/>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row>
    <row r="201" spans="1:123" s="2" customFormat="1" ht="9" hidden="1" customHeight="1" x14ac:dyDescent="0.25">
      <c r="A201"/>
      <c r="B201"/>
      <c r="C201" s="78"/>
      <c r="D201" s="79"/>
      <c r="E201"/>
      <c r="F201"/>
      <c r="G201"/>
      <c r="H201" s="9"/>
      <c r="I201" s="9"/>
      <c r="J201" s="9"/>
      <c r="K201" s="9"/>
      <c r="L201"/>
      <c r="M201"/>
      <c r="N201"/>
      <c r="O201" t="str">
        <v>Takey</v>
      </c>
      <c r="P201" t="str">
        <v>Gen Pop</v>
      </c>
      <c r="Q201" t="str">
        <v>Elderly</v>
      </c>
      <c r="R201" t="str">
        <v>N/A</v>
      </c>
      <c r="S201" t="str">
        <v>Female</v>
      </c>
      <c r="T201" t="str">
        <v>Biodex</v>
      </c>
      <c r="U201"/>
      <c r="V201"/>
      <c r="W201"/>
      <c r="X201"/>
      <c r="Y201"/>
      <c r="Z201"/>
      <c r="AA201"/>
      <c r="AB201"/>
      <c r="AC201"/>
      <c r="AD201"/>
      <c r="AE201"/>
      <c r="AF201"/>
      <c r="AG201" s="202"/>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row>
    <row r="202" spans="1:123" s="2" customFormat="1" ht="9" hidden="1" customHeight="1" x14ac:dyDescent="0.25">
      <c r="A202"/>
      <c r="B202"/>
      <c r="C202" s="78"/>
      <c r="D202" s="79"/>
      <c r="E202"/>
      <c r="F202"/>
      <c r="G202"/>
      <c r="H202" s="9"/>
      <c r="I202" s="9"/>
      <c r="J202" s="9"/>
      <c r="K202" s="9"/>
      <c r="L202"/>
      <c r="M202"/>
      <c r="N202"/>
      <c r="O202" t="str">
        <v>Takey</v>
      </c>
      <c r="P202" t="str">
        <v>Gen Pop</v>
      </c>
      <c r="Q202" t="str">
        <v>Elderly</v>
      </c>
      <c r="R202" t="str">
        <v>N/A</v>
      </c>
      <c r="S202" t="str">
        <v>Female</v>
      </c>
      <c r="T202" t="str">
        <v>Biodex</v>
      </c>
      <c r="U202"/>
      <c r="V202"/>
      <c r="W202"/>
      <c r="X202"/>
      <c r="Y202"/>
      <c r="Z202"/>
      <c r="AA202"/>
      <c r="AB202"/>
      <c r="AC202"/>
      <c r="AD202"/>
      <c r="AE202"/>
      <c r="AF202"/>
      <c r="AG202" s="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row>
    <row r="203" spans="1:123" s="2" customFormat="1" ht="9" hidden="1" customHeight="1" x14ac:dyDescent="0.25">
      <c r="A203"/>
      <c r="B203"/>
      <c r="C203" s="78"/>
      <c r="D203" s="79"/>
      <c r="E203"/>
      <c r="F203"/>
      <c r="G203"/>
      <c r="H203" s="9"/>
      <c r="I203" s="9"/>
      <c r="J203" s="9"/>
      <c r="K203" s="9"/>
      <c r="L203"/>
      <c r="M203"/>
      <c r="N203"/>
      <c r="O203" t="str">
        <v>Tatlıcıoğlu</v>
      </c>
      <c r="P203" t="str">
        <v>Football</v>
      </c>
      <c r="Q203" t="str">
        <v>Elite</v>
      </c>
      <c r="R203" t="str">
        <v>N/A</v>
      </c>
      <c r="S203" t="str">
        <v>Male</v>
      </c>
      <c r="T203" t="str">
        <v>Humac</v>
      </c>
      <c r="U203"/>
      <c r="V203"/>
      <c r="W203"/>
      <c r="X203"/>
      <c r="Y203"/>
      <c r="Z203"/>
      <c r="AA203"/>
      <c r="AB203"/>
      <c r="AC203"/>
      <c r="AD203"/>
      <c r="AE203"/>
      <c r="AF203"/>
      <c r="AG203" s="202"/>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row>
    <row r="204" spans="1:123" s="2" customFormat="1" ht="9" hidden="1" customHeight="1" x14ac:dyDescent="0.25">
      <c r="A204"/>
      <c r="B204"/>
      <c r="C204" s="78"/>
      <c r="D204" s="79"/>
      <c r="E204"/>
      <c r="F204"/>
      <c r="G204"/>
      <c r="H204" s="9"/>
      <c r="I204" s="9"/>
      <c r="J204" s="9"/>
      <c r="K204" s="9"/>
      <c r="L204"/>
      <c r="M204"/>
      <c r="N204"/>
      <c r="O204" t="str">
        <v>Tatlıcıoğlu</v>
      </c>
      <c r="P204" t="str">
        <v>Football</v>
      </c>
      <c r="Q204" t="str">
        <v>Elite</v>
      </c>
      <c r="R204" t="str">
        <v>N/A</v>
      </c>
      <c r="S204" t="str">
        <v>Male</v>
      </c>
      <c r="T204" t="str">
        <v>Humac</v>
      </c>
      <c r="U204"/>
      <c r="V204"/>
      <c r="W204"/>
      <c r="X204"/>
      <c r="Y204"/>
      <c r="Z204"/>
      <c r="AA204"/>
      <c r="AB204"/>
      <c r="AC204"/>
      <c r="AD204"/>
      <c r="AE204"/>
      <c r="AF204"/>
      <c r="AG204" s="202"/>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row>
    <row r="205" spans="1:123" s="2" customFormat="1" ht="9" hidden="1" customHeight="1" x14ac:dyDescent="0.25">
      <c r="A205"/>
      <c r="B205"/>
      <c r="C205" s="78"/>
      <c r="D205" s="79"/>
      <c r="E205"/>
      <c r="F205"/>
      <c r="G205"/>
      <c r="H205" s="9"/>
      <c r="I205" s="9"/>
      <c r="J205" s="9"/>
      <c r="K205" s="9"/>
      <c r="L205"/>
      <c r="M205"/>
      <c r="N205"/>
      <c r="O205" t="str">
        <v>Tatlıcıoğlu</v>
      </c>
      <c r="P205" t="str">
        <v>Football</v>
      </c>
      <c r="Q205" t="str">
        <v>Elite</v>
      </c>
      <c r="R205" t="str">
        <v>N/A</v>
      </c>
      <c r="S205" t="str">
        <v>Male</v>
      </c>
      <c r="T205" t="str">
        <v>Humac</v>
      </c>
      <c r="U205"/>
      <c r="V205"/>
      <c r="W205"/>
      <c r="X205"/>
      <c r="Y205"/>
      <c r="Z205"/>
      <c r="AA205"/>
      <c r="AB205"/>
      <c r="AC205"/>
      <c r="AD205"/>
      <c r="AE205"/>
      <c r="AF205"/>
      <c r="AG205" s="202"/>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row>
    <row r="206" spans="1:123" s="2" customFormat="1" ht="9" hidden="1" customHeight="1" x14ac:dyDescent="0.25">
      <c r="A206"/>
      <c r="B206"/>
      <c r="C206" s="78"/>
      <c r="D206" s="79"/>
      <c r="E206"/>
      <c r="F206"/>
      <c r="G206"/>
      <c r="H206" s="9"/>
      <c r="I206" s="9"/>
      <c r="J206" s="9"/>
      <c r="K206" s="9"/>
      <c r="L206"/>
      <c r="M206"/>
      <c r="N206"/>
      <c r="O206" t="str">
        <v>Tatlıcıoğlu</v>
      </c>
      <c r="P206" t="str">
        <v>Football</v>
      </c>
      <c r="Q206" t="str">
        <v>Elite</v>
      </c>
      <c r="R206" t="str">
        <v>N/A</v>
      </c>
      <c r="S206" t="str">
        <v>Male</v>
      </c>
      <c r="T206" t="str">
        <v>Humac</v>
      </c>
      <c r="U206"/>
      <c r="V206"/>
      <c r="W206"/>
      <c r="X206"/>
      <c r="Y206"/>
      <c r="Z206"/>
      <c r="AA206"/>
      <c r="AB206"/>
      <c r="AC206"/>
      <c r="AD206"/>
      <c r="AE206"/>
      <c r="AF206"/>
      <c r="AG206" s="202"/>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row>
    <row r="207" spans="1:123" s="2" customFormat="1" ht="9" hidden="1" customHeight="1" x14ac:dyDescent="0.25">
      <c r="A207"/>
      <c r="B207"/>
      <c r="C207" s="78"/>
      <c r="D207" s="79"/>
      <c r="E207"/>
      <c r="F207"/>
      <c r="G207"/>
      <c r="H207" s="9"/>
      <c r="I207" s="9"/>
      <c r="J207" s="9"/>
      <c r="K207" s="9"/>
      <c r="L207"/>
      <c r="M207"/>
      <c r="N207"/>
      <c r="O207" t="str">
        <v>Tatlıcıoğlu</v>
      </c>
      <c r="P207" t="str">
        <v>Football</v>
      </c>
      <c r="Q207" t="str">
        <v>Elite</v>
      </c>
      <c r="R207" t="str">
        <v>N/A</v>
      </c>
      <c r="S207" t="str">
        <v>Male</v>
      </c>
      <c r="T207" t="str">
        <v>Humac</v>
      </c>
      <c r="U207"/>
      <c r="V207"/>
      <c r="W207"/>
      <c r="X207"/>
      <c r="Y207"/>
      <c r="Z207"/>
      <c r="AA207"/>
      <c r="AB207"/>
      <c r="AC207"/>
      <c r="AD207"/>
      <c r="AE207"/>
      <c r="AF207"/>
      <c r="AG207" s="202"/>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row>
    <row r="208" spans="1:123" s="2" customFormat="1" ht="9" hidden="1" customHeight="1" x14ac:dyDescent="0.25">
      <c r="A208"/>
      <c r="B208"/>
      <c r="C208" s="78"/>
      <c r="D208" s="79"/>
      <c r="E208"/>
      <c r="F208"/>
      <c r="G208"/>
      <c r="H208" s="9"/>
      <c r="I208" s="9"/>
      <c r="J208" s="9"/>
      <c r="K208" s="9"/>
      <c r="L208"/>
      <c r="M208"/>
      <c r="N208"/>
      <c r="O208" t="str">
        <v>Tatlıcıoğlu</v>
      </c>
      <c r="P208" t="str">
        <v>Football</v>
      </c>
      <c r="Q208" t="str">
        <v>Elite</v>
      </c>
      <c r="R208" t="str">
        <v>N/A</v>
      </c>
      <c r="S208" t="str">
        <v>Male</v>
      </c>
      <c r="T208" t="str">
        <v>Humac</v>
      </c>
      <c r="U208"/>
      <c r="V208"/>
      <c r="W208"/>
      <c r="X208"/>
      <c r="Y208"/>
      <c r="Z208"/>
      <c r="AA208"/>
      <c r="AB208"/>
      <c r="AC208"/>
      <c r="AD208"/>
      <c r="AE208"/>
      <c r="AF208"/>
      <c r="AG208" s="202"/>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row>
    <row r="209" spans="1:123" s="2" customFormat="1" ht="9" hidden="1" customHeight="1" x14ac:dyDescent="0.25">
      <c r="A209"/>
      <c r="B209"/>
      <c r="C209" s="78"/>
      <c r="D209" s="79"/>
      <c r="E209"/>
      <c r="F209"/>
      <c r="G209"/>
      <c r="H209" s="9"/>
      <c r="I209" s="9"/>
      <c r="J209" s="9"/>
      <c r="K209" s="9"/>
      <c r="L209"/>
      <c r="M209"/>
      <c r="N209"/>
      <c r="O209" t="str">
        <v>Theoharopoulos</v>
      </c>
      <c r="P209" t="str">
        <v>Basketball</v>
      </c>
      <c r="Q209" t="str">
        <v>Professional</v>
      </c>
      <c r="R209" t="str">
        <v>N/A</v>
      </c>
      <c r="S209" t="str">
        <v>Male</v>
      </c>
      <c r="T209" t="str">
        <v>Cybex</v>
      </c>
      <c r="U209"/>
      <c r="V209"/>
      <c r="W209"/>
      <c r="X209"/>
      <c r="Y209"/>
      <c r="Z209"/>
      <c r="AA209"/>
      <c r="AB209"/>
      <c r="AC209"/>
      <c r="AD209"/>
      <c r="AE209"/>
      <c r="AF209"/>
      <c r="AG209" s="202"/>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row>
    <row r="210" spans="1:123" s="2" customFormat="1" ht="9" hidden="1" customHeight="1" x14ac:dyDescent="0.25">
      <c r="A210"/>
      <c r="B210"/>
      <c r="C210" s="78"/>
      <c r="D210" s="79"/>
      <c r="E210"/>
      <c r="F210"/>
      <c r="G210"/>
      <c r="H210" s="9"/>
      <c r="I210" s="9"/>
      <c r="J210" s="9"/>
      <c r="K210" s="9"/>
      <c r="L210"/>
      <c r="M210"/>
      <c r="N210"/>
      <c r="O210" t="str">
        <v>Theoharopoulos</v>
      </c>
      <c r="P210" t="str">
        <v>Basketball</v>
      </c>
      <c r="Q210" t="str">
        <v>Professional</v>
      </c>
      <c r="R210" t="str">
        <v>N/A</v>
      </c>
      <c r="S210" t="str">
        <v>Male</v>
      </c>
      <c r="T210" t="str">
        <v>Cybex</v>
      </c>
      <c r="U210"/>
      <c r="V210"/>
      <c r="W210"/>
      <c r="X210"/>
      <c r="Y210"/>
      <c r="Z210"/>
      <c r="AA210"/>
      <c r="AB210"/>
      <c r="AC210"/>
      <c r="AD210"/>
      <c r="AE210"/>
      <c r="AF210"/>
      <c r="AG210" s="202"/>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row>
    <row r="211" spans="1:123" s="2" customFormat="1" ht="9" hidden="1" customHeight="1" x14ac:dyDescent="0.25">
      <c r="A211"/>
      <c r="B211"/>
      <c r="C211" s="78"/>
      <c r="D211" s="79"/>
      <c r="E211"/>
      <c r="F211"/>
      <c r="G211"/>
      <c r="H211" s="9"/>
      <c r="I211" s="9"/>
      <c r="J211" s="9"/>
      <c r="K211" s="9"/>
      <c r="L211"/>
      <c r="M211"/>
      <c r="N211"/>
      <c r="O211" t="str">
        <v>Theoharopoulos</v>
      </c>
      <c r="P211" t="str">
        <v>Basketball</v>
      </c>
      <c r="Q211" t="str">
        <v>Professional</v>
      </c>
      <c r="R211" t="str">
        <v>N/A</v>
      </c>
      <c r="S211" t="str">
        <v>Male</v>
      </c>
      <c r="T211" t="str">
        <v>Cybex</v>
      </c>
      <c r="U211"/>
      <c r="V211"/>
      <c r="W211"/>
      <c r="X211"/>
      <c r="Y211"/>
      <c r="Z211"/>
      <c r="AA211"/>
      <c r="AB211"/>
      <c r="AC211"/>
      <c r="AD211"/>
      <c r="AE211"/>
      <c r="AF211"/>
      <c r="AG211" s="202"/>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row>
    <row r="212" spans="1:123" s="2" customFormat="1" ht="9" hidden="1" customHeight="1" x14ac:dyDescent="0.25">
      <c r="A212"/>
      <c r="B212"/>
      <c r="C212" s="78"/>
      <c r="D212" s="79"/>
      <c r="E212"/>
      <c r="F212"/>
      <c r="G212"/>
      <c r="H212" s="9"/>
      <c r="I212" s="9"/>
      <c r="J212" s="9"/>
      <c r="K212" s="9"/>
      <c r="L212"/>
      <c r="M212"/>
      <c r="N212"/>
      <c r="O212" t="str">
        <v>Theoharopoulos</v>
      </c>
      <c r="P212" t="str">
        <v>Basketball</v>
      </c>
      <c r="Q212" t="str">
        <v>Professional</v>
      </c>
      <c r="R212" t="str">
        <v>N/A</v>
      </c>
      <c r="S212" t="str">
        <v>Male</v>
      </c>
      <c r="T212" t="str">
        <v>Cybex</v>
      </c>
      <c r="U212"/>
      <c r="V212"/>
      <c r="W212"/>
      <c r="X212"/>
      <c r="Y212"/>
      <c r="Z212"/>
      <c r="AA212"/>
      <c r="AB212"/>
      <c r="AC212"/>
      <c r="AD212"/>
      <c r="AE212"/>
      <c r="AF212"/>
      <c r="AG212" s="20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row>
    <row r="213" spans="1:123" s="2" customFormat="1" ht="9" hidden="1" customHeight="1" x14ac:dyDescent="0.25">
      <c r="A213"/>
      <c r="B213"/>
      <c r="C213" s="78"/>
      <c r="D213" s="79"/>
      <c r="E213"/>
      <c r="F213"/>
      <c r="G213"/>
      <c r="H213" s="9"/>
      <c r="I213" s="9"/>
      <c r="J213" s="9"/>
      <c r="K213" s="9"/>
      <c r="L213"/>
      <c r="M213"/>
      <c r="N213"/>
      <c r="O213" t="str">
        <v>Tuominen</v>
      </c>
      <c r="P213" t="str">
        <v>Gen Pop</v>
      </c>
      <c r="Q213" t="str">
        <v>Adults</v>
      </c>
      <c r="R213" t="str">
        <v>N/A</v>
      </c>
      <c r="S213" t="str">
        <v>Male</v>
      </c>
      <c r="T213" t="str">
        <v>Biodex</v>
      </c>
      <c r="U213"/>
      <c r="V213"/>
      <c r="W213"/>
      <c r="X213"/>
      <c r="Y213"/>
      <c r="Z213"/>
      <c r="AA213"/>
      <c r="AB213"/>
      <c r="AC213"/>
      <c r="AD213"/>
      <c r="AE213"/>
      <c r="AF213"/>
      <c r="AG213" s="202"/>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row>
    <row r="214" spans="1:123" s="2" customFormat="1" ht="9" hidden="1" customHeight="1" x14ac:dyDescent="0.25">
      <c r="A214"/>
      <c r="B214"/>
      <c r="C214" s="78"/>
      <c r="D214" s="79"/>
      <c r="E214"/>
      <c r="F214"/>
      <c r="G214"/>
      <c r="H214" s="9"/>
      <c r="I214" s="9"/>
      <c r="J214" s="9"/>
      <c r="K214" s="9"/>
      <c r="L214"/>
      <c r="M214"/>
      <c r="N214"/>
      <c r="O214" t="str">
        <v>Tuominen</v>
      </c>
      <c r="P214" t="str">
        <v>Gen Pop</v>
      </c>
      <c r="Q214" t="str">
        <v>Adults</v>
      </c>
      <c r="R214" t="str">
        <v>N/A</v>
      </c>
      <c r="S214" t="str">
        <v>Male</v>
      </c>
      <c r="T214" t="str">
        <v>Biodex</v>
      </c>
      <c r="U214"/>
      <c r="V214"/>
      <c r="W214"/>
      <c r="X214"/>
      <c r="Y214"/>
      <c r="Z214"/>
      <c r="AA214"/>
      <c r="AB214"/>
      <c r="AC214"/>
      <c r="AD214"/>
      <c r="AE214"/>
      <c r="AF214"/>
      <c r="AG214" s="202"/>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row>
    <row r="215" spans="1:123" s="2" customFormat="1" ht="9" hidden="1" customHeight="1" x14ac:dyDescent="0.25">
      <c r="A215"/>
      <c r="B215"/>
      <c r="C215" s="78"/>
      <c r="D215" s="79"/>
      <c r="E215"/>
      <c r="F215"/>
      <c r="G215"/>
      <c r="H215" s="9"/>
      <c r="I215" s="9"/>
      <c r="J215" s="9"/>
      <c r="K215" s="9"/>
      <c r="L215"/>
      <c r="M215"/>
      <c r="N215"/>
      <c r="O215" t="str">
        <v>Wilk</v>
      </c>
      <c r="P215" t="str">
        <v>Soccer</v>
      </c>
      <c r="Q215" t="str">
        <v>Youth</v>
      </c>
      <c r="R215" t="str">
        <v>S.Goalkeeper</v>
      </c>
      <c r="S215" t="str">
        <v>Male</v>
      </c>
      <c r="T215" t="str">
        <v>Biodex</v>
      </c>
      <c r="U215"/>
      <c r="V215"/>
      <c r="W215"/>
      <c r="X215"/>
      <c r="Y215"/>
      <c r="Z215"/>
      <c r="AA215"/>
      <c r="AB215"/>
      <c r="AC215"/>
      <c r="AD215"/>
      <c r="AE215"/>
      <c r="AF215"/>
      <c r="AG215" s="202"/>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row>
    <row r="216" spans="1:123" s="2" customFormat="1" ht="9" hidden="1" customHeight="1" x14ac:dyDescent="0.25">
      <c r="A216"/>
      <c r="B216"/>
      <c r="C216" s="78"/>
      <c r="D216" s="79"/>
      <c r="E216"/>
      <c r="F216"/>
      <c r="G216"/>
      <c r="H216" s="9"/>
      <c r="I216" s="9"/>
      <c r="J216" s="9"/>
      <c r="K216" s="9"/>
      <c r="L216"/>
      <c r="M216"/>
      <c r="N216"/>
      <c r="O216" t="str">
        <v>Wilk</v>
      </c>
      <c r="P216" t="str">
        <v>Soccer</v>
      </c>
      <c r="Q216" t="str">
        <v>Youth</v>
      </c>
      <c r="R216" t="str">
        <v>S.Defense</v>
      </c>
      <c r="S216" t="str">
        <v>Male</v>
      </c>
      <c r="T216" t="str">
        <v>Biodex</v>
      </c>
      <c r="U216"/>
      <c r="V216"/>
      <c r="W216"/>
      <c r="X216"/>
      <c r="Y216"/>
      <c r="Z216"/>
      <c r="AA216"/>
      <c r="AB216"/>
      <c r="AC216"/>
      <c r="AD216"/>
      <c r="AE216"/>
      <c r="AF216"/>
      <c r="AG216" s="202"/>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row>
    <row r="217" spans="1:123" s="2" customFormat="1" ht="9" hidden="1" customHeight="1" x14ac:dyDescent="0.25">
      <c r="A217"/>
      <c r="B217"/>
      <c r="C217" s="78"/>
      <c r="D217" s="79"/>
      <c r="E217"/>
      <c r="F217"/>
      <c r="G217"/>
      <c r="H217" s="9"/>
      <c r="I217" s="9"/>
      <c r="J217" s="9"/>
      <c r="K217" s="9"/>
      <c r="L217"/>
      <c r="M217"/>
      <c r="N217"/>
      <c r="O217" t="str">
        <v>Wilk</v>
      </c>
      <c r="P217" t="str">
        <v>Soccer</v>
      </c>
      <c r="Q217" t="str">
        <v>Youth</v>
      </c>
      <c r="R217" t="str">
        <v>S.Midfield</v>
      </c>
      <c r="S217" t="str">
        <v>Male</v>
      </c>
      <c r="T217" t="str">
        <v>Biodex</v>
      </c>
      <c r="U217"/>
      <c r="V217"/>
      <c r="W217"/>
      <c r="X217"/>
      <c r="Y217"/>
      <c r="Z217"/>
      <c r="AA217"/>
      <c r="AB217"/>
      <c r="AC217"/>
      <c r="AD217"/>
      <c r="AE217"/>
      <c r="AF217"/>
      <c r="AG217" s="202"/>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row>
    <row r="218" spans="1:123" s="2" customFormat="1" ht="9" hidden="1" customHeight="1" x14ac:dyDescent="0.25">
      <c r="A218"/>
      <c r="B218"/>
      <c r="C218" s="78"/>
      <c r="D218" s="79"/>
      <c r="E218"/>
      <c r="F218"/>
      <c r="G218"/>
      <c r="H218" s="9"/>
      <c r="I218" s="9"/>
      <c r="J218" s="9"/>
      <c r="K218" s="9"/>
      <c r="L218"/>
      <c r="M218"/>
      <c r="N218"/>
      <c r="O218" t="str">
        <v>Wilk</v>
      </c>
      <c r="P218" t="str">
        <v>Soccer</v>
      </c>
      <c r="Q218" t="str">
        <v>Youth</v>
      </c>
      <c r="R218" t="str">
        <v>S.Striker</v>
      </c>
      <c r="S218" t="str">
        <v>Male</v>
      </c>
      <c r="T218" t="str">
        <v>Biodex</v>
      </c>
      <c r="U218"/>
      <c r="V218"/>
      <c r="W218"/>
      <c r="X218"/>
      <c r="Y218"/>
      <c r="Z218"/>
      <c r="AA218"/>
      <c r="AB218"/>
      <c r="AC218"/>
      <c r="AD218"/>
      <c r="AE218"/>
      <c r="AF218"/>
      <c r="AG218" s="202"/>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row>
    <row r="219" spans="1:123" s="2" customFormat="1" ht="9" hidden="1" customHeight="1" x14ac:dyDescent="0.25">
      <c r="A219"/>
      <c r="B219"/>
      <c r="C219" s="78"/>
      <c r="D219" s="79"/>
      <c r="E219"/>
      <c r="F219"/>
      <c r="G219"/>
      <c r="H219" s="9"/>
      <c r="I219" s="9"/>
      <c r="J219" s="9"/>
      <c r="K219" s="9"/>
      <c r="L219"/>
      <c r="M219"/>
      <c r="N219"/>
      <c r="O219" t="str">
        <v>Wilk</v>
      </c>
      <c r="P219" t="str">
        <v>Soccer</v>
      </c>
      <c r="Q219" t="str">
        <v>Youth</v>
      </c>
      <c r="R219" t="str">
        <v>S.Goalkeeper</v>
      </c>
      <c r="S219" t="str">
        <v>Male</v>
      </c>
      <c r="T219" t="str">
        <v>Biodex</v>
      </c>
      <c r="U219"/>
      <c r="V219"/>
      <c r="W219"/>
      <c r="X219"/>
      <c r="Y219"/>
      <c r="Z219"/>
      <c r="AA219"/>
      <c r="AB219"/>
      <c r="AC219"/>
      <c r="AD219"/>
      <c r="AE219"/>
      <c r="AF219"/>
      <c r="AG219" s="202"/>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row>
    <row r="220" spans="1:123" s="2" customFormat="1" ht="9" hidden="1" customHeight="1" x14ac:dyDescent="0.25">
      <c r="A220"/>
      <c r="B220"/>
      <c r="C220" s="78"/>
      <c r="D220" s="79"/>
      <c r="E220"/>
      <c r="F220"/>
      <c r="G220"/>
      <c r="H220" s="9"/>
      <c r="I220" s="9"/>
      <c r="J220" s="9"/>
      <c r="K220" s="9"/>
      <c r="L220"/>
      <c r="M220"/>
      <c r="N220"/>
      <c r="O220" t="str">
        <v>Wilk</v>
      </c>
      <c r="P220" t="str">
        <v>Soccer</v>
      </c>
      <c r="Q220" t="str">
        <v>Youth</v>
      </c>
      <c r="R220" t="str">
        <v>S.Defense</v>
      </c>
      <c r="S220" t="str">
        <v>Male</v>
      </c>
      <c r="T220" t="str">
        <v>Biodex</v>
      </c>
      <c r="U220"/>
      <c r="V220"/>
      <c r="W220"/>
      <c r="X220"/>
      <c r="Y220"/>
      <c r="Z220"/>
      <c r="AA220"/>
      <c r="AB220"/>
      <c r="AC220"/>
      <c r="AD220"/>
      <c r="AE220"/>
      <c r="AF220"/>
      <c r="AG220" s="202"/>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row>
    <row r="221" spans="1:123" s="2" customFormat="1" ht="9" hidden="1" customHeight="1" x14ac:dyDescent="0.25">
      <c r="A221"/>
      <c r="B221"/>
      <c r="C221" s="78"/>
      <c r="D221" s="79"/>
      <c r="E221"/>
      <c r="F221"/>
      <c r="G221"/>
      <c r="H221" s="9"/>
      <c r="I221" s="9"/>
      <c r="J221" s="9"/>
      <c r="K221" s="9"/>
      <c r="L221"/>
      <c r="M221"/>
      <c r="N221"/>
      <c r="O221" t="str">
        <v>Wilk</v>
      </c>
      <c r="P221" t="str">
        <v>Soccer</v>
      </c>
      <c r="Q221" t="str">
        <v>Youth</v>
      </c>
      <c r="R221" t="str">
        <v>S.Midfield</v>
      </c>
      <c r="S221" t="str">
        <v>Male</v>
      </c>
      <c r="T221" t="str">
        <v>Biodex</v>
      </c>
      <c r="U221"/>
      <c r="V221"/>
      <c r="W221"/>
      <c r="X221"/>
      <c r="Y221"/>
      <c r="Z221"/>
      <c r="AA221"/>
      <c r="AB221"/>
      <c r="AC221"/>
      <c r="AD221"/>
      <c r="AE221"/>
      <c r="AF221"/>
      <c r="AG221" s="202"/>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row>
    <row r="222" spans="1:123" s="2" customFormat="1" ht="9" hidden="1" customHeight="1" x14ac:dyDescent="0.25">
      <c r="A222"/>
      <c r="B222"/>
      <c r="C222" s="78"/>
      <c r="D222" s="79"/>
      <c r="E222"/>
      <c r="F222"/>
      <c r="G222"/>
      <c r="H222" s="9"/>
      <c r="I222" s="9"/>
      <c r="J222" s="9"/>
      <c r="K222" s="9"/>
      <c r="L222"/>
      <c r="M222"/>
      <c r="N222"/>
      <c r="O222" t="str">
        <v>Wilk</v>
      </c>
      <c r="P222" t="str">
        <v>Soccer</v>
      </c>
      <c r="Q222" t="str">
        <v>Youth</v>
      </c>
      <c r="R222" t="str">
        <v>S.Striker</v>
      </c>
      <c r="S222" t="str">
        <v>Male</v>
      </c>
      <c r="T222" t="str">
        <v>Biodex</v>
      </c>
      <c r="U222"/>
      <c r="V222"/>
      <c r="W222"/>
      <c r="X222"/>
      <c r="Y222"/>
      <c r="Z222"/>
      <c r="AA222"/>
      <c r="AB222"/>
      <c r="AC222"/>
      <c r="AD222"/>
      <c r="AE222"/>
      <c r="AF222"/>
      <c r="AG222" s="20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row>
    <row r="223" spans="1:123" s="2" customFormat="1" ht="9" hidden="1" customHeight="1" x14ac:dyDescent="0.25">
      <c r="A223"/>
      <c r="B223"/>
      <c r="C223" s="78"/>
      <c r="D223" s="79"/>
      <c r="E223"/>
      <c r="F223"/>
      <c r="G223"/>
      <c r="H223" s="9"/>
      <c r="I223" s="9"/>
      <c r="J223" s="9"/>
      <c r="K223" s="9"/>
      <c r="L223"/>
      <c r="M223"/>
      <c r="N223"/>
      <c r="O223" t="str">
        <v>Wilk</v>
      </c>
      <c r="P223" t="str">
        <v>Soccer</v>
      </c>
      <c r="Q223" t="str">
        <v>Youth</v>
      </c>
      <c r="R223" t="str">
        <v>S.Goalkeeper</v>
      </c>
      <c r="S223" t="str">
        <v>Male</v>
      </c>
      <c r="T223" t="str">
        <v>Biodex</v>
      </c>
      <c r="U223"/>
      <c r="V223"/>
      <c r="W223"/>
      <c r="X223"/>
      <c r="Y223"/>
      <c r="Z223"/>
      <c r="AA223"/>
      <c r="AB223"/>
      <c r="AC223"/>
      <c r="AD223"/>
      <c r="AE223"/>
      <c r="AF223"/>
      <c r="AG223" s="202"/>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row>
    <row r="224" spans="1:123" s="2" customFormat="1" ht="9" hidden="1" customHeight="1" x14ac:dyDescent="0.25">
      <c r="A224"/>
      <c r="B224"/>
      <c r="C224" s="78"/>
      <c r="D224" s="79"/>
      <c r="E224"/>
      <c r="F224"/>
      <c r="G224"/>
      <c r="H224" s="9"/>
      <c r="I224" s="9"/>
      <c r="J224" s="9"/>
      <c r="K224" s="9"/>
      <c r="L224"/>
      <c r="M224"/>
      <c r="N224"/>
      <c r="O224" t="str">
        <v>Wilk</v>
      </c>
      <c r="P224" t="str">
        <v>Soccer</v>
      </c>
      <c r="Q224" t="str">
        <v>Youth</v>
      </c>
      <c r="R224" t="str">
        <v>S.Defense</v>
      </c>
      <c r="S224" t="str">
        <v>Male</v>
      </c>
      <c r="T224" t="str">
        <v>Biodex</v>
      </c>
      <c r="U224"/>
      <c r="V224"/>
      <c r="W224"/>
      <c r="X224"/>
      <c r="Y224"/>
      <c r="Z224"/>
      <c r="AA224"/>
      <c r="AB224"/>
      <c r="AC224"/>
      <c r="AD224"/>
      <c r="AE224"/>
      <c r="AF224"/>
      <c r="AG224" s="202"/>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row>
    <row r="225" spans="1:123" s="2" customFormat="1" ht="9" hidden="1" customHeight="1" x14ac:dyDescent="0.25">
      <c r="A225"/>
      <c r="B225"/>
      <c r="C225" s="78"/>
      <c r="D225" s="79"/>
      <c r="E225"/>
      <c r="F225"/>
      <c r="G225"/>
      <c r="H225" s="9"/>
      <c r="I225" s="9"/>
      <c r="J225" s="9"/>
      <c r="K225" s="9"/>
      <c r="L225"/>
      <c r="M225"/>
      <c r="N225"/>
      <c r="O225" t="str">
        <v>Wilk</v>
      </c>
      <c r="P225" t="str">
        <v>Soccer</v>
      </c>
      <c r="Q225" t="str">
        <v>Youth</v>
      </c>
      <c r="R225" t="str">
        <v>S.Midfield</v>
      </c>
      <c r="S225" t="str">
        <v>Male</v>
      </c>
      <c r="T225" t="str">
        <v>Biodex</v>
      </c>
      <c r="U225"/>
      <c r="V225"/>
      <c r="W225"/>
      <c r="X225"/>
      <c r="Y225"/>
      <c r="Z225"/>
      <c r="AA225"/>
      <c r="AB225"/>
      <c r="AC225"/>
      <c r="AD225"/>
      <c r="AE225"/>
      <c r="AF225"/>
      <c r="AG225" s="202"/>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row>
    <row r="226" spans="1:123" s="2" customFormat="1" ht="9" hidden="1" customHeight="1" x14ac:dyDescent="0.25">
      <c r="A226"/>
      <c r="B226"/>
      <c r="C226" s="78"/>
      <c r="D226" s="79"/>
      <c r="E226"/>
      <c r="F226"/>
      <c r="G226"/>
      <c r="H226" s="9"/>
      <c r="I226" s="9"/>
      <c r="J226" s="9"/>
      <c r="K226" s="9"/>
      <c r="L226"/>
      <c r="M226"/>
      <c r="N226"/>
      <c r="O226" t="str">
        <v>Wilk</v>
      </c>
      <c r="P226" t="str">
        <v>Soccer</v>
      </c>
      <c r="Q226" t="str">
        <v>Youth</v>
      </c>
      <c r="R226" t="str">
        <v>S.Striker</v>
      </c>
      <c r="S226" t="str">
        <v>Male</v>
      </c>
      <c r="T226" t="str">
        <v>Biodex</v>
      </c>
      <c r="U226"/>
      <c r="V226"/>
      <c r="W226"/>
      <c r="X226"/>
      <c r="Y226"/>
      <c r="Z226"/>
      <c r="AA226"/>
      <c r="AB226"/>
      <c r="AC226"/>
      <c r="AD226"/>
      <c r="AE226"/>
      <c r="AF226"/>
      <c r="AG226" s="202"/>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row>
    <row r="227" spans="1:123" s="2" customFormat="1" ht="9" hidden="1" customHeight="1" x14ac:dyDescent="0.25">
      <c r="A227"/>
      <c r="B227"/>
      <c r="C227" s="78"/>
      <c r="D227" s="79"/>
      <c r="E227"/>
      <c r="F227"/>
      <c r="G227"/>
      <c r="H227" s="9"/>
      <c r="I227" s="9"/>
      <c r="J227" s="9"/>
      <c r="K227" s="9"/>
      <c r="L227"/>
      <c r="M227"/>
      <c r="N227"/>
      <c r="O227" t="str">
        <v>Wilkosz</v>
      </c>
      <c r="P227" t="str">
        <v>Volleyball</v>
      </c>
      <c r="Q227" t="str">
        <v>Professional</v>
      </c>
      <c r="R227" t="str">
        <v>N/A</v>
      </c>
      <c r="S227" t="str">
        <v>Male</v>
      </c>
      <c r="T227" t="str">
        <v>Biodex</v>
      </c>
      <c r="U227"/>
      <c r="V227"/>
      <c r="W227"/>
      <c r="X227"/>
      <c r="Y227"/>
      <c r="Z227"/>
      <c r="AA227"/>
      <c r="AB227"/>
      <c r="AC227"/>
      <c r="AD227"/>
      <c r="AE227"/>
      <c r="AF227"/>
      <c r="AG227" s="202"/>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row>
    <row r="228" spans="1:123" s="2" customFormat="1" ht="9" hidden="1" customHeight="1" x14ac:dyDescent="0.25">
      <c r="A228"/>
      <c r="B228"/>
      <c r="C228" s="78"/>
      <c r="D228" s="79"/>
      <c r="E228"/>
      <c r="F228"/>
      <c r="G228"/>
      <c r="H228" s="9"/>
      <c r="I228" s="9"/>
      <c r="J228" s="9"/>
      <c r="K228" s="9"/>
      <c r="L228"/>
      <c r="M228"/>
      <c r="N228"/>
      <c r="O228" t="str">
        <v>Wilkosz</v>
      </c>
      <c r="P228" t="str">
        <v>Volleyball</v>
      </c>
      <c r="Q228" t="str">
        <v>Professional</v>
      </c>
      <c r="R228" t="str">
        <v>N/A</v>
      </c>
      <c r="S228" t="str">
        <v>Male</v>
      </c>
      <c r="T228" t="str">
        <v>Biodex</v>
      </c>
      <c r="U228"/>
      <c r="V228"/>
      <c r="W228"/>
      <c r="X228"/>
      <c r="Y228"/>
      <c r="Z228"/>
      <c r="AA228"/>
      <c r="AB228"/>
      <c r="AC228"/>
      <c r="AD228"/>
      <c r="AE228"/>
      <c r="AF228"/>
      <c r="AG228" s="202"/>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row>
    <row r="229" spans="1:123" s="2" customFormat="1" ht="9" hidden="1" customHeight="1" x14ac:dyDescent="0.25">
      <c r="A229"/>
      <c r="B229"/>
      <c r="C229" s="78"/>
      <c r="D229" s="79"/>
      <c r="E229"/>
      <c r="F229"/>
      <c r="G229"/>
      <c r="H229" s="9"/>
      <c r="I229" s="9"/>
      <c r="J229" s="9"/>
      <c r="K229" s="9"/>
      <c r="L229"/>
      <c r="M229"/>
      <c r="N229"/>
      <c r="O229" t="str">
        <v>Wilkosz</v>
      </c>
      <c r="P229" t="str">
        <v>Volleyball</v>
      </c>
      <c r="Q229" t="str">
        <v>Adults</v>
      </c>
      <c r="R229" t="str">
        <v>N/A</v>
      </c>
      <c r="S229" t="str">
        <v>Male</v>
      </c>
      <c r="T229" t="str">
        <v>Biodex</v>
      </c>
      <c r="U229"/>
      <c r="V229"/>
      <c r="W229"/>
      <c r="X229"/>
      <c r="Y229"/>
      <c r="Z229"/>
      <c r="AA229"/>
      <c r="AB229"/>
      <c r="AC229"/>
      <c r="AD229"/>
      <c r="AE229"/>
      <c r="AF229"/>
      <c r="AG229" s="202"/>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row>
    <row r="230" spans="1:123" s="2" customFormat="1" ht="9" hidden="1" customHeight="1" x14ac:dyDescent="0.25">
      <c r="A230"/>
      <c r="B230"/>
      <c r="C230" s="78"/>
      <c r="D230" s="79"/>
      <c r="E230"/>
      <c r="F230"/>
      <c r="G230"/>
      <c r="H230" s="9"/>
      <c r="I230" s="9"/>
      <c r="J230" s="9"/>
      <c r="K230" s="9"/>
      <c r="L230"/>
      <c r="M230"/>
      <c r="N230"/>
      <c r="O230" t="str">
        <v>Wilkosz</v>
      </c>
      <c r="P230" t="str">
        <v>Volleyball</v>
      </c>
      <c r="Q230" t="str">
        <v>Adults</v>
      </c>
      <c r="R230" t="str">
        <v>N/A</v>
      </c>
      <c r="S230" t="str">
        <v>Male</v>
      </c>
      <c r="T230" t="str">
        <v>Biodex</v>
      </c>
      <c r="U230"/>
      <c r="V230"/>
      <c r="W230"/>
      <c r="X230"/>
      <c r="Y230"/>
      <c r="Z230"/>
      <c r="AA230"/>
      <c r="AB230"/>
      <c r="AC230"/>
      <c r="AD230"/>
      <c r="AE230"/>
      <c r="AF230"/>
      <c r="AG230" s="202"/>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row>
    <row r="231" spans="1:123" s="2" customFormat="1" ht="9" hidden="1" customHeight="1" x14ac:dyDescent="0.25">
      <c r="A231"/>
      <c r="B231"/>
      <c r="C231" s="78"/>
      <c r="D231" s="79"/>
      <c r="E231"/>
      <c r="F231"/>
      <c r="G231"/>
      <c r="H231" s="9"/>
      <c r="I231" s="9"/>
      <c r="J231" s="9"/>
      <c r="K231" s="9"/>
      <c r="L231"/>
      <c r="M231"/>
      <c r="N231"/>
      <c r="O231" t="str">
        <v>Wrzesień</v>
      </c>
      <c r="P231" t="str">
        <v>Basketball</v>
      </c>
      <c r="Q231" t="str">
        <v>Professional</v>
      </c>
      <c r="R231" t="str">
        <v>N/A</v>
      </c>
      <c r="S231" t="str">
        <v>Female</v>
      </c>
      <c r="T231" t="str">
        <v>Biodex</v>
      </c>
      <c r="U231"/>
      <c r="V231"/>
      <c r="W231"/>
      <c r="X231"/>
      <c r="Y231"/>
      <c r="Z231"/>
      <c r="AA231"/>
      <c r="AB231"/>
      <c r="AC231"/>
      <c r="AD231"/>
      <c r="AE231"/>
      <c r="AF231"/>
      <c r="AG231" s="202"/>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row>
    <row r="232" spans="1:123" s="2" customFormat="1" ht="9" hidden="1" customHeight="1" x14ac:dyDescent="0.25">
      <c r="A232"/>
      <c r="B232"/>
      <c r="C232" s="78"/>
      <c r="D232" s="79"/>
      <c r="E232"/>
      <c r="F232"/>
      <c r="G232"/>
      <c r="H232" s="9"/>
      <c r="I232" s="9"/>
      <c r="J232" s="9"/>
      <c r="K232" s="9"/>
      <c r="L232"/>
      <c r="M232"/>
      <c r="N232"/>
      <c r="O232" t="str">
        <v>Wrzesień</v>
      </c>
      <c r="P232" t="str">
        <v>Basketball</v>
      </c>
      <c r="Q232" t="str">
        <v>Professional</v>
      </c>
      <c r="R232" t="str">
        <v>N/A</v>
      </c>
      <c r="S232" t="str">
        <v>Female</v>
      </c>
      <c r="T232" t="str">
        <v>Biodex</v>
      </c>
      <c r="U232"/>
      <c r="V232"/>
      <c r="W232"/>
      <c r="X232"/>
      <c r="Y232"/>
      <c r="Z232"/>
      <c r="AA232"/>
      <c r="AB232"/>
      <c r="AC232"/>
      <c r="AD232"/>
      <c r="AE232"/>
      <c r="AF232"/>
      <c r="AG232" s="20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row>
    <row r="233" spans="1:123" s="2" customFormat="1" ht="9" hidden="1" customHeight="1" x14ac:dyDescent="0.25">
      <c r="A233"/>
      <c r="B233"/>
      <c r="C233" s="78"/>
      <c r="D233" s="79"/>
      <c r="E233"/>
      <c r="F233"/>
      <c r="G233"/>
      <c r="H233" s="9"/>
      <c r="I233" s="9"/>
      <c r="J233" s="9"/>
      <c r="K233" s="9"/>
      <c r="L233"/>
      <c r="M233"/>
      <c r="N233"/>
      <c r="O233" t="str">
        <v>Wrzesień</v>
      </c>
      <c r="P233" t="str">
        <v>Basketball</v>
      </c>
      <c r="Q233" t="str">
        <v>Professional</v>
      </c>
      <c r="R233" t="str">
        <v>N/A</v>
      </c>
      <c r="S233" t="str">
        <v>Female</v>
      </c>
      <c r="T233" t="str">
        <v>Biodex</v>
      </c>
      <c r="U233"/>
      <c r="V233"/>
      <c r="W233"/>
      <c r="X233"/>
      <c r="Y233"/>
      <c r="Z233"/>
      <c r="AA233"/>
      <c r="AB233"/>
      <c r="AC233"/>
      <c r="AD233"/>
      <c r="AE233"/>
      <c r="AF233"/>
      <c r="AG233" s="202"/>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row>
    <row r="234" spans="1:123" s="2" customFormat="1" ht="9" hidden="1" customHeight="1" x14ac:dyDescent="0.25">
      <c r="A234"/>
      <c r="B234"/>
      <c r="C234" s="78"/>
      <c r="D234" s="79"/>
      <c r="E234"/>
      <c r="F234"/>
      <c r="G234"/>
      <c r="H234" s="9"/>
      <c r="I234" s="9"/>
      <c r="J234" s="9"/>
      <c r="K234" s="9"/>
      <c r="L234"/>
      <c r="M234"/>
      <c r="N234"/>
      <c r="O234" t="str">
        <v>Wrzesień</v>
      </c>
      <c r="P234" t="str">
        <v>Basketball</v>
      </c>
      <c r="Q234" t="str">
        <v>Professional</v>
      </c>
      <c r="R234" t="str">
        <v>N/A</v>
      </c>
      <c r="S234" t="str">
        <v>Female</v>
      </c>
      <c r="T234" t="str">
        <v>Biodex</v>
      </c>
      <c r="U234"/>
      <c r="V234"/>
      <c r="W234"/>
      <c r="X234"/>
      <c r="Y234"/>
      <c r="Z234"/>
      <c r="AA234"/>
      <c r="AB234"/>
      <c r="AC234"/>
      <c r="AD234"/>
      <c r="AE234"/>
      <c r="AF234"/>
      <c r="AG234" s="202"/>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row>
    <row r="235" spans="1:123" s="2" customFormat="1" ht="9" hidden="1" customHeight="1" x14ac:dyDescent="0.25">
      <c r="A235"/>
      <c r="B235"/>
      <c r="C235" s="78"/>
      <c r="D235" s="79"/>
      <c r="E235"/>
      <c r="F235"/>
      <c r="G235"/>
      <c r="H235" s="9"/>
      <c r="I235" s="9"/>
      <c r="J235" s="9"/>
      <c r="K235" s="9"/>
      <c r="L235"/>
      <c r="M235"/>
      <c r="N235"/>
      <c r="O235" t="str">
        <v>Zvijac</v>
      </c>
      <c r="P235" t="str">
        <v>Football</v>
      </c>
      <c r="Q235" t="str">
        <v>Professional</v>
      </c>
      <c r="R235" t="str">
        <v>N/A</v>
      </c>
      <c r="S235" t="str">
        <v>Male</v>
      </c>
      <c r="T235" t="str">
        <v>Cybex</v>
      </c>
      <c r="U235"/>
      <c r="V235"/>
      <c r="W235"/>
      <c r="X235"/>
      <c r="Y235"/>
      <c r="Z235"/>
      <c r="AA235"/>
      <c r="AB235"/>
      <c r="AC235"/>
      <c r="AD235"/>
      <c r="AE235"/>
      <c r="AF235"/>
      <c r="AG235" s="202"/>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row>
    <row r="236" spans="1:123" s="2" customFormat="1" ht="9" hidden="1" customHeight="1" x14ac:dyDescent="0.25">
      <c r="A236"/>
      <c r="B236"/>
      <c r="C236" s="78"/>
      <c r="D236" s="79"/>
      <c r="E236"/>
      <c r="F236"/>
      <c r="G236"/>
      <c r="H236" s="9"/>
      <c r="I236" s="9"/>
      <c r="J236" s="9"/>
      <c r="K236" s="9"/>
      <c r="L236"/>
      <c r="M236"/>
      <c r="N236"/>
      <c r="O236" t="str">
        <v>Zvijac</v>
      </c>
      <c r="P236" t="str">
        <v>Football</v>
      </c>
      <c r="Q236" t="str">
        <v>Professional</v>
      </c>
      <c r="R236" t="str">
        <v>N/A</v>
      </c>
      <c r="S236" t="str">
        <v>Male</v>
      </c>
      <c r="T236" t="str">
        <v>Cybex</v>
      </c>
      <c r="U236"/>
      <c r="V236"/>
      <c r="W236"/>
      <c r="X236"/>
      <c r="Y236"/>
      <c r="Z236"/>
      <c r="AA236"/>
      <c r="AB236"/>
      <c r="AC236"/>
      <c r="AD236"/>
      <c r="AE236"/>
      <c r="AF236"/>
      <c r="AG236" s="202"/>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row>
    <row r="237" spans="1:123" s="2" customFormat="1" ht="9" hidden="1" customHeight="1" x14ac:dyDescent="0.25">
      <c r="A237"/>
      <c r="B237"/>
      <c r="C237" s="78"/>
      <c r="D237" s="79"/>
      <c r="E237"/>
      <c r="F237"/>
      <c r="G237"/>
      <c r="H237" s="9"/>
      <c r="I237" s="9"/>
      <c r="J237" s="9"/>
      <c r="K237" s="9"/>
      <c r="L237"/>
      <c r="M237"/>
      <c r="N237"/>
      <c r="O237" t="str">
        <v>Zvijac</v>
      </c>
      <c r="P237" t="str">
        <v>Football</v>
      </c>
      <c r="Q237" t="str">
        <v>Professional</v>
      </c>
      <c r="R237" t="str">
        <v>F.Defensive Back</v>
      </c>
      <c r="S237" t="str">
        <v>Male</v>
      </c>
      <c r="T237" t="str">
        <v>Cybex</v>
      </c>
      <c r="U237"/>
      <c r="V237"/>
      <c r="W237"/>
      <c r="X237"/>
      <c r="Y237"/>
      <c r="Z237"/>
      <c r="AA237"/>
      <c r="AB237"/>
      <c r="AC237"/>
      <c r="AD237"/>
      <c r="AE237"/>
      <c r="AF237"/>
      <c r="AG237" s="202"/>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row>
    <row r="238" spans="1:123" s="2" customFormat="1" ht="9" hidden="1" customHeight="1" x14ac:dyDescent="0.25">
      <c r="A238"/>
      <c r="B238"/>
      <c r="C238" s="78"/>
      <c r="D238" s="79"/>
      <c r="E238"/>
      <c r="F238"/>
      <c r="G238"/>
      <c r="H238" s="9"/>
      <c r="I238" s="9"/>
      <c r="J238" s="9"/>
      <c r="K238" s="9"/>
      <c r="L238"/>
      <c r="M238"/>
      <c r="N238"/>
      <c r="O238" t="str">
        <v>Zvijac</v>
      </c>
      <c r="P238" t="str">
        <v>Football</v>
      </c>
      <c r="Q238" t="str">
        <v>Professional</v>
      </c>
      <c r="R238" t="str">
        <v>F.Defensive Back</v>
      </c>
      <c r="S238" t="str">
        <v>Male</v>
      </c>
      <c r="T238" t="str">
        <v>Cybex</v>
      </c>
      <c r="U238"/>
      <c r="V238"/>
      <c r="W238"/>
      <c r="X238"/>
      <c r="Y238"/>
      <c r="Z238"/>
      <c r="AA238"/>
      <c r="AB238"/>
      <c r="AC238"/>
      <c r="AD238"/>
      <c r="AE238"/>
      <c r="AF238"/>
      <c r="AG238" s="202"/>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row>
    <row r="239" spans="1:123" s="2" customFormat="1" ht="9" hidden="1" customHeight="1" x14ac:dyDescent="0.25">
      <c r="A239"/>
      <c r="B239"/>
      <c r="C239" s="78"/>
      <c r="D239" s="79"/>
      <c r="E239"/>
      <c r="F239"/>
      <c r="G239"/>
      <c r="H239" s="9"/>
      <c r="I239" s="9"/>
      <c r="J239" s="9"/>
      <c r="K239" s="9"/>
      <c r="L239"/>
      <c r="M239"/>
      <c r="N239"/>
      <c r="O239" t="str">
        <v>Zvijac</v>
      </c>
      <c r="P239" t="str">
        <v>Football</v>
      </c>
      <c r="Q239" t="str">
        <v>Professional</v>
      </c>
      <c r="R239" t="str">
        <v>F.Defensive Line</v>
      </c>
      <c r="S239" t="str">
        <v>Male</v>
      </c>
      <c r="T239" t="str">
        <v>Cybex</v>
      </c>
      <c r="U239"/>
      <c r="V239"/>
      <c r="W239"/>
      <c r="X239"/>
      <c r="Y239"/>
      <c r="Z239"/>
      <c r="AA239"/>
      <c r="AB239"/>
      <c r="AC239"/>
      <c r="AD239"/>
      <c r="AE239"/>
      <c r="AF239"/>
      <c r="AG239" s="202"/>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row>
    <row r="240" spans="1:123" s="2" customFormat="1" ht="9" hidden="1" customHeight="1" x14ac:dyDescent="0.25">
      <c r="A240"/>
      <c r="B240"/>
      <c r="C240" s="78"/>
      <c r="D240" s="79"/>
      <c r="E240"/>
      <c r="F240"/>
      <c r="G240"/>
      <c r="H240" s="9"/>
      <c r="I240" s="9"/>
      <c r="J240" s="9"/>
      <c r="K240" s="9"/>
      <c r="L240"/>
      <c r="M240"/>
      <c r="N240"/>
      <c r="O240" t="str">
        <v>Zvijac</v>
      </c>
      <c r="P240" t="str">
        <v>Football</v>
      </c>
      <c r="Q240" t="str">
        <v>Professional</v>
      </c>
      <c r="R240" t="str">
        <v>F.Defensive Line</v>
      </c>
      <c r="S240" t="str">
        <v>Male</v>
      </c>
      <c r="T240" t="str">
        <v>Cybex</v>
      </c>
      <c r="U240"/>
      <c r="V240"/>
      <c r="W240"/>
      <c r="X240"/>
      <c r="Y240"/>
      <c r="Z240"/>
      <c r="AA240"/>
      <c r="AB240"/>
      <c r="AC240"/>
      <c r="AD240"/>
      <c r="AE240"/>
      <c r="AF240"/>
      <c r="AG240" s="202"/>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row>
    <row r="241" spans="1:123" s="2" customFormat="1" ht="9" hidden="1" customHeight="1" x14ac:dyDescent="0.25">
      <c r="A241"/>
      <c r="B241"/>
      <c r="C241" s="78"/>
      <c r="D241" s="79"/>
      <c r="E241"/>
      <c r="F241"/>
      <c r="G241"/>
      <c r="H241" s="9"/>
      <c r="I241" s="9"/>
      <c r="J241" s="9"/>
      <c r="K241" s="9"/>
      <c r="L241"/>
      <c r="M241"/>
      <c r="N241"/>
      <c r="O241" t="str">
        <v>Zvijac</v>
      </c>
      <c r="P241" t="str">
        <v>Football</v>
      </c>
      <c r="Q241" t="str">
        <v>Professional</v>
      </c>
      <c r="R241" t="str">
        <v>F.Punters</v>
      </c>
      <c r="S241" t="str">
        <v>Male</v>
      </c>
      <c r="T241" t="str">
        <v>Cybex</v>
      </c>
      <c r="U241"/>
      <c r="V241"/>
      <c r="W241"/>
      <c r="X241"/>
      <c r="Y241"/>
      <c r="Z241"/>
      <c r="AA241"/>
      <c r="AB241"/>
      <c r="AC241"/>
      <c r="AD241"/>
      <c r="AE241"/>
      <c r="AF241"/>
      <c r="AG241" s="202"/>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row>
    <row r="242" spans="1:123" s="2" customFormat="1" ht="9" hidden="1" customHeight="1" x14ac:dyDescent="0.25">
      <c r="A242"/>
      <c r="B242"/>
      <c r="C242" s="78"/>
      <c r="D242" s="79"/>
      <c r="E242"/>
      <c r="F242"/>
      <c r="G242"/>
      <c r="H242" s="9"/>
      <c r="I242" s="9"/>
      <c r="J242" s="9"/>
      <c r="K242" s="9"/>
      <c r="L242"/>
      <c r="M242"/>
      <c r="N242"/>
      <c r="O242" t="str">
        <v>Zvijac</v>
      </c>
      <c r="P242" t="str">
        <v>Football</v>
      </c>
      <c r="Q242" t="str">
        <v>Professional</v>
      </c>
      <c r="R242" t="str">
        <v>F.Punters</v>
      </c>
      <c r="S242" t="str">
        <v>Male</v>
      </c>
      <c r="T242" t="str">
        <v>Cybex</v>
      </c>
      <c r="U242"/>
      <c r="V242"/>
      <c r="W242"/>
      <c r="X242"/>
      <c r="Y242"/>
      <c r="Z242"/>
      <c r="AA242"/>
      <c r="AB242"/>
      <c r="AC242"/>
      <c r="AD242"/>
      <c r="AE242"/>
      <c r="AF242"/>
      <c r="AG242" s="20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row>
    <row r="243" spans="1:123" s="2" customFormat="1" ht="9" hidden="1" customHeight="1" x14ac:dyDescent="0.25">
      <c r="A243"/>
      <c r="B243"/>
      <c r="C243" s="78"/>
      <c r="D243" s="79"/>
      <c r="E243"/>
      <c r="F243"/>
      <c r="G243"/>
      <c r="H243" s="9"/>
      <c r="I243" s="9"/>
      <c r="J243" s="9"/>
      <c r="K243" s="9"/>
      <c r="L243"/>
      <c r="M243"/>
      <c r="N243"/>
      <c r="O243" t="str">
        <v>Zvijac</v>
      </c>
      <c r="P243" t="str">
        <v>Football</v>
      </c>
      <c r="Q243" t="str">
        <v>Professional</v>
      </c>
      <c r="R243" t="str">
        <v>F.Linebackers</v>
      </c>
      <c r="S243" t="str">
        <v>Male</v>
      </c>
      <c r="T243" t="str">
        <v>Cybex</v>
      </c>
      <c r="U243"/>
      <c r="V243"/>
      <c r="W243"/>
      <c r="X243"/>
      <c r="Y243"/>
      <c r="Z243"/>
      <c r="AA243"/>
      <c r="AB243"/>
      <c r="AC243"/>
      <c r="AD243"/>
      <c r="AE243"/>
      <c r="AF243"/>
      <c r="AG243" s="202"/>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row>
    <row r="244" spans="1:123" s="2" customFormat="1" ht="9" hidden="1" customHeight="1" x14ac:dyDescent="0.25">
      <c r="A244"/>
      <c r="B244"/>
      <c r="C244" s="78"/>
      <c r="D244" s="79"/>
      <c r="E244"/>
      <c r="F244"/>
      <c r="G244"/>
      <c r="H244" s="9"/>
      <c r="I244" s="9"/>
      <c r="J244" s="9"/>
      <c r="K244" s="9"/>
      <c r="L244"/>
      <c r="M244"/>
      <c r="N244"/>
      <c r="O244" t="str">
        <v>Zvijac</v>
      </c>
      <c r="P244" t="str">
        <v>Football</v>
      </c>
      <c r="Q244" t="str">
        <v>Professional</v>
      </c>
      <c r="R244" t="str">
        <v>F.Linebackers</v>
      </c>
      <c r="S244" t="str">
        <v>Male</v>
      </c>
      <c r="T244" t="str">
        <v>Cybex</v>
      </c>
      <c r="U244"/>
      <c r="V244"/>
      <c r="W244"/>
      <c r="X244"/>
      <c r="Y244"/>
      <c r="Z244"/>
      <c r="AA244"/>
      <c r="AB244"/>
      <c r="AC244"/>
      <c r="AD244"/>
      <c r="AE244"/>
      <c r="AF244"/>
      <c r="AG244" s="202"/>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row>
    <row r="245" spans="1:123" s="2" customFormat="1" ht="9" hidden="1" customHeight="1" x14ac:dyDescent="0.25">
      <c r="A245"/>
      <c r="B245"/>
      <c r="C245" s="78"/>
      <c r="D245" s="79"/>
      <c r="E245"/>
      <c r="F245"/>
      <c r="G245"/>
      <c r="H245" s="9"/>
      <c r="I245" s="9"/>
      <c r="J245" s="9"/>
      <c r="K245" s="9"/>
      <c r="L245"/>
      <c r="M245"/>
      <c r="N245"/>
      <c r="O245" t="str">
        <v>Zvijac</v>
      </c>
      <c r="P245" t="str">
        <v>Football</v>
      </c>
      <c r="Q245" t="str">
        <v>Professional</v>
      </c>
      <c r="R245" t="str">
        <v>F.Offensive Line</v>
      </c>
      <c r="S245" t="str">
        <v>Male</v>
      </c>
      <c r="T245" t="str">
        <v>Cybex</v>
      </c>
      <c r="U245"/>
      <c r="V245"/>
      <c r="W245"/>
      <c r="X245"/>
      <c r="Y245"/>
      <c r="Z245"/>
      <c r="AA245"/>
      <c r="AB245"/>
      <c r="AC245"/>
      <c r="AD245"/>
      <c r="AE245"/>
      <c r="AF245"/>
      <c r="AG245" s="202"/>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row>
    <row r="246" spans="1:123" s="2" customFormat="1" ht="9" hidden="1" customHeight="1" x14ac:dyDescent="0.25">
      <c r="A246"/>
      <c r="B246"/>
      <c r="C246" s="78"/>
      <c r="D246" s="79"/>
      <c r="E246"/>
      <c r="F246"/>
      <c r="G246"/>
      <c r="H246" s="9"/>
      <c r="I246" s="9"/>
      <c r="J246" s="9"/>
      <c r="K246" s="9"/>
      <c r="L246"/>
      <c r="M246"/>
      <c r="N246"/>
      <c r="O246" t="str">
        <v>Zvijac</v>
      </c>
      <c r="P246" t="str">
        <v>Football</v>
      </c>
      <c r="Q246" t="str">
        <v>Professional</v>
      </c>
      <c r="R246" t="str">
        <v>F.Offensive Line</v>
      </c>
      <c r="S246" t="str">
        <v>Male</v>
      </c>
      <c r="T246" t="str">
        <v>Cybex</v>
      </c>
      <c r="U246"/>
      <c r="V246"/>
      <c r="W246"/>
      <c r="X246"/>
      <c r="Y246"/>
      <c r="Z246"/>
      <c r="AA246"/>
      <c r="AB246"/>
      <c r="AC246"/>
      <c r="AD246"/>
      <c r="AE246"/>
      <c r="AF246"/>
      <c r="AG246" s="202"/>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row>
    <row r="247" spans="1:123" s="2" customFormat="1" ht="9" hidden="1" customHeight="1" x14ac:dyDescent="0.25">
      <c r="A247"/>
      <c r="B247"/>
      <c r="C247" s="78"/>
      <c r="D247" s="79"/>
      <c r="E247"/>
      <c r="F247"/>
      <c r="G247"/>
      <c r="H247" s="9"/>
      <c r="I247" s="9"/>
      <c r="J247" s="9"/>
      <c r="K247" s="9"/>
      <c r="L247"/>
      <c r="M247"/>
      <c r="N247"/>
      <c r="O247" t="str">
        <v>Zvijac</v>
      </c>
      <c r="P247" t="str">
        <v>Football</v>
      </c>
      <c r="Q247" t="str">
        <v>Professional</v>
      </c>
      <c r="R247" t="str">
        <v>F.Quarterbacks</v>
      </c>
      <c r="S247" t="str">
        <v>Male</v>
      </c>
      <c r="T247" t="str">
        <v>Cybex</v>
      </c>
      <c r="U247"/>
      <c r="V247"/>
      <c r="W247"/>
      <c r="X247"/>
      <c r="Y247"/>
      <c r="Z247"/>
      <c r="AA247"/>
      <c r="AB247"/>
      <c r="AC247"/>
      <c r="AD247"/>
      <c r="AE247"/>
      <c r="AF247"/>
      <c r="AG247" s="202"/>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row>
    <row r="248" spans="1:123" s="2" customFormat="1" ht="9" hidden="1" customHeight="1" x14ac:dyDescent="0.25">
      <c r="A248"/>
      <c r="B248"/>
      <c r="C248" s="78"/>
      <c r="D248" s="79"/>
      <c r="E248"/>
      <c r="F248"/>
      <c r="G248"/>
      <c r="H248" s="9"/>
      <c r="I248" s="9"/>
      <c r="J248" s="9"/>
      <c r="K248" s="9"/>
      <c r="L248"/>
      <c r="M248"/>
      <c r="N248"/>
      <c r="O248" t="str">
        <v>Zvijac</v>
      </c>
      <c r="P248" t="str">
        <v>Football</v>
      </c>
      <c r="Q248" t="str">
        <v>Professional</v>
      </c>
      <c r="R248" t="str">
        <v>F.Quarterbacks</v>
      </c>
      <c r="S248" t="str">
        <v>Male</v>
      </c>
      <c r="T248" t="str">
        <v>Cybex</v>
      </c>
      <c r="U248"/>
      <c r="V248"/>
      <c r="W248"/>
      <c r="X248"/>
      <c r="Y248"/>
      <c r="Z248"/>
      <c r="AA248"/>
      <c r="AB248"/>
      <c r="AC248"/>
      <c r="AD248"/>
      <c r="AE248"/>
      <c r="AF248"/>
      <c r="AG248" s="202"/>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row>
    <row r="249" spans="1:123" s="2" customFormat="1" ht="9" hidden="1" customHeight="1" x14ac:dyDescent="0.25">
      <c r="A249"/>
      <c r="B249"/>
      <c r="C249" s="78"/>
      <c r="D249" s="79"/>
      <c r="E249"/>
      <c r="F249"/>
      <c r="G249"/>
      <c r="H249" s="9"/>
      <c r="I249" s="9"/>
      <c r="J249" s="9"/>
      <c r="K249" s="9"/>
      <c r="L249"/>
      <c r="M249"/>
      <c r="N249"/>
      <c r="O249" t="str">
        <v>Zvijac</v>
      </c>
      <c r="P249" t="str">
        <v>Football</v>
      </c>
      <c r="Q249" t="str">
        <v>Professional</v>
      </c>
      <c r="R249" t="str">
        <v>F.Running Backs</v>
      </c>
      <c r="S249" t="str">
        <v>Male</v>
      </c>
      <c r="T249" t="str">
        <v>Cybex</v>
      </c>
      <c r="U249"/>
      <c r="V249"/>
      <c r="W249"/>
      <c r="X249"/>
      <c r="Y249"/>
      <c r="Z249"/>
      <c r="AA249"/>
      <c r="AB249"/>
      <c r="AC249"/>
      <c r="AD249"/>
      <c r="AE249"/>
      <c r="AF249"/>
      <c r="AG249" s="202"/>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row>
    <row r="250" spans="1:123" s="2" customFormat="1" ht="9" hidden="1" customHeight="1" x14ac:dyDescent="0.25">
      <c r="A250"/>
      <c r="B250"/>
      <c r="C250" s="78"/>
      <c r="D250" s="79"/>
      <c r="E250"/>
      <c r="F250"/>
      <c r="G250"/>
      <c r="H250" s="9"/>
      <c r="I250" s="9"/>
      <c r="J250" s="9"/>
      <c r="K250" s="9"/>
      <c r="L250"/>
      <c r="M250"/>
      <c r="N250"/>
      <c r="O250" t="str">
        <v>Zvijac</v>
      </c>
      <c r="P250" t="str">
        <v>Football</v>
      </c>
      <c r="Q250" t="str">
        <v>Professional</v>
      </c>
      <c r="R250" t="str">
        <v>F.Running Backs</v>
      </c>
      <c r="S250" t="str">
        <v>Male</v>
      </c>
      <c r="T250" t="str">
        <v>Cybex</v>
      </c>
      <c r="U250"/>
      <c r="V250"/>
      <c r="W250"/>
      <c r="X250"/>
      <c r="Y250"/>
      <c r="Z250"/>
      <c r="AA250"/>
      <c r="AB250"/>
      <c r="AC250"/>
      <c r="AD250"/>
      <c r="AE250"/>
      <c r="AF250"/>
      <c r="AG250" s="202"/>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row>
    <row r="251" spans="1:123" s="2" customFormat="1" ht="9" hidden="1" customHeight="1" x14ac:dyDescent="0.25">
      <c r="A251"/>
      <c r="B251"/>
      <c r="C251" s="78"/>
      <c r="D251" s="79"/>
      <c r="E251"/>
      <c r="F251"/>
      <c r="G251"/>
      <c r="H251" s="9"/>
      <c r="I251" s="9"/>
      <c r="J251" s="9"/>
      <c r="K251" s="9"/>
      <c r="L251"/>
      <c r="M251"/>
      <c r="N251"/>
      <c r="O251" t="str">
        <v>Zvijac</v>
      </c>
      <c r="P251" t="str">
        <v>Football</v>
      </c>
      <c r="Q251" t="str">
        <v>Professional</v>
      </c>
      <c r="R251" t="str">
        <v>F.Tight ends</v>
      </c>
      <c r="S251" t="str">
        <v>Male</v>
      </c>
      <c r="T251" t="str">
        <v>Cybex</v>
      </c>
      <c r="U251"/>
      <c r="V251"/>
      <c r="W251"/>
      <c r="X251"/>
      <c r="Y251"/>
      <c r="Z251"/>
      <c r="AA251"/>
      <c r="AB251"/>
      <c r="AC251"/>
      <c r="AD251"/>
      <c r="AE251"/>
      <c r="AF251"/>
      <c r="AG251" s="202"/>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row>
    <row r="252" spans="1:123" s="2" customFormat="1" ht="9" hidden="1" customHeight="1" x14ac:dyDescent="0.25">
      <c r="A252"/>
      <c r="B252"/>
      <c r="C252" s="78"/>
      <c r="D252" s="79"/>
      <c r="E252"/>
      <c r="F252"/>
      <c r="G252"/>
      <c r="H252" s="9"/>
      <c r="I252" s="9"/>
      <c r="J252" s="9"/>
      <c r="K252" s="9"/>
      <c r="L252"/>
      <c r="M252"/>
      <c r="N252"/>
      <c r="O252" t="str">
        <v>Zvijac</v>
      </c>
      <c r="P252" t="str">
        <v>Football</v>
      </c>
      <c r="Q252" t="str">
        <v>Professional</v>
      </c>
      <c r="R252" t="str">
        <v>F.Tight ends</v>
      </c>
      <c r="S252" t="str">
        <v>Male</v>
      </c>
      <c r="T252" t="str">
        <v>Cybex</v>
      </c>
      <c r="U252"/>
      <c r="V252"/>
      <c r="W252"/>
      <c r="X252"/>
      <c r="Y252"/>
      <c r="Z252"/>
      <c r="AA252"/>
      <c r="AB252"/>
      <c r="AC252"/>
      <c r="AD252"/>
      <c r="AE252"/>
      <c r="AF252"/>
      <c r="AG252" s="20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row>
    <row r="253" spans="1:123" s="2" customFormat="1" ht="9" hidden="1" customHeight="1" x14ac:dyDescent="0.25">
      <c r="A253"/>
      <c r="B253"/>
      <c r="C253" s="78"/>
      <c r="D253" s="79"/>
      <c r="E253"/>
      <c r="F253"/>
      <c r="G253"/>
      <c r="H253" s="9"/>
      <c r="I253" s="9"/>
      <c r="J253" s="9"/>
      <c r="K253" s="9"/>
      <c r="L253"/>
      <c r="M253"/>
      <c r="N253"/>
      <c r="O253" t="str">
        <v>Zvijac</v>
      </c>
      <c r="P253" t="str">
        <v>Football</v>
      </c>
      <c r="Q253" t="str">
        <v>Professional</v>
      </c>
      <c r="R253" t="str">
        <v>F.Wide Recievers</v>
      </c>
      <c r="S253" t="str">
        <v>Male</v>
      </c>
      <c r="T253" t="str">
        <v>Cybex</v>
      </c>
      <c r="U253"/>
      <c r="V253"/>
      <c r="W253"/>
      <c r="X253"/>
      <c r="Y253"/>
      <c r="Z253"/>
      <c r="AA253"/>
      <c r="AB253"/>
      <c r="AC253"/>
      <c r="AD253"/>
      <c r="AE253"/>
      <c r="AF253"/>
      <c r="AG253" s="202"/>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row>
    <row r="254" spans="1:123" s="2" customFormat="1" ht="9" hidden="1" customHeight="1" x14ac:dyDescent="0.25">
      <c r="A254"/>
      <c r="B254"/>
      <c r="C254" s="78"/>
      <c r="D254" s="79"/>
      <c r="E254"/>
      <c r="F254"/>
      <c r="G254"/>
      <c r="H254" s="9"/>
      <c r="I254" s="9"/>
      <c r="J254" s="9"/>
      <c r="K254" s="9"/>
      <c r="L254"/>
      <c r="M254"/>
      <c r="N254"/>
      <c r="O254" t="str">
        <v>Zvijac</v>
      </c>
      <c r="P254" t="str">
        <v>Football</v>
      </c>
      <c r="Q254" t="str">
        <v>Professional</v>
      </c>
      <c r="R254" t="str">
        <v>F.Wide Recievers</v>
      </c>
      <c r="S254" t="str">
        <v>Male</v>
      </c>
      <c r="T254" t="str">
        <v>Cybex</v>
      </c>
      <c r="U254"/>
      <c r="V254"/>
      <c r="W254"/>
      <c r="X254"/>
      <c r="Y254"/>
      <c r="Z254"/>
      <c r="AA254"/>
      <c r="AB254"/>
      <c r="AC254"/>
      <c r="AD254"/>
      <c r="AE254"/>
      <c r="AF254"/>
      <c r="AG254" s="202"/>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row>
    <row r="255" spans="1:123" s="2" customFormat="1" ht="9" hidden="1" customHeight="1" x14ac:dyDescent="0.25">
      <c r="A255"/>
      <c r="B255"/>
      <c r="C255" s="78"/>
      <c r="D255" s="79"/>
      <c r="E255"/>
      <c r="F255"/>
      <c r="G255"/>
      <c r="H255" s="9"/>
      <c r="I255" s="9"/>
      <c r="J255" s="9"/>
      <c r="K255" s="9"/>
      <c r="L255"/>
      <c r="M255"/>
      <c r="N255"/>
      <c r="O255"/>
      <c r="P255"/>
      <c r="Q255"/>
      <c r="R255"/>
      <c r="S255"/>
      <c r="T255"/>
      <c r="U255"/>
      <c r="V255"/>
      <c r="W255"/>
      <c r="X255"/>
      <c r="Y255"/>
      <c r="Z255"/>
      <c r="AA255"/>
      <c r="AB255"/>
      <c r="AC255"/>
      <c r="AD255"/>
      <c r="AE255"/>
      <c r="AF255"/>
      <c r="AG255" s="202"/>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row>
    <row r="256" spans="1:123" s="2" customFormat="1" ht="9" hidden="1" customHeight="1" x14ac:dyDescent="0.25">
      <c r="A256"/>
      <c r="B256"/>
      <c r="C256" s="78"/>
      <c r="D256" s="79"/>
      <c r="E256"/>
      <c r="F256"/>
      <c r="G256"/>
      <c r="H256" s="9"/>
      <c r="I256" s="9"/>
      <c r="J256" s="9"/>
      <c r="K256" s="9"/>
      <c r="L256"/>
      <c r="M256"/>
      <c r="N256"/>
      <c r="O256"/>
      <c r="P256"/>
      <c r="Q256"/>
      <c r="R256"/>
      <c r="S256"/>
      <c r="T256"/>
      <c r="U256"/>
      <c r="V256"/>
      <c r="W256"/>
      <c r="X256"/>
      <c r="Y256"/>
      <c r="Z256"/>
      <c r="AA256"/>
      <c r="AB256"/>
      <c r="AC256"/>
      <c r="AD256"/>
      <c r="AE256"/>
      <c r="AF256"/>
      <c r="AG256" s="202"/>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row>
    <row r="257" spans="1:123" s="2" customFormat="1" ht="9" hidden="1" customHeight="1" x14ac:dyDescent="0.25">
      <c r="A257"/>
      <c r="B257"/>
      <c r="C257" s="78"/>
      <c r="D257" s="79"/>
      <c r="E257"/>
      <c r="F257"/>
      <c r="G257"/>
      <c r="H257" s="9"/>
      <c r="I257" s="9"/>
      <c r="J257" s="9"/>
      <c r="K257" s="9"/>
      <c r="L257"/>
      <c r="M257"/>
      <c r="N257"/>
      <c r="O257"/>
      <c r="P257"/>
      <c r="Q257"/>
      <c r="R257"/>
      <c r="S257"/>
      <c r="T257"/>
      <c r="U257"/>
      <c r="V257"/>
      <c r="W257"/>
      <c r="X257"/>
      <c r="Y257"/>
      <c r="Z257"/>
      <c r="AA257"/>
      <c r="AB257"/>
      <c r="AC257"/>
      <c r="AD257"/>
      <c r="AE257"/>
      <c r="AF257"/>
      <c r="AG257" s="202"/>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row>
    <row r="258" spans="1:123" s="2" customFormat="1" ht="9" hidden="1" customHeight="1" x14ac:dyDescent="0.25">
      <c r="A258"/>
      <c r="B258"/>
      <c r="C258" s="78"/>
      <c r="D258" s="79"/>
      <c r="E258"/>
      <c r="F258"/>
      <c r="G258"/>
      <c r="H258" s="9"/>
      <c r="I258" s="9"/>
      <c r="J258" s="9"/>
      <c r="K258" s="9"/>
      <c r="L258"/>
      <c r="M258"/>
      <c r="N258"/>
      <c r="O258"/>
      <c r="P258"/>
      <c r="Q258"/>
      <c r="R258"/>
      <c r="S258"/>
      <c r="T258"/>
      <c r="U258"/>
      <c r="V258"/>
      <c r="W258"/>
      <c r="X258"/>
      <c r="Y258"/>
      <c r="Z258"/>
      <c r="AA258"/>
      <c r="AB258"/>
      <c r="AC258"/>
      <c r="AD258"/>
      <c r="AE258"/>
      <c r="AF258"/>
      <c r="AG258" s="202"/>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row>
    <row r="259" spans="1:123" s="2" customFormat="1" ht="9" hidden="1" customHeight="1" x14ac:dyDescent="0.25">
      <c r="A259"/>
      <c r="B259"/>
      <c r="C259" s="78"/>
      <c r="D259" s="79"/>
      <c r="E259"/>
      <c r="F259"/>
      <c r="G259"/>
      <c r="H259" s="9"/>
      <c r="I259" s="9"/>
      <c r="J259" s="9"/>
      <c r="K259" s="9"/>
      <c r="L259"/>
      <c r="M259"/>
      <c r="N259"/>
      <c r="O259"/>
      <c r="P259"/>
      <c r="Q259"/>
      <c r="R259"/>
      <c r="S259"/>
      <c r="T259"/>
      <c r="U259"/>
      <c r="V259"/>
      <c r="W259"/>
      <c r="X259"/>
      <c r="Y259"/>
      <c r="Z259"/>
      <c r="AA259"/>
      <c r="AB259"/>
      <c r="AC259"/>
      <c r="AD259"/>
      <c r="AE259"/>
      <c r="AF259"/>
      <c r="AG259" s="202"/>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row>
    <row r="260" spans="1:123" s="2" customFormat="1" ht="9" hidden="1" customHeight="1" x14ac:dyDescent="0.25">
      <c r="A260"/>
      <c r="B260"/>
      <c r="C260" s="78"/>
      <c r="D260" s="79"/>
      <c r="E260"/>
      <c r="F260"/>
      <c r="G260"/>
      <c r="H260" s="9"/>
      <c r="I260" s="9"/>
      <c r="J260" s="9"/>
      <c r="K260" s="9"/>
      <c r="L260"/>
      <c r="M260"/>
      <c r="N260"/>
      <c r="O260"/>
      <c r="P260"/>
      <c r="Q260"/>
      <c r="R260"/>
      <c r="S260"/>
      <c r="T260"/>
      <c r="U260"/>
      <c r="V260"/>
      <c r="W260"/>
      <c r="X260"/>
      <c r="Y260"/>
      <c r="Z260"/>
      <c r="AA260"/>
      <c r="AB260"/>
      <c r="AC260"/>
      <c r="AD260"/>
      <c r="AE260"/>
      <c r="AF260"/>
      <c r="AG260" s="202"/>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row>
    <row r="261" spans="1:123" s="2" customFormat="1" ht="9" hidden="1" customHeight="1" x14ac:dyDescent="0.25">
      <c r="A261"/>
      <c r="B261"/>
      <c r="C261" s="78"/>
      <c r="D261" s="79"/>
      <c r="E261"/>
      <c r="F261"/>
      <c r="G261"/>
      <c r="H261" s="9"/>
      <c r="I261" s="9"/>
      <c r="J261" s="9"/>
      <c r="K261" s="9"/>
      <c r="L261"/>
      <c r="M261"/>
      <c r="N261"/>
      <c r="O261"/>
      <c r="P261"/>
      <c r="Q261"/>
      <c r="R261"/>
      <c r="S261"/>
      <c r="T261"/>
      <c r="U261"/>
      <c r="V261"/>
      <c r="W261"/>
      <c r="X261"/>
      <c r="Y261"/>
      <c r="Z261"/>
      <c r="AA261"/>
      <c r="AB261"/>
      <c r="AC261"/>
      <c r="AD261"/>
      <c r="AE261"/>
      <c r="AF261"/>
      <c r="AG261" s="202"/>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row>
    <row r="262" spans="1:123" s="2" customFormat="1" ht="9" hidden="1" customHeight="1" x14ac:dyDescent="0.25">
      <c r="A262"/>
      <c r="B262"/>
      <c r="C262" s="78"/>
      <c r="D262" s="79"/>
      <c r="E262"/>
      <c r="F262"/>
      <c r="G262"/>
      <c r="H262" s="9"/>
      <c r="I262" s="9"/>
      <c r="J262" s="9"/>
      <c r="K262" s="9"/>
      <c r="L262"/>
      <c r="M262"/>
      <c r="N262"/>
      <c r="O262"/>
      <c r="P262"/>
      <c r="Q262"/>
      <c r="R262"/>
      <c r="S262"/>
      <c r="T262"/>
      <c r="U262"/>
      <c r="V262"/>
      <c r="W262"/>
      <c r="X262"/>
      <c r="Y262"/>
      <c r="Z262"/>
      <c r="AA262"/>
      <c r="AB262"/>
      <c r="AC262"/>
      <c r="AD262"/>
      <c r="AE262"/>
      <c r="AF262"/>
      <c r="AG262" s="20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row>
    <row r="263" spans="1:123" s="2" customFormat="1" ht="9" hidden="1" customHeight="1" x14ac:dyDescent="0.25">
      <c r="A263"/>
      <c r="B263"/>
      <c r="C263" s="78"/>
      <c r="D263" s="79"/>
      <c r="E263"/>
      <c r="F263"/>
      <c r="G263"/>
      <c r="H263" s="9"/>
      <c r="I263" s="9"/>
      <c r="J263" s="9"/>
      <c r="K263" s="9"/>
      <c r="L263"/>
      <c r="M263"/>
      <c r="N263"/>
      <c r="O263"/>
      <c r="P263"/>
      <c r="Q263"/>
      <c r="R263"/>
      <c r="S263"/>
      <c r="T263"/>
      <c r="U263"/>
      <c r="V263"/>
      <c r="W263"/>
      <c r="X263"/>
      <c r="Y263"/>
      <c r="Z263"/>
      <c r="AA263"/>
      <c r="AB263"/>
      <c r="AC263"/>
      <c r="AD263"/>
      <c r="AE263"/>
      <c r="AF263"/>
      <c r="AG263" s="202"/>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row>
    <row r="264" spans="1:123" s="2" customFormat="1" ht="9" hidden="1" customHeight="1" x14ac:dyDescent="0.25">
      <c r="A264"/>
      <c r="B264"/>
      <c r="C264" s="78"/>
      <c r="D264" s="79"/>
      <c r="E264"/>
      <c r="F264"/>
      <c r="G264"/>
      <c r="H264" s="9"/>
      <c r="I264" s="9"/>
      <c r="J264" s="9"/>
      <c r="K264" s="9"/>
      <c r="L264"/>
      <c r="M264"/>
      <c r="N264"/>
      <c r="O264"/>
      <c r="P264"/>
      <c r="Q264"/>
      <c r="R264"/>
      <c r="S264"/>
      <c r="T264"/>
      <c r="U264"/>
      <c r="V264"/>
      <c r="W264"/>
      <c r="X264"/>
      <c r="Y264"/>
      <c r="Z264"/>
      <c r="AA264"/>
      <c r="AB264"/>
      <c r="AC264"/>
      <c r="AD264"/>
      <c r="AE264"/>
      <c r="AF264"/>
      <c r="AG264" s="202"/>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row>
    <row r="265" spans="1:123" s="2" customFormat="1" ht="9" hidden="1" customHeight="1" x14ac:dyDescent="0.25">
      <c r="A265"/>
      <c r="B265"/>
      <c r="C265" s="78"/>
      <c r="D265" s="79"/>
      <c r="E265"/>
      <c r="F265"/>
      <c r="G265"/>
      <c r="H265" s="9"/>
      <c r="I265" s="9"/>
      <c r="J265" s="9"/>
      <c r="K265" s="9"/>
      <c r="L265"/>
      <c r="M265"/>
      <c r="N265"/>
      <c r="O265"/>
      <c r="P265"/>
      <c r="Q265"/>
      <c r="R265"/>
      <c r="S265"/>
      <c r="T265"/>
      <c r="U265"/>
      <c r="V265"/>
      <c r="W265"/>
      <c r="X265"/>
      <c r="Y265"/>
      <c r="Z265"/>
      <c r="AA265"/>
      <c r="AB265"/>
      <c r="AC265"/>
      <c r="AD265"/>
      <c r="AE265"/>
      <c r="AF265"/>
      <c r="AG265" s="202"/>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row>
    <row r="266" spans="1:123" s="2" customFormat="1" ht="9" hidden="1" customHeight="1" x14ac:dyDescent="0.25">
      <c r="A266"/>
      <c r="B266"/>
      <c r="C266" s="78"/>
      <c r="D266" s="79"/>
      <c r="E266"/>
      <c r="F266"/>
      <c r="G266"/>
      <c r="H266" s="9"/>
      <c r="I266" s="9"/>
      <c r="J266" s="9"/>
      <c r="K266" s="9"/>
      <c r="L266"/>
      <c r="M266"/>
      <c r="N266"/>
      <c r="O266"/>
      <c r="P266"/>
      <c r="Q266"/>
      <c r="R266"/>
      <c r="S266"/>
      <c r="T266"/>
      <c r="U266"/>
      <c r="V266"/>
      <c r="W266"/>
      <c r="X266"/>
      <c r="Y266"/>
      <c r="Z266"/>
      <c r="AA266"/>
      <c r="AB266"/>
      <c r="AC266"/>
      <c r="AD266"/>
      <c r="AE266"/>
      <c r="AF266"/>
      <c r="AG266" s="202"/>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row>
    <row r="267" spans="1:123" s="2" customFormat="1" ht="9" hidden="1" customHeight="1" x14ac:dyDescent="0.25">
      <c r="A267"/>
      <c r="B267"/>
      <c r="C267" s="78"/>
      <c r="D267" s="79"/>
      <c r="E267"/>
      <c r="F267"/>
      <c r="G267"/>
      <c r="H267" s="9"/>
      <c r="I267" s="9"/>
      <c r="J267" s="9"/>
      <c r="K267" s="9"/>
      <c r="L267"/>
      <c r="M267"/>
      <c r="N267"/>
      <c r="O267"/>
      <c r="P267"/>
      <c r="Q267"/>
      <c r="R267"/>
      <c r="S267"/>
      <c r="T267"/>
      <c r="U267"/>
      <c r="V267"/>
      <c r="W267"/>
      <c r="X267"/>
      <c r="Y267"/>
      <c r="Z267"/>
      <c r="AA267"/>
      <c r="AB267"/>
      <c r="AC267"/>
      <c r="AD267"/>
      <c r="AE267"/>
      <c r="AF267"/>
      <c r="AG267" s="202"/>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row>
    <row r="268" spans="1:123" s="2" customFormat="1" ht="9" hidden="1" customHeight="1" x14ac:dyDescent="0.25">
      <c r="A268"/>
      <c r="B268"/>
      <c r="C268" s="78"/>
      <c r="D268" s="79"/>
      <c r="E268"/>
      <c r="F268"/>
      <c r="G268"/>
      <c r="H268" s="9"/>
      <c r="I268" s="9"/>
      <c r="J268" s="9"/>
      <c r="K268" s="9"/>
      <c r="L268"/>
      <c r="M268"/>
      <c r="N268"/>
      <c r="O268"/>
      <c r="P268"/>
      <c r="Q268"/>
      <c r="R268"/>
      <c r="S268"/>
      <c r="T268"/>
      <c r="U268"/>
      <c r="V268"/>
      <c r="W268"/>
      <c r="X268"/>
      <c r="Y268"/>
      <c r="Z268"/>
      <c r="AA268"/>
      <c r="AB268"/>
      <c r="AC268"/>
      <c r="AD268"/>
      <c r="AE268"/>
      <c r="AF268"/>
      <c r="AG268" s="202"/>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row>
    <row r="269" spans="1:123" s="2" customFormat="1" ht="9" hidden="1" customHeight="1" x14ac:dyDescent="0.25">
      <c r="A269"/>
      <c r="B269"/>
      <c r="C269" s="78"/>
      <c r="D269" s="79"/>
      <c r="E269"/>
      <c r="F269"/>
      <c r="G269"/>
      <c r="H269" s="9"/>
      <c r="I269" s="9"/>
      <c r="J269" s="9"/>
      <c r="K269" s="9"/>
      <c r="L269"/>
      <c r="M269"/>
      <c r="N269"/>
      <c r="O269"/>
      <c r="P269"/>
      <c r="Q269"/>
      <c r="R269"/>
      <c r="S269"/>
      <c r="T269"/>
      <c r="U269"/>
      <c r="V269"/>
      <c r="W269"/>
      <c r="X269"/>
      <c r="Y269"/>
      <c r="Z269"/>
      <c r="AA269"/>
      <c r="AB269"/>
      <c r="AC269"/>
      <c r="AD269"/>
      <c r="AE269"/>
      <c r="AF269"/>
      <c r="AG269" s="202"/>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row>
    <row r="270" spans="1:123" s="2" customFormat="1" ht="9" hidden="1" customHeight="1" x14ac:dyDescent="0.25">
      <c r="A270"/>
      <c r="B270"/>
      <c r="C270" s="78"/>
      <c r="D270" s="79"/>
      <c r="E270"/>
      <c r="F270"/>
      <c r="G270"/>
      <c r="H270" s="9"/>
      <c r="I270" s="9"/>
      <c r="J270" s="9"/>
      <c r="K270" s="9"/>
      <c r="L270"/>
      <c r="M270"/>
      <c r="N270"/>
      <c r="O270"/>
      <c r="P270"/>
      <c r="Q270"/>
      <c r="R270"/>
      <c r="S270"/>
      <c r="T270"/>
      <c r="U270"/>
      <c r="V270"/>
      <c r="W270"/>
      <c r="X270"/>
      <c r="Y270"/>
      <c r="Z270"/>
      <c r="AA270"/>
      <c r="AB270"/>
      <c r="AC270"/>
      <c r="AD270"/>
      <c r="AE270"/>
      <c r="AF270"/>
      <c r="AG270" s="202"/>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row>
    <row r="271" spans="1:123" s="2" customFormat="1" ht="9" hidden="1" customHeight="1" x14ac:dyDescent="0.25">
      <c r="A271"/>
      <c r="B271"/>
      <c r="C271" s="78"/>
      <c r="D271" s="79"/>
      <c r="E271"/>
      <c r="F271"/>
      <c r="G271"/>
      <c r="H271" s="9"/>
      <c r="I271" s="9"/>
      <c r="J271" s="9"/>
      <c r="K271" s="9"/>
      <c r="L271"/>
      <c r="M271"/>
      <c r="N271"/>
      <c r="O271"/>
      <c r="P271"/>
      <c r="Q271"/>
      <c r="R271"/>
      <c r="S271"/>
      <c r="T271"/>
      <c r="U271"/>
      <c r="V271"/>
      <c r="W271"/>
      <c r="X271"/>
      <c r="Y271"/>
      <c r="Z271"/>
      <c r="AA271"/>
      <c r="AB271"/>
      <c r="AC271"/>
      <c r="AD271"/>
      <c r="AE271"/>
      <c r="AF271"/>
      <c r="AG271" s="202"/>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row>
    <row r="272" spans="1:123" s="2" customFormat="1" ht="9" hidden="1" customHeight="1" x14ac:dyDescent="0.25">
      <c r="A272"/>
      <c r="B272"/>
      <c r="C272" s="78"/>
      <c r="D272" s="79"/>
      <c r="E272"/>
      <c r="F272"/>
      <c r="G272"/>
      <c r="H272" s="9"/>
      <c r="I272" s="9"/>
      <c r="J272" s="9"/>
      <c r="K272" s="9"/>
      <c r="L272"/>
      <c r="M272"/>
      <c r="N272"/>
      <c r="O272"/>
      <c r="P272"/>
      <c r="Q272"/>
      <c r="R272"/>
      <c r="S272"/>
      <c r="T272"/>
      <c r="U272"/>
      <c r="V272"/>
      <c r="W272"/>
      <c r="X272"/>
      <c r="Y272"/>
      <c r="Z272"/>
      <c r="AA272"/>
      <c r="AB272"/>
      <c r="AC272"/>
      <c r="AD272"/>
      <c r="AE272"/>
      <c r="AF272"/>
      <c r="AG272" s="20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row>
    <row r="273" spans="1:123" s="2" customFormat="1" ht="9" hidden="1" customHeight="1" x14ac:dyDescent="0.25">
      <c r="A273"/>
      <c r="B273"/>
      <c r="C273" s="78"/>
      <c r="D273" s="79"/>
      <c r="E273"/>
      <c r="F273"/>
      <c r="G273"/>
      <c r="H273" s="9"/>
      <c r="I273" s="9"/>
      <c r="J273" s="9"/>
      <c r="K273" s="9"/>
      <c r="L273"/>
      <c r="M273"/>
      <c r="N273"/>
      <c r="O273"/>
      <c r="P273"/>
      <c r="Q273"/>
      <c r="R273"/>
      <c r="S273"/>
      <c r="T273"/>
      <c r="U273"/>
      <c r="V273"/>
      <c r="W273"/>
      <c r="X273"/>
      <c r="Y273"/>
      <c r="Z273"/>
      <c r="AA273"/>
      <c r="AB273"/>
      <c r="AC273"/>
      <c r="AD273"/>
      <c r="AE273"/>
      <c r="AF273"/>
      <c r="AG273" s="202"/>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row>
    <row r="274" spans="1:123" s="2" customFormat="1" ht="9" hidden="1" customHeight="1" x14ac:dyDescent="0.25">
      <c r="A274"/>
      <c r="B274"/>
      <c r="C274" s="78"/>
      <c r="D274" s="79"/>
      <c r="E274"/>
      <c r="F274"/>
      <c r="G274"/>
      <c r="H274" s="9"/>
      <c r="I274" s="9"/>
      <c r="J274" s="9"/>
      <c r="K274" s="9"/>
      <c r="L274"/>
      <c r="M274"/>
      <c r="N274"/>
      <c r="O274"/>
      <c r="P274"/>
      <c r="Q274"/>
      <c r="R274"/>
      <c r="S274"/>
      <c r="T274"/>
      <c r="U274"/>
      <c r="V274"/>
      <c r="W274"/>
      <c r="X274"/>
      <c r="Y274"/>
      <c r="Z274"/>
      <c r="AA274"/>
      <c r="AB274"/>
      <c r="AC274"/>
      <c r="AD274"/>
      <c r="AE274"/>
      <c r="AF274"/>
      <c r="AG274" s="202"/>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row>
    <row r="275" spans="1:123" s="2" customFormat="1" ht="9" hidden="1" customHeight="1" x14ac:dyDescent="0.25">
      <c r="A275"/>
      <c r="B275"/>
      <c r="C275" s="78"/>
      <c r="D275" s="79"/>
      <c r="E275"/>
      <c r="F275"/>
      <c r="G275"/>
      <c r="H275" s="9"/>
      <c r="I275" s="9"/>
      <c r="J275" s="9"/>
      <c r="K275" s="9"/>
      <c r="L275"/>
      <c r="M275"/>
      <c r="N275"/>
      <c r="O275"/>
      <c r="P275"/>
      <c r="Q275"/>
      <c r="R275"/>
      <c r="S275"/>
      <c r="T275"/>
      <c r="U275"/>
      <c r="V275"/>
      <c r="W275"/>
      <c r="X275"/>
      <c r="Y275"/>
      <c r="Z275"/>
      <c r="AA275"/>
      <c r="AB275"/>
      <c r="AC275"/>
      <c r="AD275"/>
      <c r="AE275"/>
      <c r="AF275"/>
      <c r="AG275" s="202"/>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row>
    <row r="276" spans="1:123" s="2" customFormat="1" ht="9" hidden="1" customHeight="1" x14ac:dyDescent="0.25">
      <c r="A276"/>
      <c r="B276"/>
      <c r="C276" s="78"/>
      <c r="D276" s="79"/>
      <c r="E276"/>
      <c r="F276"/>
      <c r="G276"/>
      <c r="H276" s="9"/>
      <c r="I276" s="9"/>
      <c r="J276" s="9"/>
      <c r="K276" s="9"/>
      <c r="L276"/>
      <c r="M276"/>
      <c r="N276"/>
      <c r="O276"/>
      <c r="P276"/>
      <c r="Q276"/>
      <c r="R276"/>
      <c r="S276"/>
      <c r="T276"/>
      <c r="U276"/>
      <c r="V276"/>
      <c r="W276"/>
      <c r="X276"/>
      <c r="Y276"/>
      <c r="Z276"/>
      <c r="AA276"/>
      <c r="AB276"/>
      <c r="AC276"/>
      <c r="AD276"/>
      <c r="AE276"/>
      <c r="AF276"/>
      <c r="AG276" s="202"/>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row>
    <row r="277" spans="1:123" s="2" customFormat="1" ht="9" hidden="1" customHeight="1" x14ac:dyDescent="0.25">
      <c r="A277"/>
      <c r="B277"/>
      <c r="C277" s="78"/>
      <c r="D277" s="79"/>
      <c r="E277"/>
      <c r="F277"/>
      <c r="G277"/>
      <c r="H277" s="9"/>
      <c r="I277" s="9"/>
      <c r="J277" s="9"/>
      <c r="K277" s="9"/>
      <c r="L277"/>
      <c r="M277"/>
      <c r="N277"/>
      <c r="O277"/>
      <c r="P277"/>
      <c r="Q277"/>
      <c r="R277"/>
      <c r="S277"/>
      <c r="T277"/>
      <c r="U277"/>
      <c r="V277"/>
      <c r="W277"/>
      <c r="X277"/>
      <c r="Y277"/>
      <c r="Z277"/>
      <c r="AA277"/>
      <c r="AB277"/>
      <c r="AC277"/>
      <c r="AD277"/>
      <c r="AE277"/>
      <c r="AF277"/>
      <c r="AG277" s="202"/>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row>
    <row r="278" spans="1:123" s="2" customFormat="1" ht="9" hidden="1" customHeight="1" x14ac:dyDescent="0.25">
      <c r="A278"/>
      <c r="B278"/>
      <c r="C278" s="78"/>
      <c r="D278" s="79"/>
      <c r="E278"/>
      <c r="F278"/>
      <c r="G278"/>
      <c r="H278" s="9"/>
      <c r="I278" s="9"/>
      <c r="J278" s="9"/>
      <c r="K278" s="9"/>
      <c r="L278"/>
      <c r="M278"/>
      <c r="N278"/>
      <c r="O278"/>
      <c r="P278"/>
      <c r="Q278"/>
      <c r="R278"/>
      <c r="S278"/>
      <c r="T278"/>
      <c r="U278"/>
      <c r="V278"/>
      <c r="W278"/>
      <c r="X278"/>
      <c r="Y278"/>
      <c r="Z278"/>
      <c r="AA278"/>
      <c r="AB278"/>
      <c r="AC278"/>
      <c r="AD278"/>
      <c r="AE278"/>
      <c r="AF278"/>
      <c r="AG278" s="202"/>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row>
    <row r="279" spans="1:123" s="2" customFormat="1" ht="9" hidden="1" customHeight="1" x14ac:dyDescent="0.25">
      <c r="A279"/>
      <c r="B279"/>
      <c r="C279" s="78"/>
      <c r="D279" s="79"/>
      <c r="E279"/>
      <c r="F279"/>
      <c r="G279"/>
      <c r="H279" s="9"/>
      <c r="I279" s="9"/>
      <c r="J279" s="9"/>
      <c r="K279" s="9"/>
      <c r="L279"/>
      <c r="M279"/>
      <c r="N279"/>
      <c r="O279"/>
      <c r="P279"/>
      <c r="Q279"/>
      <c r="R279"/>
      <c r="S279"/>
      <c r="T279"/>
      <c r="U279"/>
      <c r="V279"/>
      <c r="W279"/>
      <c r="X279"/>
      <c r="Y279"/>
      <c r="Z279"/>
      <c r="AA279"/>
      <c r="AB279"/>
      <c r="AC279"/>
      <c r="AD279"/>
      <c r="AE279"/>
      <c r="AF279"/>
      <c r="AG279" s="202"/>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row>
    <row r="280" spans="1:123" s="2" customFormat="1" ht="9" hidden="1" customHeight="1" x14ac:dyDescent="0.25">
      <c r="A280"/>
      <c r="B280"/>
      <c r="C280" s="78"/>
      <c r="D280" s="79"/>
      <c r="E280"/>
      <c r="F280"/>
      <c r="G280"/>
      <c r="H280" s="9"/>
      <c r="I280" s="9"/>
      <c r="J280" s="9"/>
      <c r="K280" s="9"/>
      <c r="L280"/>
      <c r="M280"/>
      <c r="N280"/>
      <c r="O280"/>
      <c r="P280"/>
      <c r="Q280"/>
      <c r="R280"/>
      <c r="S280"/>
      <c r="T280"/>
      <c r="U280"/>
      <c r="V280"/>
      <c r="W280"/>
      <c r="X280"/>
      <c r="Y280"/>
      <c r="Z280"/>
      <c r="AA280"/>
      <c r="AB280"/>
      <c r="AC280"/>
      <c r="AD280"/>
      <c r="AE280"/>
      <c r="AF280"/>
      <c r="AG280" s="202"/>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row>
    <row r="281" spans="1:123" s="2" customFormat="1" ht="9" hidden="1" customHeight="1" x14ac:dyDescent="0.25">
      <c r="A281"/>
      <c r="B281"/>
      <c r="C281" s="78"/>
      <c r="D281" s="79"/>
      <c r="E281"/>
      <c r="F281"/>
      <c r="G281"/>
      <c r="H281" s="9"/>
      <c r="I281" s="9"/>
      <c r="J281" s="9"/>
      <c r="K281" s="9"/>
      <c r="L281"/>
      <c r="M281"/>
      <c r="N281"/>
      <c r="O281"/>
      <c r="P281"/>
      <c r="Q281"/>
      <c r="R281"/>
      <c r="S281"/>
      <c r="T281"/>
      <c r="U281"/>
      <c r="V281"/>
      <c r="W281"/>
      <c r="X281"/>
      <c r="Y281"/>
      <c r="Z281"/>
      <c r="AA281"/>
      <c r="AB281"/>
      <c r="AC281"/>
      <c r="AD281"/>
      <c r="AE281"/>
      <c r="AF281"/>
      <c r="AG281" s="202"/>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row>
    <row r="282" spans="1:123" s="2" customFormat="1" ht="9" hidden="1" customHeight="1" x14ac:dyDescent="0.25">
      <c r="A282"/>
      <c r="B282"/>
      <c r="C282" s="78"/>
      <c r="D282" s="79"/>
      <c r="E282"/>
      <c r="F282"/>
      <c r="G282"/>
      <c r="H282" s="9"/>
      <c r="I282" s="9"/>
      <c r="J282" s="9"/>
      <c r="K282" s="9"/>
      <c r="L282"/>
      <c r="M282"/>
      <c r="N282"/>
      <c r="O282"/>
      <c r="P282"/>
      <c r="Q282"/>
      <c r="R282"/>
      <c r="S282"/>
      <c r="T282"/>
      <c r="U282"/>
      <c r="V282"/>
      <c r="W282"/>
      <c r="X282"/>
      <c r="Y282"/>
      <c r="Z282"/>
      <c r="AA282"/>
      <c r="AB282"/>
      <c r="AC282"/>
      <c r="AD282"/>
      <c r="AE282"/>
      <c r="AF282"/>
      <c r="AG282" s="20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row>
    <row r="283" spans="1:123" s="2" customFormat="1" ht="9" hidden="1" customHeight="1" x14ac:dyDescent="0.25">
      <c r="A283"/>
      <c r="B283"/>
      <c r="C283" s="78"/>
      <c r="D283" s="79"/>
      <c r="E283"/>
      <c r="F283"/>
      <c r="G283"/>
      <c r="H283" s="9"/>
      <c r="I283" s="9"/>
      <c r="J283" s="9"/>
      <c r="K283" s="9"/>
      <c r="L283"/>
      <c r="M283"/>
      <c r="N283"/>
      <c r="O283"/>
      <c r="P283"/>
      <c r="Q283"/>
      <c r="R283"/>
      <c r="S283"/>
      <c r="T283"/>
      <c r="U283"/>
      <c r="V283"/>
      <c r="W283"/>
      <c r="X283"/>
      <c r="Y283"/>
      <c r="Z283"/>
      <c r="AA283"/>
      <c r="AB283"/>
      <c r="AC283"/>
      <c r="AD283"/>
      <c r="AE283"/>
      <c r="AF283"/>
      <c r="AG283" s="202"/>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row>
    <row r="284" spans="1:123" s="2" customFormat="1" ht="9" hidden="1" customHeight="1" x14ac:dyDescent="0.25">
      <c r="A284"/>
      <c r="B284"/>
      <c r="C284" s="78"/>
      <c r="D284" s="79"/>
      <c r="E284"/>
      <c r="F284"/>
      <c r="G284"/>
      <c r="H284" s="9"/>
      <c r="I284" s="9"/>
      <c r="J284" s="9"/>
      <c r="K284" s="9"/>
      <c r="L284"/>
      <c r="M284"/>
      <c r="N284"/>
      <c r="O284"/>
      <c r="P284"/>
      <c r="Q284"/>
      <c r="R284"/>
      <c r="S284"/>
      <c r="T284"/>
      <c r="U284"/>
      <c r="V284"/>
      <c r="W284"/>
      <c r="X284"/>
      <c r="Y284"/>
      <c r="Z284"/>
      <c r="AA284"/>
      <c r="AB284"/>
      <c r="AC284"/>
      <c r="AD284"/>
      <c r="AE284"/>
      <c r="AF284"/>
      <c r="AG284" s="202"/>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row>
    <row r="285" spans="1:123" s="2" customFormat="1" ht="9" hidden="1" customHeight="1" x14ac:dyDescent="0.25">
      <c r="A285"/>
      <c r="B285"/>
      <c r="C285" s="78"/>
      <c r="D285" s="79"/>
      <c r="E285"/>
      <c r="F285"/>
      <c r="G285"/>
      <c r="H285" s="9"/>
      <c r="I285" s="9"/>
      <c r="J285" s="9"/>
      <c r="K285" s="9"/>
      <c r="L285"/>
      <c r="M285"/>
      <c r="N285"/>
      <c r="O285"/>
      <c r="P285"/>
      <c r="Q285"/>
      <c r="R285"/>
      <c r="S285"/>
      <c r="T285"/>
      <c r="U285"/>
      <c r="V285"/>
      <c r="W285"/>
      <c r="X285"/>
      <c r="Y285"/>
      <c r="Z285"/>
      <c r="AA285"/>
      <c r="AB285"/>
      <c r="AC285"/>
      <c r="AD285"/>
      <c r="AE285"/>
      <c r="AF285"/>
      <c r="AG285" s="202"/>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row>
    <row r="286" spans="1:123" s="2" customFormat="1" ht="9" hidden="1" customHeight="1" x14ac:dyDescent="0.25">
      <c r="A286"/>
      <c r="B286"/>
      <c r="C286" s="78"/>
      <c r="D286" s="79"/>
      <c r="E286"/>
      <c r="F286"/>
      <c r="G286"/>
      <c r="H286" s="9"/>
      <c r="I286" s="9"/>
      <c r="J286" s="9"/>
      <c r="K286" s="9"/>
      <c r="L286"/>
      <c r="M286"/>
      <c r="N286"/>
      <c r="O286"/>
      <c r="P286"/>
      <c r="Q286"/>
      <c r="R286"/>
      <c r="S286"/>
      <c r="T286"/>
      <c r="U286"/>
      <c r="V286"/>
      <c r="W286"/>
      <c r="X286"/>
      <c r="Y286"/>
      <c r="Z286"/>
      <c r="AA286"/>
      <c r="AB286"/>
      <c r="AC286"/>
      <c r="AD286"/>
      <c r="AE286"/>
      <c r="AF286"/>
      <c r="AG286" s="202"/>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row>
    <row r="287" spans="1:123" s="2" customFormat="1" ht="9" hidden="1" customHeight="1" x14ac:dyDescent="0.25">
      <c r="A287"/>
      <c r="B287"/>
      <c r="C287" s="78"/>
      <c r="D287" s="79"/>
      <c r="E287"/>
      <c r="F287"/>
      <c r="G287"/>
      <c r="H287" s="9"/>
      <c r="I287" s="9"/>
      <c r="J287" s="9"/>
      <c r="K287" s="9"/>
      <c r="L287"/>
      <c r="M287"/>
      <c r="N287"/>
      <c r="O287"/>
      <c r="P287"/>
      <c r="Q287"/>
      <c r="R287"/>
      <c r="S287"/>
      <c r="T287"/>
      <c r="U287"/>
      <c r="V287"/>
      <c r="W287"/>
      <c r="X287"/>
      <c r="Y287"/>
      <c r="Z287"/>
      <c r="AA287"/>
      <c r="AB287"/>
      <c r="AC287"/>
      <c r="AD287"/>
      <c r="AE287"/>
      <c r="AF287"/>
      <c r="AG287" s="202"/>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row>
    <row r="288" spans="1:123" s="2" customFormat="1" ht="9" hidden="1" customHeight="1" x14ac:dyDescent="0.25">
      <c r="A288"/>
      <c r="B288"/>
      <c r="C288" s="78"/>
      <c r="D288" s="79"/>
      <c r="E288"/>
      <c r="F288"/>
      <c r="G288"/>
      <c r="H288" s="9"/>
      <c r="I288" s="9"/>
      <c r="J288" s="9"/>
      <c r="K288" s="9"/>
      <c r="L288"/>
      <c r="M288"/>
      <c r="N288"/>
      <c r="O288"/>
      <c r="P288"/>
      <c r="Q288"/>
      <c r="R288"/>
      <c r="S288"/>
      <c r="T288"/>
      <c r="U288"/>
      <c r="V288"/>
      <c r="W288"/>
      <c r="X288"/>
      <c r="Y288"/>
      <c r="Z288"/>
      <c r="AA288"/>
      <c r="AB288"/>
      <c r="AC288"/>
      <c r="AD288"/>
      <c r="AE288"/>
      <c r="AF288"/>
      <c r="AG288" s="202"/>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row>
    <row r="289" spans="1:123" s="2" customFormat="1" ht="9" hidden="1" customHeight="1" x14ac:dyDescent="0.25">
      <c r="A289"/>
      <c r="B289"/>
      <c r="C289" s="78"/>
      <c r="D289" s="79"/>
      <c r="E289"/>
      <c r="F289"/>
      <c r="G289"/>
      <c r="H289" s="9"/>
      <c r="I289" s="9"/>
      <c r="J289" s="9"/>
      <c r="K289" s="9"/>
      <c r="L289"/>
      <c r="M289"/>
      <c r="N289"/>
      <c r="O289"/>
      <c r="P289"/>
      <c r="Q289"/>
      <c r="R289"/>
      <c r="S289"/>
      <c r="T289"/>
      <c r="U289"/>
      <c r="V289"/>
      <c r="W289"/>
      <c r="X289"/>
      <c r="Y289"/>
      <c r="Z289"/>
      <c r="AA289"/>
      <c r="AB289"/>
      <c r="AC289"/>
      <c r="AD289"/>
      <c r="AE289"/>
      <c r="AF289"/>
      <c r="AG289" s="202"/>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row>
    <row r="290" spans="1:123" s="2" customFormat="1" ht="9" hidden="1" customHeight="1" x14ac:dyDescent="0.25">
      <c r="A290"/>
      <c r="B290"/>
      <c r="C290" s="78"/>
      <c r="D290" s="79"/>
      <c r="E290"/>
      <c r="F290"/>
      <c r="G290"/>
      <c r="H290" s="9"/>
      <c r="I290" s="9"/>
      <c r="J290" s="9"/>
      <c r="K290" s="9"/>
      <c r="L290"/>
      <c r="M290"/>
      <c r="N290"/>
      <c r="O290"/>
      <c r="P290"/>
      <c r="Q290"/>
      <c r="R290"/>
      <c r="S290"/>
      <c r="T290"/>
      <c r="U290"/>
      <c r="V290"/>
      <c r="W290"/>
      <c r="X290"/>
      <c r="Y290"/>
      <c r="Z290"/>
      <c r="AA290"/>
      <c r="AB290"/>
      <c r="AC290"/>
      <c r="AD290"/>
      <c r="AE290"/>
      <c r="AF290"/>
      <c r="AG290" s="202"/>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row>
    <row r="291" spans="1:123" s="2" customFormat="1" ht="9" hidden="1" customHeight="1" x14ac:dyDescent="0.25">
      <c r="A291"/>
      <c r="B291"/>
      <c r="C291" s="78"/>
      <c r="D291" s="79"/>
      <c r="E291"/>
      <c r="F291"/>
      <c r="G291"/>
      <c r="H291" s="9"/>
      <c r="I291" s="9"/>
      <c r="J291" s="9"/>
      <c r="K291" s="9"/>
      <c r="L291"/>
      <c r="M291"/>
      <c r="N291"/>
      <c r="O291"/>
      <c r="P291"/>
      <c r="Q291"/>
      <c r="R291"/>
      <c r="S291"/>
      <c r="T291"/>
      <c r="U291"/>
      <c r="V291"/>
      <c r="W291"/>
      <c r="X291"/>
      <c r="Y291"/>
      <c r="Z291"/>
      <c r="AA291"/>
      <c r="AB291"/>
      <c r="AC291"/>
      <c r="AD291"/>
      <c r="AE291"/>
      <c r="AF291"/>
      <c r="AG291" s="202"/>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row>
    <row r="292" spans="1:123" s="2" customFormat="1" ht="9" hidden="1" customHeight="1" x14ac:dyDescent="0.25">
      <c r="A292"/>
      <c r="B292"/>
      <c r="C292" s="78"/>
      <c r="D292" s="79"/>
      <c r="E292"/>
      <c r="F292"/>
      <c r="G292"/>
      <c r="H292" s="9"/>
      <c r="I292" s="9"/>
      <c r="J292" s="9"/>
      <c r="K292" s="9"/>
      <c r="L292"/>
      <c r="M292"/>
      <c r="N292"/>
      <c r="O292"/>
      <c r="P292"/>
      <c r="Q292"/>
      <c r="R292"/>
      <c r="S292"/>
      <c r="T292"/>
      <c r="U292"/>
      <c r="V292"/>
      <c r="W292"/>
      <c r="X292"/>
      <c r="Y292"/>
      <c r="Z292"/>
      <c r="AA292"/>
      <c r="AB292"/>
      <c r="AC292"/>
      <c r="AD292"/>
      <c r="AE292"/>
      <c r="AF292"/>
      <c r="AG292" s="20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row>
    <row r="293" spans="1:123" s="2" customFormat="1" ht="9" hidden="1" customHeight="1" x14ac:dyDescent="0.25">
      <c r="A293"/>
      <c r="B293"/>
      <c r="C293" s="78"/>
      <c r="D293" s="79"/>
      <c r="E293"/>
      <c r="F293"/>
      <c r="G293"/>
      <c r="H293" s="9"/>
      <c r="I293" s="9"/>
      <c r="J293" s="9"/>
      <c r="K293" s="9"/>
      <c r="L293"/>
      <c r="M293"/>
      <c r="N293"/>
      <c r="O293"/>
      <c r="P293"/>
      <c r="Q293"/>
      <c r="R293"/>
      <c r="S293"/>
      <c r="T293"/>
      <c r="U293"/>
      <c r="V293"/>
      <c r="W293"/>
      <c r="X293"/>
      <c r="Y293"/>
      <c r="Z293"/>
      <c r="AA293"/>
      <c r="AB293"/>
      <c r="AC293"/>
      <c r="AD293"/>
      <c r="AE293"/>
      <c r="AF293"/>
      <c r="AG293" s="202"/>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row>
    <row r="294" spans="1:123" s="2" customFormat="1" hidden="1" x14ac:dyDescent="0.25">
      <c r="A294"/>
      <c r="B294"/>
      <c r="C294" s="78"/>
      <c r="D294" s="79"/>
      <c r="E294"/>
      <c r="F294"/>
      <c r="G294"/>
      <c r="H294" s="9"/>
      <c r="I294" s="9"/>
      <c r="J294" s="9"/>
      <c r="K294" s="9"/>
      <c r="L294"/>
      <c r="M294"/>
      <c r="N294"/>
      <c r="O294"/>
      <c r="P294"/>
      <c r="Q294"/>
      <c r="R294"/>
      <c r="S294"/>
      <c r="T294"/>
      <c r="U294"/>
      <c r="V294"/>
      <c r="W294"/>
      <c r="X294"/>
      <c r="Y294"/>
      <c r="Z294"/>
      <c r="AA294"/>
      <c r="AB294"/>
      <c r="AC294"/>
      <c r="AD294"/>
      <c r="AE294"/>
      <c r="AF294"/>
      <c r="AG294" s="202"/>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row>
    <row r="295" spans="1:123" s="2" customFormat="1" hidden="1" x14ac:dyDescent="0.25">
      <c r="A295"/>
      <c r="B295"/>
      <c r="C295" s="78"/>
      <c r="D295" s="79"/>
      <c r="E295"/>
      <c r="F295"/>
      <c r="G295"/>
      <c r="H295" s="9"/>
      <c r="I295" s="9"/>
      <c r="J295" s="9"/>
      <c r="K295" s="9"/>
      <c r="L295"/>
      <c r="M295"/>
      <c r="N295"/>
      <c r="O295"/>
      <c r="P295"/>
      <c r="Q295"/>
      <c r="R295"/>
      <c r="S295"/>
      <c r="T295"/>
      <c r="U295"/>
      <c r="V295"/>
      <c r="W295"/>
      <c r="X295"/>
      <c r="Y295"/>
      <c r="Z295"/>
      <c r="AA295"/>
      <c r="AB295"/>
      <c r="AC295"/>
      <c r="AD295"/>
      <c r="AE295"/>
      <c r="AF295"/>
      <c r="AG295" s="202"/>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row>
    <row r="296" spans="1:123" s="2" customFormat="1" hidden="1" x14ac:dyDescent="0.25">
      <c r="A296"/>
      <c r="B296"/>
      <c r="C296" s="78"/>
      <c r="D296" s="79"/>
      <c r="E296"/>
      <c r="F296"/>
      <c r="G296"/>
      <c r="H296" s="9"/>
      <c r="I296" s="9"/>
      <c r="J296" s="9"/>
      <c r="K296" s="9"/>
      <c r="L296"/>
      <c r="M296"/>
      <c r="N296"/>
      <c r="O296"/>
      <c r="P296"/>
      <c r="Q296"/>
      <c r="R296"/>
      <c r="S296"/>
      <c r="T296"/>
      <c r="U296"/>
      <c r="V296"/>
      <c r="W296"/>
      <c r="X296"/>
      <c r="Y296"/>
      <c r="Z296"/>
      <c r="AA296"/>
      <c r="AB296"/>
      <c r="AC296"/>
      <c r="AD296"/>
      <c r="AE296"/>
      <c r="AF296"/>
      <c r="AG296" s="202"/>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row>
    <row r="297" spans="1:123" s="2" customFormat="1" hidden="1" x14ac:dyDescent="0.25">
      <c r="A297"/>
      <c r="B297"/>
      <c r="C297" s="78"/>
      <c r="D297" s="79"/>
      <c r="E297"/>
      <c r="F297"/>
      <c r="G297"/>
      <c r="H297" s="9"/>
      <c r="I297" s="9"/>
      <c r="J297" s="9"/>
      <c r="K297" s="9"/>
      <c r="L297"/>
      <c r="M297"/>
      <c r="N297"/>
      <c r="O297"/>
      <c r="P297"/>
      <c r="Q297"/>
      <c r="R297"/>
      <c r="S297"/>
      <c r="T297"/>
      <c r="U297"/>
      <c r="V297"/>
      <c r="W297"/>
      <c r="X297"/>
      <c r="Y297"/>
      <c r="Z297"/>
      <c r="AA297"/>
      <c r="AB297"/>
      <c r="AC297"/>
      <c r="AD297"/>
      <c r="AE297"/>
      <c r="AF297"/>
      <c r="AG297" s="202"/>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row>
    <row r="298" spans="1:123" s="2" customFormat="1" hidden="1" x14ac:dyDescent="0.25">
      <c r="A298"/>
      <c r="B298"/>
      <c r="C298" s="78"/>
      <c r="D298" s="79"/>
      <c r="E298"/>
      <c r="F298"/>
      <c r="G298"/>
      <c r="H298" s="9"/>
      <c r="I298" s="9"/>
      <c r="J298" s="9"/>
      <c r="K298" s="9"/>
      <c r="L298"/>
      <c r="M298"/>
      <c r="N298"/>
      <c r="O298"/>
      <c r="P298"/>
      <c r="Q298"/>
      <c r="R298"/>
      <c r="S298"/>
      <c r="T298"/>
      <c r="U298"/>
      <c r="V298"/>
      <c r="W298"/>
      <c r="X298"/>
      <c r="Y298"/>
      <c r="Z298"/>
      <c r="AA298"/>
      <c r="AB298"/>
      <c r="AC298"/>
      <c r="AD298"/>
      <c r="AE298"/>
      <c r="AF298"/>
      <c r="AG298" s="202"/>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row>
    <row r="299" spans="1:123" s="2" customFormat="1" hidden="1" x14ac:dyDescent="0.25">
      <c r="A299"/>
      <c r="B299"/>
      <c r="C299" s="78"/>
      <c r="D299" s="79"/>
      <c r="E299"/>
      <c r="F299"/>
      <c r="G299"/>
      <c r="H299" s="9"/>
      <c r="I299" s="9"/>
      <c r="J299" s="9"/>
      <c r="K299" s="9"/>
      <c r="L299"/>
      <c r="M299"/>
      <c r="N299"/>
      <c r="O299"/>
      <c r="P299"/>
      <c r="Q299"/>
      <c r="R299"/>
      <c r="S299"/>
      <c r="T299"/>
      <c r="U299"/>
      <c r="V299"/>
      <c r="W299"/>
      <c r="X299"/>
      <c r="Y299"/>
      <c r="Z299"/>
      <c r="AA299"/>
      <c r="AB299"/>
      <c r="AC299"/>
      <c r="AD299"/>
      <c r="AE299"/>
      <c r="AF299"/>
      <c r="AG299" s="202"/>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row>
    <row r="300" spans="1:123" s="2" customFormat="1" hidden="1" x14ac:dyDescent="0.25">
      <c r="A300"/>
      <c r="B300"/>
      <c r="C300" s="78"/>
      <c r="D300" s="79"/>
      <c r="E300"/>
      <c r="F300"/>
      <c r="G300"/>
      <c r="H300" s="9"/>
      <c r="I300" s="9"/>
      <c r="J300" s="9"/>
      <c r="K300" s="9"/>
      <c r="L300"/>
      <c r="M300"/>
      <c r="N300"/>
      <c r="O300"/>
      <c r="P300"/>
      <c r="Q300"/>
      <c r="R300"/>
      <c r="S300"/>
      <c r="T300"/>
      <c r="U300"/>
      <c r="V300"/>
      <c r="W300"/>
      <c r="X300"/>
      <c r="Y300"/>
      <c r="Z300"/>
      <c r="AA300"/>
      <c r="AB300"/>
      <c r="AC300"/>
      <c r="AD300"/>
      <c r="AE300"/>
      <c r="AF300"/>
      <c r="AG300" s="202"/>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row>
    <row r="301" spans="1:123" s="2" customFormat="1" hidden="1" x14ac:dyDescent="0.25">
      <c r="A301"/>
      <c r="B301"/>
      <c r="C301" s="78"/>
      <c r="D301" s="79"/>
      <c r="E301"/>
      <c r="F301"/>
      <c r="G301"/>
      <c r="H301" s="9"/>
      <c r="I301" s="9"/>
      <c r="J301" s="9"/>
      <c r="K301" s="9"/>
      <c r="L301"/>
      <c r="M301"/>
      <c r="N301"/>
      <c r="O301"/>
      <c r="P301"/>
      <c r="Q301"/>
      <c r="R301"/>
      <c r="S301"/>
      <c r="T301"/>
      <c r="U301"/>
      <c r="V301"/>
      <c r="W301"/>
      <c r="X301"/>
      <c r="Y301"/>
      <c r="Z301"/>
      <c r="AA301"/>
      <c r="AB301"/>
      <c r="AC301"/>
      <c r="AD301"/>
      <c r="AE301"/>
      <c r="AF301"/>
      <c r="AG301" s="202"/>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row>
    <row r="302" spans="1:123" s="2" customFormat="1" hidden="1" x14ac:dyDescent="0.25">
      <c r="A302"/>
      <c r="B302"/>
      <c r="C302" s="78"/>
      <c r="D302" s="79"/>
      <c r="E302"/>
      <c r="F302"/>
      <c r="G302"/>
      <c r="H302" s="9"/>
      <c r="I302" s="9"/>
      <c r="J302" s="9"/>
      <c r="K302" s="9"/>
      <c r="L302"/>
      <c r="M302"/>
      <c r="N302"/>
      <c r="O302"/>
      <c r="P302"/>
      <c r="Q302"/>
      <c r="R302"/>
      <c r="S302"/>
      <c r="T302"/>
      <c r="U302"/>
      <c r="V302"/>
      <c r="W302"/>
      <c r="X302"/>
      <c r="Y302"/>
      <c r="Z302"/>
      <c r="AA302"/>
      <c r="AB302"/>
      <c r="AC302"/>
      <c r="AD302"/>
      <c r="AE302"/>
      <c r="AF302"/>
      <c r="AG302" s="2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row>
    <row r="303" spans="1:123" s="2" customFormat="1" hidden="1" x14ac:dyDescent="0.25">
      <c r="A303"/>
      <c r="B303"/>
      <c r="C303" s="78"/>
      <c r="D303" s="79"/>
      <c r="E303"/>
      <c r="F303"/>
      <c r="G303"/>
      <c r="H303" s="9"/>
      <c r="I303" s="9"/>
      <c r="J303" s="9"/>
      <c r="K303" s="9"/>
      <c r="L303"/>
      <c r="M303"/>
      <c r="N303"/>
      <c r="O303"/>
      <c r="P303"/>
      <c r="Q303"/>
      <c r="R303"/>
      <c r="S303"/>
      <c r="T303"/>
      <c r="U303"/>
      <c r="V303"/>
      <c r="W303"/>
      <c r="X303"/>
      <c r="Y303"/>
      <c r="Z303"/>
      <c r="AA303"/>
      <c r="AB303"/>
      <c r="AC303"/>
      <c r="AD303"/>
      <c r="AE303"/>
      <c r="AF303"/>
      <c r="AG303" s="202"/>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row>
    <row r="304" spans="1:123" s="2" customFormat="1" hidden="1" x14ac:dyDescent="0.25">
      <c r="A304"/>
      <c r="B304"/>
      <c r="C304" s="78"/>
      <c r="D304" s="79"/>
      <c r="E304"/>
      <c r="F304"/>
      <c r="G304"/>
      <c r="H304" s="9"/>
      <c r="I304" s="9"/>
      <c r="J304" s="9"/>
      <c r="K304" s="9"/>
      <c r="L304"/>
      <c r="M304"/>
      <c r="N304"/>
      <c r="O304"/>
      <c r="P304"/>
      <c r="Q304"/>
      <c r="R304"/>
      <c r="S304"/>
      <c r="T304"/>
      <c r="U304"/>
      <c r="V304"/>
      <c r="W304"/>
      <c r="X304"/>
      <c r="Y304"/>
      <c r="Z304"/>
      <c r="AA304"/>
      <c r="AB304"/>
      <c r="AC304"/>
      <c r="AD304"/>
      <c r="AE304"/>
      <c r="AF304"/>
      <c r="AG304" s="202"/>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row>
    <row r="305" spans="1:123" s="2" customFormat="1" hidden="1" x14ac:dyDescent="0.25">
      <c r="A305"/>
      <c r="B305"/>
      <c r="C305" s="78"/>
      <c r="D305" s="79"/>
      <c r="E305"/>
      <c r="F305"/>
      <c r="G305"/>
      <c r="H305" s="9"/>
      <c r="I305" s="9"/>
      <c r="J305" s="9"/>
      <c r="K305" s="9"/>
      <c r="L305"/>
      <c r="M305"/>
      <c r="N305"/>
      <c r="O305"/>
      <c r="P305"/>
      <c r="Q305"/>
      <c r="R305"/>
      <c r="S305"/>
      <c r="T305"/>
      <c r="U305"/>
      <c r="V305"/>
      <c r="W305"/>
      <c r="X305"/>
      <c r="Y305"/>
      <c r="Z305"/>
      <c r="AA305"/>
      <c r="AB305"/>
      <c r="AC305"/>
      <c r="AD305"/>
      <c r="AE305"/>
      <c r="AF305"/>
      <c r="AG305" s="202"/>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row>
    <row r="306" spans="1:123" s="2" customFormat="1" hidden="1" x14ac:dyDescent="0.25">
      <c r="A306"/>
      <c r="B306"/>
      <c r="C306" s="78"/>
      <c r="D306" s="79"/>
      <c r="E306"/>
      <c r="F306"/>
      <c r="G306"/>
      <c r="H306" s="9"/>
      <c r="I306" s="9"/>
      <c r="J306" s="9"/>
      <c r="K306" s="9"/>
      <c r="L306"/>
      <c r="M306"/>
      <c r="N306"/>
      <c r="O306"/>
      <c r="P306"/>
      <c r="Q306"/>
      <c r="R306"/>
      <c r="S306"/>
      <c r="T306"/>
      <c r="U306"/>
      <c r="V306"/>
      <c r="W306"/>
      <c r="X306"/>
      <c r="Y306"/>
      <c r="Z306"/>
      <c r="AA306"/>
      <c r="AB306"/>
      <c r="AC306"/>
      <c r="AD306"/>
      <c r="AE306"/>
      <c r="AF306"/>
      <c r="AG306" s="202"/>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row>
    <row r="307" spans="1:123" s="2" customFormat="1" hidden="1" x14ac:dyDescent="0.25">
      <c r="A307"/>
      <c r="B307"/>
      <c r="C307" s="78"/>
      <c r="D307" s="79"/>
      <c r="E307"/>
      <c r="F307"/>
      <c r="G307"/>
      <c r="H307" s="9"/>
      <c r="I307" s="9"/>
      <c r="J307" s="9"/>
      <c r="K307" s="9"/>
      <c r="L307"/>
      <c r="M307"/>
      <c r="N307"/>
      <c r="O307"/>
      <c r="P307"/>
      <c r="Q307"/>
      <c r="R307"/>
      <c r="S307"/>
      <c r="T307"/>
      <c r="U307"/>
      <c r="V307"/>
      <c r="W307"/>
      <c r="X307"/>
      <c r="Y307"/>
      <c r="Z307"/>
      <c r="AA307"/>
      <c r="AB307"/>
      <c r="AC307"/>
      <c r="AD307"/>
      <c r="AE307"/>
      <c r="AF307"/>
      <c r="AG307" s="202"/>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row>
    <row r="308" spans="1:123" s="2" customFormat="1" hidden="1" x14ac:dyDescent="0.25">
      <c r="A308"/>
      <c r="B308"/>
      <c r="C308" s="78"/>
      <c r="D308" s="79"/>
      <c r="E308"/>
      <c r="F308"/>
      <c r="G308"/>
      <c r="H308" s="9"/>
      <c r="I308" s="9"/>
      <c r="J308" s="9"/>
      <c r="K308" s="9"/>
      <c r="L308"/>
      <c r="M308"/>
      <c r="N308"/>
      <c r="O308"/>
      <c r="P308"/>
      <c r="Q308"/>
      <c r="R308"/>
      <c r="S308"/>
      <c r="T308"/>
      <c r="U308"/>
      <c r="V308"/>
      <c r="W308"/>
      <c r="X308"/>
      <c r="Y308"/>
      <c r="Z308"/>
      <c r="AA308"/>
      <c r="AB308"/>
      <c r="AC308"/>
      <c r="AD308"/>
      <c r="AE308"/>
      <c r="AF308"/>
      <c r="AG308" s="202"/>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row>
    <row r="309" spans="1:123" s="2" customFormat="1" hidden="1" x14ac:dyDescent="0.25">
      <c r="A309"/>
      <c r="B309"/>
      <c r="C309" s="78"/>
      <c r="D309" s="79"/>
      <c r="E309"/>
      <c r="F309"/>
      <c r="G309"/>
      <c r="H309" s="9"/>
      <c r="I309" s="9"/>
      <c r="J309" s="9"/>
      <c r="K309" s="9"/>
      <c r="L309"/>
      <c r="M309"/>
      <c r="N309"/>
      <c r="O309"/>
      <c r="P309"/>
      <c r="Q309"/>
      <c r="R309"/>
      <c r="S309"/>
      <c r="T309"/>
      <c r="U309"/>
      <c r="V309"/>
      <c r="W309"/>
      <c r="X309"/>
      <c r="Y309"/>
      <c r="Z309"/>
      <c r="AA309"/>
      <c r="AB309"/>
      <c r="AC309"/>
      <c r="AD309"/>
      <c r="AE309"/>
      <c r="AF309"/>
      <c r="AG309" s="202"/>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row>
    <row r="310" spans="1:123" s="2" customFormat="1" hidden="1" x14ac:dyDescent="0.25">
      <c r="A310"/>
      <c r="B310"/>
      <c r="C310" s="78"/>
      <c r="D310" s="79"/>
      <c r="E310"/>
      <c r="F310"/>
      <c r="G310"/>
      <c r="H310" s="9"/>
      <c r="I310" s="9"/>
      <c r="J310" s="9"/>
      <c r="K310" s="9"/>
      <c r="L310"/>
      <c r="M310"/>
      <c r="N310"/>
      <c r="O310"/>
      <c r="P310"/>
      <c r="Q310"/>
      <c r="R310"/>
      <c r="S310"/>
      <c r="T310"/>
      <c r="U310"/>
      <c r="V310"/>
      <c r="W310"/>
      <c r="X310"/>
      <c r="Y310"/>
      <c r="Z310"/>
      <c r="AA310"/>
      <c r="AB310"/>
      <c r="AC310"/>
      <c r="AD310"/>
      <c r="AE310"/>
      <c r="AF310"/>
      <c r="AG310" s="202"/>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row>
    <row r="311" spans="1:123" s="2" customFormat="1" hidden="1" x14ac:dyDescent="0.25">
      <c r="A311"/>
      <c r="B311"/>
      <c r="C311" s="78"/>
      <c r="D311" s="79"/>
      <c r="E311"/>
      <c r="F311"/>
      <c r="G311"/>
      <c r="H311" s="9"/>
      <c r="I311" s="9"/>
      <c r="J311" s="9"/>
      <c r="K311" s="9"/>
      <c r="L311"/>
      <c r="M311"/>
      <c r="N311"/>
      <c r="O311"/>
      <c r="P311"/>
      <c r="Q311"/>
      <c r="R311"/>
      <c r="S311"/>
      <c r="T311"/>
      <c r="U311"/>
      <c r="V311"/>
      <c r="W311"/>
      <c r="X311"/>
      <c r="Y311"/>
      <c r="Z311"/>
      <c r="AA311"/>
      <c r="AB311"/>
      <c r="AC311"/>
      <c r="AD311"/>
      <c r="AE311"/>
      <c r="AF311"/>
      <c r="AG311" s="202"/>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row>
    <row r="312" spans="1:123" s="2" customFormat="1" hidden="1" x14ac:dyDescent="0.25">
      <c r="A312"/>
      <c r="B312"/>
      <c r="C312" s="78"/>
      <c r="D312" s="79"/>
      <c r="E312"/>
      <c r="F312"/>
      <c r="G312"/>
      <c r="H312" s="9"/>
      <c r="I312" s="9"/>
      <c r="J312" s="9"/>
      <c r="K312" s="9"/>
      <c r="L312"/>
      <c r="M312"/>
      <c r="N312"/>
      <c r="O312"/>
      <c r="P312"/>
      <c r="Q312"/>
      <c r="R312"/>
      <c r="S312"/>
      <c r="T312"/>
      <c r="U312"/>
      <c r="V312"/>
      <c r="W312"/>
      <c r="X312"/>
      <c r="Y312"/>
      <c r="Z312"/>
      <c r="AA312"/>
      <c r="AB312"/>
      <c r="AC312"/>
      <c r="AD312"/>
      <c r="AE312"/>
      <c r="AF312"/>
      <c r="AG312" s="20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row>
    <row r="313" spans="1:123" s="2" customFormat="1" hidden="1" x14ac:dyDescent="0.25">
      <c r="A313"/>
      <c r="B313"/>
      <c r="C313" s="78"/>
      <c r="D313" s="79"/>
      <c r="E313"/>
      <c r="F313"/>
      <c r="G313"/>
      <c r="H313" s="9"/>
      <c r="I313" s="9"/>
      <c r="J313" s="9"/>
      <c r="K313" s="9"/>
      <c r="L313"/>
      <c r="M313"/>
      <c r="N313"/>
      <c r="O313"/>
      <c r="P313"/>
      <c r="Q313"/>
      <c r="R313"/>
      <c r="S313"/>
      <c r="T313"/>
      <c r="U313"/>
      <c r="V313"/>
      <c r="W313"/>
      <c r="X313"/>
      <c r="Y313"/>
      <c r="Z313"/>
      <c r="AA313"/>
      <c r="AB313"/>
      <c r="AC313"/>
      <c r="AD313"/>
      <c r="AE313"/>
      <c r="AF313"/>
      <c r="AG313" s="202"/>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row>
    <row r="314" spans="1:123" s="2" customFormat="1" hidden="1" x14ac:dyDescent="0.25">
      <c r="A314"/>
      <c r="B314"/>
      <c r="C314" s="78"/>
      <c r="D314" s="79"/>
      <c r="E314"/>
      <c r="F314"/>
      <c r="G314"/>
      <c r="H314" s="9"/>
      <c r="I314" s="9"/>
      <c r="J314" s="9"/>
      <c r="K314" s="9"/>
      <c r="L314"/>
      <c r="M314"/>
      <c r="N314"/>
      <c r="O314"/>
      <c r="P314"/>
      <c r="Q314"/>
      <c r="R314"/>
      <c r="S314"/>
      <c r="T314"/>
      <c r="U314"/>
      <c r="V314"/>
      <c r="W314"/>
      <c r="X314"/>
      <c r="Y314"/>
      <c r="Z314"/>
      <c r="AA314"/>
      <c r="AB314"/>
      <c r="AC314"/>
      <c r="AD314"/>
      <c r="AE314"/>
      <c r="AF314"/>
      <c r="AG314" s="202"/>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row>
    <row r="315" spans="1:123" s="2" customFormat="1" hidden="1" x14ac:dyDescent="0.25">
      <c r="A315"/>
      <c r="B315"/>
      <c r="C315" s="78"/>
      <c r="D315" s="79"/>
      <c r="E315"/>
      <c r="F315"/>
      <c r="G315"/>
      <c r="H315" s="9"/>
      <c r="I315" s="9"/>
      <c r="J315" s="9"/>
      <c r="K315" s="9"/>
      <c r="L315"/>
      <c r="M315"/>
      <c r="N315"/>
      <c r="O315"/>
      <c r="P315"/>
      <c r="Q315"/>
      <c r="R315"/>
      <c r="S315"/>
      <c r="T315"/>
      <c r="U315"/>
      <c r="V315"/>
      <c r="W315"/>
      <c r="X315"/>
      <c r="Y315"/>
      <c r="Z315"/>
      <c r="AA315"/>
      <c r="AB315"/>
      <c r="AC315"/>
      <c r="AD315"/>
      <c r="AE315"/>
      <c r="AF315"/>
      <c r="AG315" s="202"/>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row>
    <row r="316" spans="1:123" s="2" customFormat="1" hidden="1" x14ac:dyDescent="0.25">
      <c r="A316"/>
      <c r="B316"/>
      <c r="C316" s="78"/>
      <c r="D316" s="79"/>
      <c r="E316"/>
      <c r="F316"/>
      <c r="G316"/>
      <c r="H316" s="9"/>
      <c r="I316" s="9"/>
      <c r="J316" s="9"/>
      <c r="K316" s="9"/>
      <c r="L316"/>
      <c r="M316"/>
      <c r="N316"/>
      <c r="O316"/>
      <c r="P316"/>
      <c r="Q316"/>
      <c r="R316"/>
      <c r="S316"/>
      <c r="T316"/>
      <c r="U316"/>
      <c r="V316"/>
      <c r="W316"/>
      <c r="X316"/>
      <c r="Y316"/>
      <c r="Z316"/>
      <c r="AA316"/>
      <c r="AB316"/>
      <c r="AC316"/>
      <c r="AD316"/>
      <c r="AE316"/>
      <c r="AF316"/>
      <c r="AG316" s="202"/>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row>
    <row r="317" spans="1:123" s="2" customFormat="1" hidden="1" x14ac:dyDescent="0.25">
      <c r="A317"/>
      <c r="B317"/>
      <c r="C317" s="78"/>
      <c r="D317" s="79"/>
      <c r="E317"/>
      <c r="F317"/>
      <c r="G317"/>
      <c r="H317" s="9"/>
      <c r="I317" s="9"/>
      <c r="J317" s="9"/>
      <c r="K317" s="9"/>
      <c r="L317"/>
      <c r="M317"/>
      <c r="N317"/>
      <c r="O317"/>
      <c r="P317"/>
      <c r="Q317"/>
      <c r="R317"/>
      <c r="S317"/>
      <c r="T317"/>
      <c r="U317"/>
      <c r="V317"/>
      <c r="W317"/>
      <c r="X317"/>
      <c r="Y317"/>
      <c r="Z317"/>
      <c r="AA317"/>
      <c r="AB317"/>
      <c r="AC317"/>
      <c r="AD317"/>
      <c r="AE317"/>
      <c r="AF317"/>
      <c r="AG317" s="202"/>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row>
    <row r="318" spans="1:123" s="2" customFormat="1" hidden="1" x14ac:dyDescent="0.25">
      <c r="A318"/>
      <c r="B318"/>
      <c r="C318" s="78"/>
      <c r="D318" s="79"/>
      <c r="E318"/>
      <c r="F318"/>
      <c r="G318"/>
      <c r="H318" s="9"/>
      <c r="I318" s="9"/>
      <c r="J318" s="9"/>
      <c r="K318" s="9"/>
      <c r="L318"/>
      <c r="M318"/>
      <c r="N318"/>
      <c r="O318"/>
      <c r="P318"/>
      <c r="Q318"/>
      <c r="R318"/>
      <c r="S318"/>
      <c r="T318"/>
      <c r="U318"/>
      <c r="V318"/>
      <c r="W318"/>
      <c r="X318"/>
      <c r="Y318"/>
      <c r="Z318"/>
      <c r="AA318"/>
      <c r="AB318"/>
      <c r="AC318"/>
      <c r="AD318"/>
      <c r="AE318"/>
      <c r="AF318"/>
      <c r="AG318" s="202"/>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row>
    <row r="319" spans="1:123" s="2" customFormat="1" hidden="1" x14ac:dyDescent="0.25">
      <c r="A319"/>
      <c r="B319"/>
      <c r="C319" s="78"/>
      <c r="D319" s="79"/>
      <c r="E319"/>
      <c r="F319"/>
      <c r="G319"/>
      <c r="H319" s="9"/>
      <c r="I319" s="9"/>
      <c r="J319" s="9"/>
      <c r="K319" s="9"/>
      <c r="L319"/>
      <c r="M319"/>
      <c r="N319"/>
      <c r="O319"/>
      <c r="P319"/>
      <c r="Q319"/>
      <c r="R319"/>
      <c r="S319"/>
      <c r="T319"/>
      <c r="U319"/>
      <c r="V319"/>
      <c r="W319"/>
      <c r="X319"/>
      <c r="Y319"/>
      <c r="Z319"/>
      <c r="AA319"/>
      <c r="AB319"/>
      <c r="AC319"/>
      <c r="AD319"/>
      <c r="AE319"/>
      <c r="AF319"/>
      <c r="AG319" s="202"/>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row>
    <row r="320" spans="1:123" s="2" customFormat="1" hidden="1" x14ac:dyDescent="0.25">
      <c r="A320"/>
      <c r="B320"/>
      <c r="C320" s="78"/>
      <c r="D320" s="79"/>
      <c r="E320"/>
      <c r="F320"/>
      <c r="G320"/>
      <c r="H320" s="9"/>
      <c r="I320" s="9"/>
      <c r="J320" s="9"/>
      <c r="K320" s="9"/>
      <c r="L320"/>
      <c r="M320"/>
      <c r="N320"/>
      <c r="O320"/>
      <c r="P320"/>
      <c r="Q320"/>
      <c r="R320"/>
      <c r="S320"/>
      <c r="T320"/>
      <c r="U320"/>
      <c r="V320"/>
      <c r="W320"/>
      <c r="X320"/>
      <c r="Y320"/>
      <c r="Z320"/>
      <c r="AA320"/>
      <c r="AB320"/>
      <c r="AC320"/>
      <c r="AD320"/>
      <c r="AE320"/>
      <c r="AF320"/>
      <c r="AG320" s="202"/>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row>
    <row r="321" spans="1:123" s="2" customFormat="1" hidden="1" x14ac:dyDescent="0.25">
      <c r="A321"/>
      <c r="B321"/>
      <c r="C321" s="78"/>
      <c r="D321" s="79"/>
      <c r="E321"/>
      <c r="F321"/>
      <c r="G321"/>
      <c r="H321" s="9"/>
      <c r="I321" s="9"/>
      <c r="J321" s="9"/>
      <c r="K321" s="9"/>
      <c r="L321"/>
      <c r="M321"/>
      <c r="N321"/>
      <c r="O321"/>
      <c r="P321"/>
      <c r="Q321"/>
      <c r="R321"/>
      <c r="S321"/>
      <c r="T321"/>
      <c r="U321"/>
      <c r="V321"/>
      <c r="W321"/>
      <c r="X321"/>
      <c r="Y321"/>
      <c r="Z321"/>
      <c r="AA321"/>
      <c r="AB321"/>
      <c r="AC321"/>
      <c r="AD321"/>
      <c r="AE321"/>
      <c r="AF321"/>
      <c r="AG321" s="202"/>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row>
    <row r="322" spans="1:123" s="2" customFormat="1" hidden="1" x14ac:dyDescent="0.25">
      <c r="A322"/>
      <c r="B322"/>
      <c r="C322" s="78"/>
      <c r="D322" s="79"/>
      <c r="E322"/>
      <c r="F322"/>
      <c r="G322"/>
      <c r="H322" s="9"/>
      <c r="I322" s="9"/>
      <c r="J322" s="9"/>
      <c r="K322" s="9"/>
      <c r="L322"/>
      <c r="M322"/>
      <c r="N322"/>
      <c r="O322"/>
      <c r="P322"/>
      <c r="Q322"/>
      <c r="R322"/>
      <c r="S322"/>
      <c r="T322"/>
      <c r="U322"/>
      <c r="V322"/>
      <c r="W322"/>
      <c r="X322"/>
      <c r="Y322"/>
      <c r="Z322"/>
      <c r="AA322"/>
      <c r="AB322"/>
      <c r="AC322"/>
      <c r="AD322"/>
      <c r="AE322"/>
      <c r="AF322"/>
      <c r="AG322" s="20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row>
    <row r="323" spans="1:123" s="2" customFormat="1" hidden="1" x14ac:dyDescent="0.25">
      <c r="A323"/>
      <c r="B323"/>
      <c r="C323" s="78"/>
      <c r="D323" s="79"/>
      <c r="E323"/>
      <c r="F323"/>
      <c r="G323"/>
      <c r="H323" s="9"/>
      <c r="I323" s="9"/>
      <c r="J323" s="9"/>
      <c r="K323" s="9"/>
      <c r="L323"/>
      <c r="M323"/>
      <c r="N323"/>
      <c r="O323"/>
      <c r="P323"/>
      <c r="Q323"/>
      <c r="R323"/>
      <c r="S323"/>
      <c r="T323"/>
      <c r="U323"/>
      <c r="V323"/>
      <c r="W323"/>
      <c r="X323"/>
      <c r="Y323"/>
      <c r="Z323"/>
      <c r="AA323"/>
      <c r="AB323"/>
      <c r="AC323"/>
      <c r="AD323"/>
      <c r="AE323"/>
      <c r="AF323"/>
      <c r="AG323" s="202"/>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row>
    <row r="324" spans="1:123" s="2" customFormat="1" hidden="1" x14ac:dyDescent="0.25">
      <c r="A324"/>
      <c r="B324"/>
      <c r="C324" s="78"/>
      <c r="D324" s="79"/>
      <c r="E324"/>
      <c r="F324"/>
      <c r="G324"/>
      <c r="H324" s="9"/>
      <c r="I324" s="9"/>
      <c r="J324" s="9"/>
      <c r="K324" s="9"/>
      <c r="L324"/>
      <c r="M324"/>
      <c r="N324"/>
      <c r="O324"/>
      <c r="P324"/>
      <c r="Q324"/>
      <c r="R324"/>
      <c r="S324"/>
      <c r="T324"/>
      <c r="U324"/>
      <c r="V324"/>
      <c r="W324"/>
      <c r="X324"/>
      <c r="Y324"/>
      <c r="Z324"/>
      <c r="AA324"/>
      <c r="AB324"/>
      <c r="AC324"/>
      <c r="AD324"/>
      <c r="AE324"/>
      <c r="AF324"/>
      <c r="AG324" s="202"/>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row>
    <row r="325" spans="1:123" s="2" customFormat="1" hidden="1" x14ac:dyDescent="0.25">
      <c r="A325"/>
      <c r="B325"/>
      <c r="C325" s="78"/>
      <c r="D325" s="79"/>
      <c r="E325"/>
      <c r="F325"/>
      <c r="G325"/>
      <c r="H325" s="9"/>
      <c r="I325" s="9"/>
      <c r="J325" s="9"/>
      <c r="K325" s="9"/>
      <c r="L325"/>
      <c r="M325"/>
      <c r="N325"/>
      <c r="O325"/>
      <c r="P325"/>
      <c r="Q325"/>
      <c r="R325"/>
      <c r="S325"/>
      <c r="T325"/>
      <c r="U325"/>
      <c r="V325"/>
      <c r="W325"/>
      <c r="X325"/>
      <c r="Y325"/>
      <c r="Z325"/>
      <c r="AA325"/>
      <c r="AB325"/>
      <c r="AC325"/>
      <c r="AD325"/>
      <c r="AE325"/>
      <c r="AF325"/>
      <c r="AG325" s="202"/>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row>
    <row r="326" spans="1:123" s="2" customFormat="1" hidden="1" x14ac:dyDescent="0.25">
      <c r="A326"/>
      <c r="B326"/>
      <c r="C326" s="78"/>
      <c r="D326" s="79"/>
      <c r="E326"/>
      <c r="F326"/>
      <c r="G326"/>
      <c r="H326" s="9"/>
      <c r="I326" s="9"/>
      <c r="J326" s="9"/>
      <c r="K326" s="9"/>
      <c r="L326"/>
      <c r="M326"/>
      <c r="N326"/>
      <c r="O326"/>
      <c r="P326"/>
      <c r="Q326"/>
      <c r="R326"/>
      <c r="S326"/>
      <c r="T326"/>
      <c r="U326"/>
      <c r="V326"/>
      <c r="W326"/>
      <c r="X326"/>
      <c r="Y326"/>
      <c r="Z326"/>
      <c r="AA326"/>
      <c r="AB326"/>
      <c r="AC326"/>
      <c r="AD326"/>
      <c r="AE326"/>
      <c r="AF326"/>
      <c r="AG326" s="202"/>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row>
    <row r="327" spans="1:123" s="2" customFormat="1" hidden="1" x14ac:dyDescent="0.25">
      <c r="A327"/>
      <c r="B327"/>
      <c r="C327" s="78"/>
      <c r="D327" s="79"/>
      <c r="E327"/>
      <c r="F327"/>
      <c r="G327"/>
      <c r="H327" s="9"/>
      <c r="I327" s="9"/>
      <c r="J327" s="9"/>
      <c r="K327" s="9"/>
      <c r="L327"/>
      <c r="M327"/>
      <c r="N327"/>
      <c r="O327"/>
      <c r="P327"/>
      <c r="Q327"/>
      <c r="R327"/>
      <c r="S327"/>
      <c r="T327"/>
      <c r="U327"/>
      <c r="V327"/>
      <c r="W327"/>
      <c r="X327"/>
      <c r="Y327"/>
      <c r="Z327"/>
      <c r="AA327"/>
      <c r="AB327"/>
      <c r="AC327"/>
      <c r="AD327"/>
      <c r="AE327"/>
      <c r="AF327"/>
      <c r="AG327" s="202"/>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row>
    <row r="328" spans="1:123" s="2" customFormat="1" hidden="1" x14ac:dyDescent="0.25">
      <c r="A328"/>
      <c r="B328"/>
      <c r="C328" s="78"/>
      <c r="D328" s="79"/>
      <c r="E328"/>
      <c r="F328"/>
      <c r="G328"/>
      <c r="H328" s="9"/>
      <c r="I328" s="9"/>
      <c r="J328" s="9"/>
      <c r="K328" s="9"/>
      <c r="L328"/>
      <c r="M328"/>
      <c r="N328"/>
      <c r="O328"/>
      <c r="P328"/>
      <c r="Q328"/>
      <c r="R328"/>
      <c r="S328"/>
      <c r="T328"/>
      <c r="U328"/>
      <c r="V328"/>
      <c r="W328"/>
      <c r="X328"/>
      <c r="Y328"/>
      <c r="Z328"/>
      <c r="AA328"/>
      <c r="AB328"/>
      <c r="AC328"/>
      <c r="AD328"/>
      <c r="AE328"/>
      <c r="AF328"/>
      <c r="AG328" s="202"/>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row>
    <row r="329" spans="1:123" s="2" customFormat="1" hidden="1" x14ac:dyDescent="0.25">
      <c r="A329"/>
      <c r="B329"/>
      <c r="C329" s="78"/>
      <c r="D329" s="79"/>
      <c r="E329"/>
      <c r="F329"/>
      <c r="G329"/>
      <c r="H329" s="9"/>
      <c r="I329" s="9"/>
      <c r="J329" s="9"/>
      <c r="K329" s="9"/>
      <c r="L329"/>
      <c r="M329"/>
      <c r="N329"/>
      <c r="O329"/>
      <c r="P329"/>
      <c r="Q329"/>
      <c r="R329"/>
      <c r="S329"/>
      <c r="T329"/>
      <c r="U329"/>
      <c r="V329"/>
      <c r="W329"/>
      <c r="X329"/>
      <c r="Y329"/>
      <c r="Z329"/>
      <c r="AA329"/>
      <c r="AB329"/>
      <c r="AC329"/>
      <c r="AD329"/>
      <c r="AE329"/>
      <c r="AF329"/>
      <c r="AG329" s="202"/>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row>
    <row r="330" spans="1:123" s="2" customFormat="1" hidden="1" x14ac:dyDescent="0.25">
      <c r="A330"/>
      <c r="B330"/>
      <c r="C330" s="78"/>
      <c r="D330" s="79"/>
      <c r="E330"/>
      <c r="F330"/>
      <c r="G330"/>
      <c r="H330" s="9"/>
      <c r="I330" s="9"/>
      <c r="J330" s="9"/>
      <c r="K330" s="9"/>
      <c r="L330"/>
      <c r="M330"/>
      <c r="N330"/>
      <c r="O330"/>
      <c r="P330"/>
      <c r="Q330"/>
      <c r="R330"/>
      <c r="S330"/>
      <c r="T330"/>
      <c r="U330"/>
      <c r="V330"/>
      <c r="W330"/>
      <c r="X330"/>
      <c r="Y330"/>
      <c r="Z330"/>
      <c r="AA330"/>
      <c r="AB330"/>
      <c r="AC330"/>
      <c r="AD330"/>
      <c r="AE330"/>
      <c r="AF330"/>
      <c r="AG330" s="202"/>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row>
    <row r="331" spans="1:123" s="2" customFormat="1" hidden="1" x14ac:dyDescent="0.25">
      <c r="A331"/>
      <c r="B331"/>
      <c r="C331" s="78"/>
      <c r="D331" s="79"/>
      <c r="E331"/>
      <c r="F331"/>
      <c r="G331"/>
      <c r="H331" s="9"/>
      <c r="I331" s="9"/>
      <c r="J331" s="9"/>
      <c r="K331" s="9"/>
      <c r="L331"/>
      <c r="M331"/>
      <c r="N331"/>
      <c r="O331"/>
      <c r="P331"/>
      <c r="Q331"/>
      <c r="R331"/>
      <c r="S331"/>
      <c r="T331"/>
      <c r="U331"/>
      <c r="V331"/>
      <c r="W331"/>
      <c r="X331"/>
      <c r="Y331"/>
      <c r="Z331"/>
      <c r="AA331"/>
      <c r="AB331"/>
      <c r="AC331"/>
      <c r="AD331"/>
      <c r="AE331"/>
      <c r="AF331"/>
      <c r="AG331" s="202"/>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row>
    <row r="332" spans="1:123" s="2" customFormat="1" hidden="1" x14ac:dyDescent="0.25">
      <c r="A332"/>
      <c r="B332"/>
      <c r="C332" s="78"/>
      <c r="D332" s="79"/>
      <c r="E332"/>
      <c r="F332"/>
      <c r="G332"/>
      <c r="H332" s="9"/>
      <c r="I332" s="9"/>
      <c r="J332" s="9"/>
      <c r="K332" s="9"/>
      <c r="L332"/>
      <c r="M332"/>
      <c r="N332"/>
      <c r="O332"/>
      <c r="P332"/>
      <c r="Q332"/>
      <c r="R332"/>
      <c r="S332"/>
      <c r="T332"/>
      <c r="U332"/>
      <c r="V332"/>
      <c r="W332"/>
      <c r="X332"/>
      <c r="Y332"/>
      <c r="Z332"/>
      <c r="AA332"/>
      <c r="AB332"/>
      <c r="AC332"/>
      <c r="AD332"/>
      <c r="AE332"/>
      <c r="AF332"/>
      <c r="AG332" s="20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row>
    <row r="333" spans="1:123" s="2" customFormat="1" hidden="1" x14ac:dyDescent="0.25">
      <c r="A333"/>
      <c r="B333"/>
      <c r="C333" s="78"/>
      <c r="D333" s="79"/>
      <c r="E333"/>
      <c r="F333"/>
      <c r="G333"/>
      <c r="H333" s="9"/>
      <c r="I333" s="9"/>
      <c r="J333" s="9"/>
      <c r="K333" s="9"/>
      <c r="L333"/>
      <c r="M333"/>
      <c r="N333"/>
      <c r="O333"/>
      <c r="P333"/>
      <c r="Q333"/>
      <c r="R333"/>
      <c r="S333"/>
      <c r="T333"/>
      <c r="U333"/>
      <c r="V333"/>
      <c r="W333"/>
      <c r="X333"/>
      <c r="Y333"/>
      <c r="Z333"/>
      <c r="AA333"/>
      <c r="AB333"/>
      <c r="AC333"/>
      <c r="AD333"/>
      <c r="AE333"/>
      <c r="AF333"/>
      <c r="AG333" s="202"/>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row>
    <row r="334" spans="1:123" s="2" customFormat="1" hidden="1" x14ac:dyDescent="0.25">
      <c r="A334"/>
      <c r="B334"/>
      <c r="C334" s="78"/>
      <c r="D334" s="79"/>
      <c r="E334"/>
      <c r="F334"/>
      <c r="G334"/>
      <c r="H334" s="9"/>
      <c r="I334" s="9"/>
      <c r="J334" s="9"/>
      <c r="K334" s="9"/>
      <c r="L334"/>
      <c r="M334"/>
      <c r="N334"/>
      <c r="O334"/>
      <c r="P334"/>
      <c r="Q334"/>
      <c r="R334"/>
      <c r="S334"/>
      <c r="T334"/>
      <c r="U334"/>
      <c r="V334"/>
      <c r="W334"/>
      <c r="X334"/>
      <c r="Y334"/>
      <c r="Z334"/>
      <c r="AA334"/>
      <c r="AB334"/>
      <c r="AC334"/>
      <c r="AD334"/>
      <c r="AE334"/>
      <c r="AF334"/>
      <c r="AG334" s="202"/>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row>
    <row r="335" spans="1:123" s="2" customFormat="1" hidden="1" x14ac:dyDescent="0.25">
      <c r="A335"/>
      <c r="B335"/>
      <c r="C335" s="78"/>
      <c r="D335" s="79"/>
      <c r="E335"/>
      <c r="F335"/>
      <c r="G335"/>
      <c r="H335" s="9"/>
      <c r="I335" s="9"/>
      <c r="J335" s="9"/>
      <c r="K335" s="9"/>
      <c r="L335"/>
      <c r="M335"/>
      <c r="N335"/>
      <c r="O335"/>
      <c r="P335"/>
      <c r="Q335"/>
      <c r="R335"/>
      <c r="S335"/>
      <c r="T335"/>
      <c r="U335"/>
      <c r="V335"/>
      <c r="W335"/>
      <c r="X335"/>
      <c r="Y335"/>
      <c r="Z335"/>
      <c r="AA335"/>
      <c r="AB335"/>
      <c r="AC335"/>
      <c r="AD335"/>
      <c r="AE335"/>
      <c r="AF335"/>
      <c r="AG335" s="202"/>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row>
    <row r="336" spans="1:123" s="2" customFormat="1" hidden="1" x14ac:dyDescent="0.25">
      <c r="A336"/>
      <c r="B336"/>
      <c r="C336" s="78"/>
      <c r="D336" s="79"/>
      <c r="E336"/>
      <c r="F336"/>
      <c r="G336"/>
      <c r="H336" s="9"/>
      <c r="I336" s="9"/>
      <c r="J336" s="9"/>
      <c r="K336" s="9"/>
      <c r="L336"/>
      <c r="M336"/>
      <c r="N336"/>
      <c r="O336"/>
      <c r="P336"/>
      <c r="Q336"/>
      <c r="R336"/>
      <c r="S336"/>
      <c r="T336"/>
      <c r="U336"/>
      <c r="V336"/>
      <c r="W336"/>
      <c r="X336"/>
      <c r="Y336"/>
      <c r="Z336"/>
      <c r="AA336"/>
      <c r="AB336"/>
      <c r="AC336"/>
      <c r="AD336"/>
      <c r="AE336"/>
      <c r="AF336"/>
      <c r="AG336" s="202"/>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row>
    <row r="337" spans="1:123" s="2" customFormat="1" hidden="1" x14ac:dyDescent="0.25">
      <c r="A337"/>
      <c r="B337"/>
      <c r="C337" s="78"/>
      <c r="D337" s="79"/>
      <c r="E337"/>
      <c r="F337"/>
      <c r="G337"/>
      <c r="H337" s="9"/>
      <c r="I337" s="9"/>
      <c r="J337" s="9"/>
      <c r="K337" s="9"/>
      <c r="L337"/>
      <c r="M337"/>
      <c r="N337"/>
      <c r="O337"/>
      <c r="P337"/>
      <c r="Q337"/>
      <c r="R337"/>
      <c r="S337"/>
      <c r="T337"/>
      <c r="U337"/>
      <c r="V337"/>
      <c r="W337"/>
      <c r="X337"/>
      <c r="Y337"/>
      <c r="Z337"/>
      <c r="AA337"/>
      <c r="AB337"/>
      <c r="AC337"/>
      <c r="AD337"/>
      <c r="AE337"/>
      <c r="AF337"/>
      <c r="AG337" s="202"/>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row>
    <row r="338" spans="1:123" s="2" customFormat="1" hidden="1" x14ac:dyDescent="0.25">
      <c r="A338"/>
      <c r="B338"/>
      <c r="C338" s="78"/>
      <c r="D338" s="79"/>
      <c r="E338"/>
      <c r="F338"/>
      <c r="G338"/>
      <c r="H338" s="9"/>
      <c r="I338" s="9"/>
      <c r="J338" s="9"/>
      <c r="K338" s="9"/>
      <c r="L338"/>
      <c r="M338"/>
      <c r="N338"/>
      <c r="O338"/>
      <c r="P338"/>
      <c r="Q338"/>
      <c r="R338"/>
      <c r="S338"/>
      <c r="T338"/>
      <c r="U338"/>
      <c r="V338"/>
      <c r="W338"/>
      <c r="X338"/>
      <c r="Y338"/>
      <c r="Z338"/>
      <c r="AA338"/>
      <c r="AB338"/>
      <c r="AC338"/>
      <c r="AD338"/>
      <c r="AE338"/>
      <c r="AF338"/>
      <c r="AG338" s="202"/>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row>
    <row r="339" spans="1:123" s="2" customFormat="1" hidden="1" x14ac:dyDescent="0.25">
      <c r="A339"/>
      <c r="B339"/>
      <c r="C339" s="78"/>
      <c r="D339" s="79"/>
      <c r="E339"/>
      <c r="F339"/>
      <c r="G339"/>
      <c r="H339" s="9"/>
      <c r="I339" s="9"/>
      <c r="J339" s="9"/>
      <c r="K339" s="9"/>
      <c r="L339"/>
      <c r="M339"/>
      <c r="N339"/>
      <c r="O339"/>
      <c r="P339"/>
      <c r="Q339"/>
      <c r="R339"/>
      <c r="S339"/>
      <c r="T339"/>
      <c r="U339"/>
      <c r="V339"/>
      <c r="W339"/>
      <c r="X339"/>
      <c r="Y339"/>
      <c r="Z339"/>
      <c r="AA339"/>
      <c r="AB339"/>
      <c r="AC339"/>
      <c r="AD339"/>
      <c r="AE339"/>
      <c r="AF339"/>
      <c r="AG339" s="202"/>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row>
    <row r="340" spans="1:123" s="2" customFormat="1" hidden="1" x14ac:dyDescent="0.25">
      <c r="A340"/>
      <c r="B340"/>
      <c r="C340" s="78"/>
      <c r="D340" s="79"/>
      <c r="E340"/>
      <c r="F340"/>
      <c r="G340"/>
      <c r="H340" s="9"/>
      <c r="I340" s="9"/>
      <c r="J340" s="9"/>
      <c r="K340" s="9"/>
      <c r="L340"/>
      <c r="M340"/>
      <c r="N340"/>
      <c r="O340"/>
      <c r="P340"/>
      <c r="Q340"/>
      <c r="R340"/>
      <c r="S340"/>
      <c r="T340"/>
      <c r="U340"/>
      <c r="V340"/>
      <c r="W340"/>
      <c r="X340"/>
      <c r="Y340"/>
      <c r="Z340"/>
      <c r="AA340"/>
      <c r="AB340"/>
      <c r="AC340"/>
      <c r="AD340"/>
      <c r="AE340"/>
      <c r="AF340"/>
      <c r="AG340" s="202"/>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row>
    <row r="341" spans="1:123" s="2" customFormat="1" hidden="1" x14ac:dyDescent="0.25">
      <c r="A341"/>
      <c r="B341"/>
      <c r="C341" s="78"/>
      <c r="D341" s="79"/>
      <c r="E341"/>
      <c r="F341"/>
      <c r="G341"/>
      <c r="H341" s="9"/>
      <c r="I341" s="9"/>
      <c r="J341" s="9"/>
      <c r="K341" s="9"/>
      <c r="L341"/>
      <c r="M341"/>
      <c r="N341"/>
      <c r="O341"/>
      <c r="P341"/>
      <c r="Q341"/>
      <c r="R341"/>
      <c r="S341"/>
      <c r="T341"/>
      <c r="U341"/>
      <c r="V341"/>
      <c r="W341"/>
      <c r="X341"/>
      <c r="Y341"/>
      <c r="Z341"/>
      <c r="AA341"/>
      <c r="AB341"/>
      <c r="AC341"/>
      <c r="AD341"/>
      <c r="AE341"/>
      <c r="AF341"/>
      <c r="AG341" s="202"/>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row>
    <row r="342" spans="1:123" s="2" customFormat="1" hidden="1" x14ac:dyDescent="0.25">
      <c r="A342"/>
      <c r="B342"/>
      <c r="C342" s="78"/>
      <c r="D342" s="79"/>
      <c r="E342"/>
      <c r="F342"/>
      <c r="G342"/>
      <c r="H342" s="9"/>
      <c r="I342" s="9"/>
      <c r="J342" s="9"/>
      <c r="K342" s="9"/>
      <c r="L342"/>
      <c r="M342"/>
      <c r="N342"/>
      <c r="O342"/>
      <c r="P342"/>
      <c r="Q342"/>
      <c r="R342"/>
      <c r="S342"/>
      <c r="T342"/>
      <c r="U342"/>
      <c r="V342"/>
      <c r="W342"/>
      <c r="X342"/>
      <c r="Y342"/>
      <c r="Z342"/>
      <c r="AA342"/>
      <c r="AB342"/>
      <c r="AC342"/>
      <c r="AD342"/>
      <c r="AE342"/>
      <c r="AF342"/>
      <c r="AG342" s="20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row>
    <row r="343" spans="1:123" s="2" customFormat="1" hidden="1" x14ac:dyDescent="0.25">
      <c r="A343"/>
      <c r="B343"/>
      <c r="C343" s="78"/>
      <c r="D343" s="79"/>
      <c r="E343"/>
      <c r="F343"/>
      <c r="G343"/>
      <c r="H343" s="9"/>
      <c r="I343" s="9"/>
      <c r="J343" s="9"/>
      <c r="K343" s="9"/>
      <c r="L343"/>
      <c r="M343"/>
      <c r="N343"/>
      <c r="O343"/>
      <c r="P343"/>
      <c r="Q343"/>
      <c r="R343"/>
      <c r="S343"/>
      <c r="T343"/>
      <c r="U343"/>
      <c r="V343"/>
      <c r="W343"/>
      <c r="X343"/>
      <c r="Y343"/>
      <c r="Z343"/>
      <c r="AA343"/>
      <c r="AB343"/>
      <c r="AC343"/>
      <c r="AD343"/>
      <c r="AE343"/>
      <c r="AF343"/>
      <c r="AG343" s="202"/>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row>
    <row r="344" spans="1:123" s="2" customFormat="1" hidden="1" x14ac:dyDescent="0.25">
      <c r="A344"/>
      <c r="B344"/>
      <c r="C344" s="78"/>
      <c r="D344" s="79"/>
      <c r="E344"/>
      <c r="F344"/>
      <c r="G344"/>
      <c r="H344" s="9"/>
      <c r="I344" s="9"/>
      <c r="J344" s="9"/>
      <c r="K344" s="9"/>
      <c r="L344"/>
      <c r="M344"/>
      <c r="N344"/>
      <c r="O344"/>
      <c r="P344"/>
      <c r="Q344"/>
      <c r="R344"/>
      <c r="S344"/>
      <c r="T344"/>
      <c r="U344"/>
      <c r="V344"/>
      <c r="W344"/>
      <c r="X344"/>
      <c r="Y344"/>
      <c r="Z344"/>
      <c r="AA344"/>
      <c r="AB344"/>
      <c r="AC344"/>
      <c r="AD344"/>
      <c r="AE344"/>
      <c r="AF344"/>
      <c r="AG344" s="202"/>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row>
    <row r="345" spans="1:123" s="2" customFormat="1" hidden="1" x14ac:dyDescent="0.25">
      <c r="A345"/>
      <c r="B345"/>
      <c r="C345" s="78"/>
      <c r="D345" s="79"/>
      <c r="E345"/>
      <c r="F345"/>
      <c r="G345"/>
      <c r="H345" s="9"/>
      <c r="I345" s="9"/>
      <c r="J345" s="9"/>
      <c r="K345" s="9"/>
      <c r="L345"/>
      <c r="M345"/>
      <c r="N345"/>
      <c r="O345"/>
      <c r="P345"/>
      <c r="Q345"/>
      <c r="R345"/>
      <c r="S345"/>
      <c r="T345"/>
      <c r="U345"/>
      <c r="V345"/>
      <c r="W345"/>
      <c r="X345"/>
      <c r="Y345"/>
      <c r="Z345"/>
      <c r="AA345"/>
      <c r="AB345"/>
      <c r="AC345"/>
      <c r="AD345"/>
      <c r="AE345"/>
      <c r="AF345"/>
      <c r="AG345" s="202"/>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row>
    <row r="346" spans="1:123" s="2" customFormat="1" hidden="1" x14ac:dyDescent="0.25">
      <c r="A346"/>
      <c r="B346"/>
      <c r="C346" s="78"/>
      <c r="D346" s="79"/>
      <c r="E346"/>
      <c r="F346"/>
      <c r="G346"/>
      <c r="H346" s="9"/>
      <c r="I346" s="9"/>
      <c r="J346" s="9"/>
      <c r="K346" s="9"/>
      <c r="L346"/>
      <c r="M346"/>
      <c r="N346"/>
      <c r="O346"/>
      <c r="P346"/>
      <c r="Q346"/>
      <c r="R346"/>
      <c r="S346"/>
      <c r="T346"/>
      <c r="U346"/>
      <c r="V346"/>
      <c r="W346"/>
      <c r="X346"/>
      <c r="Y346"/>
      <c r="Z346"/>
      <c r="AA346"/>
      <c r="AB346"/>
      <c r="AC346"/>
      <c r="AD346"/>
      <c r="AE346"/>
      <c r="AF346"/>
      <c r="AG346" s="202"/>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row>
    <row r="347" spans="1:123" s="2" customFormat="1" hidden="1" x14ac:dyDescent="0.25">
      <c r="A347"/>
      <c r="B347"/>
      <c r="C347" s="78"/>
      <c r="D347" s="79"/>
      <c r="E347"/>
      <c r="F347"/>
      <c r="G347"/>
      <c r="H347" s="9"/>
      <c r="I347" s="9"/>
      <c r="J347" s="9"/>
      <c r="K347" s="9"/>
      <c r="L347"/>
      <c r="M347"/>
      <c r="N347"/>
      <c r="O347"/>
      <c r="P347"/>
      <c r="Q347"/>
      <c r="R347"/>
      <c r="S347"/>
      <c r="T347"/>
      <c r="U347"/>
      <c r="V347"/>
      <c r="W347"/>
      <c r="X347"/>
      <c r="Y347"/>
      <c r="Z347"/>
      <c r="AA347"/>
      <c r="AB347"/>
      <c r="AC347"/>
      <c r="AD347"/>
      <c r="AE347"/>
      <c r="AF347"/>
      <c r="AG347" s="202"/>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row>
    <row r="348" spans="1:123" s="2" customFormat="1" hidden="1" x14ac:dyDescent="0.25">
      <c r="A348"/>
      <c r="B348"/>
      <c r="C348" s="78"/>
      <c r="D348" s="79"/>
      <c r="E348"/>
      <c r="F348"/>
      <c r="G348"/>
      <c r="H348" s="9"/>
      <c r="I348" s="9"/>
      <c r="J348" s="9"/>
      <c r="K348" s="9"/>
      <c r="L348"/>
      <c r="M348"/>
      <c r="N348"/>
      <c r="O348"/>
      <c r="P348"/>
      <c r="Q348"/>
      <c r="R348"/>
      <c r="S348"/>
      <c r="T348"/>
      <c r="U348"/>
      <c r="V348"/>
      <c r="W348"/>
      <c r="X348"/>
      <c r="Y348"/>
      <c r="Z348"/>
      <c r="AA348"/>
      <c r="AB348"/>
      <c r="AC348"/>
      <c r="AD348"/>
      <c r="AE348"/>
      <c r="AF348"/>
      <c r="AG348" s="202"/>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row>
    <row r="349" spans="1:123" s="2" customFormat="1" hidden="1" x14ac:dyDescent="0.25">
      <c r="A349"/>
      <c r="B349"/>
      <c r="C349" s="78"/>
      <c r="D349" s="79"/>
      <c r="E349"/>
      <c r="F349"/>
      <c r="G349"/>
      <c r="H349" s="9"/>
      <c r="I349" s="9"/>
      <c r="J349" s="9"/>
      <c r="K349" s="9"/>
      <c r="L349"/>
      <c r="M349"/>
      <c r="N349"/>
      <c r="O349"/>
      <c r="P349"/>
      <c r="Q349"/>
      <c r="R349"/>
      <c r="S349"/>
      <c r="T349"/>
      <c r="U349"/>
      <c r="V349"/>
      <c r="W349"/>
      <c r="X349"/>
      <c r="Y349"/>
      <c r="Z349"/>
      <c r="AA349"/>
      <c r="AB349"/>
      <c r="AC349"/>
      <c r="AD349"/>
      <c r="AE349"/>
      <c r="AF349"/>
      <c r="AG349" s="202"/>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row>
    <row r="350" spans="1:123" s="2" customFormat="1" hidden="1" x14ac:dyDescent="0.25">
      <c r="A350"/>
      <c r="B350"/>
      <c r="C350" s="78"/>
      <c r="D350" s="79"/>
      <c r="E350"/>
      <c r="F350"/>
      <c r="G350"/>
      <c r="H350" s="9"/>
      <c r="I350" s="9"/>
      <c r="J350" s="9"/>
      <c r="K350" s="9"/>
      <c r="L350"/>
      <c r="M350"/>
      <c r="N350"/>
      <c r="O350"/>
      <c r="P350"/>
      <c r="Q350"/>
      <c r="R350"/>
      <c r="S350"/>
      <c r="T350"/>
      <c r="U350"/>
      <c r="V350"/>
      <c r="W350"/>
      <c r="X350"/>
      <c r="Y350"/>
      <c r="Z350"/>
      <c r="AA350"/>
      <c r="AB350"/>
      <c r="AC350"/>
      <c r="AD350"/>
      <c r="AE350"/>
      <c r="AF350"/>
      <c r="AG350" s="202"/>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row>
    <row r="351" spans="1:123" s="2" customFormat="1" hidden="1" x14ac:dyDescent="0.25">
      <c r="A351"/>
      <c r="B351"/>
      <c r="C351" s="78"/>
      <c r="D351" s="79"/>
      <c r="E351"/>
      <c r="F351"/>
      <c r="G351"/>
      <c r="H351" s="9"/>
      <c r="I351" s="9"/>
      <c r="J351" s="9"/>
      <c r="K351" s="9"/>
      <c r="L351"/>
      <c r="M351"/>
      <c r="N351"/>
      <c r="O351"/>
      <c r="P351"/>
      <c r="Q351"/>
      <c r="R351"/>
      <c r="S351"/>
      <c r="T351"/>
      <c r="U351"/>
      <c r="V351"/>
      <c r="W351"/>
      <c r="X351"/>
      <c r="Y351"/>
      <c r="Z351"/>
      <c r="AA351"/>
      <c r="AB351"/>
      <c r="AC351"/>
      <c r="AD351"/>
      <c r="AE351"/>
      <c r="AF351"/>
      <c r="AG351" s="202"/>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row>
    <row r="352" spans="1:123" s="2" customFormat="1" hidden="1" x14ac:dyDescent="0.25">
      <c r="A352"/>
      <c r="B352"/>
      <c r="C352" s="78"/>
      <c r="D352" s="79"/>
      <c r="E352"/>
      <c r="F352"/>
      <c r="G352"/>
      <c r="H352" s="9"/>
      <c r="I352" s="9"/>
      <c r="J352" s="9"/>
      <c r="K352" s="9"/>
      <c r="L352"/>
      <c r="M352"/>
      <c r="N352"/>
      <c r="O352"/>
      <c r="P352"/>
      <c r="Q352"/>
      <c r="R352"/>
      <c r="S352"/>
      <c r="T352"/>
      <c r="U352"/>
      <c r="V352"/>
      <c r="W352"/>
      <c r="X352"/>
      <c r="Y352"/>
      <c r="Z352"/>
      <c r="AA352"/>
      <c r="AB352"/>
      <c r="AC352"/>
      <c r="AD352"/>
      <c r="AE352"/>
      <c r="AF352"/>
      <c r="AG352" s="20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row>
    <row r="353" spans="1:123" s="2" customFormat="1" hidden="1" x14ac:dyDescent="0.25">
      <c r="A353"/>
      <c r="B353"/>
      <c r="C353" s="78"/>
      <c r="D353" s="79"/>
      <c r="E353"/>
      <c r="F353"/>
      <c r="G353"/>
      <c r="H353" s="9"/>
      <c r="I353" s="9"/>
      <c r="J353" s="9"/>
      <c r="K353" s="9"/>
      <c r="L353"/>
      <c r="M353"/>
      <c r="N353"/>
      <c r="O353"/>
      <c r="P353"/>
      <c r="Q353"/>
      <c r="R353"/>
      <c r="S353"/>
      <c r="T353"/>
      <c r="U353"/>
      <c r="V353"/>
      <c r="W353"/>
      <c r="X353"/>
      <c r="Y353"/>
      <c r="Z353"/>
      <c r="AA353"/>
      <c r="AB353"/>
      <c r="AC353"/>
      <c r="AD353"/>
      <c r="AE353"/>
      <c r="AF353"/>
      <c r="AG353" s="202"/>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row>
    <row r="354" spans="1:123" s="2" customFormat="1" hidden="1" x14ac:dyDescent="0.25">
      <c r="A354"/>
      <c r="B354"/>
      <c r="C354" s="78"/>
      <c r="D354" s="79"/>
      <c r="E354"/>
      <c r="F354"/>
      <c r="G354"/>
      <c r="H354" s="9"/>
      <c r="I354" s="9"/>
      <c r="J354" s="9"/>
      <c r="K354" s="9"/>
      <c r="L354"/>
      <c r="M354"/>
      <c r="N354"/>
      <c r="O354"/>
      <c r="P354"/>
      <c r="Q354"/>
      <c r="R354"/>
      <c r="S354"/>
      <c r="T354"/>
      <c r="U354"/>
      <c r="V354"/>
      <c r="W354"/>
      <c r="X354"/>
      <c r="Y354"/>
      <c r="Z354"/>
      <c r="AA354"/>
      <c r="AB354"/>
      <c r="AC354"/>
      <c r="AD354"/>
      <c r="AE354"/>
      <c r="AF354"/>
      <c r="AG354" s="202"/>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row>
    <row r="355" spans="1:123" s="2" customFormat="1" hidden="1" x14ac:dyDescent="0.25">
      <c r="A355"/>
      <c r="B355"/>
      <c r="C355" s="78"/>
      <c r="D355" s="79"/>
      <c r="E355"/>
      <c r="F355"/>
      <c r="G355"/>
      <c r="H355" s="9"/>
      <c r="I355" s="9"/>
      <c r="J355" s="9"/>
      <c r="K355" s="9"/>
      <c r="L355"/>
      <c r="M355"/>
      <c r="N355"/>
      <c r="O355"/>
      <c r="P355"/>
      <c r="Q355"/>
      <c r="R355"/>
      <c r="S355"/>
      <c r="T355"/>
      <c r="U355"/>
      <c r="V355"/>
      <c r="W355"/>
      <c r="X355"/>
      <c r="Y355"/>
      <c r="Z355"/>
      <c r="AA355"/>
      <c r="AB355"/>
      <c r="AC355"/>
      <c r="AD355"/>
      <c r="AE355"/>
      <c r="AF355"/>
      <c r="AG355" s="202"/>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row>
    <row r="356" spans="1:123" s="2" customFormat="1" hidden="1" x14ac:dyDescent="0.25">
      <c r="A356"/>
      <c r="B356"/>
      <c r="C356" s="78"/>
      <c r="D356" s="79"/>
      <c r="E356"/>
      <c r="F356"/>
      <c r="G356"/>
      <c r="H356" s="9"/>
      <c r="I356" s="9"/>
      <c r="J356" s="9"/>
      <c r="K356" s="9"/>
      <c r="L356"/>
      <c r="M356"/>
      <c r="N356"/>
      <c r="O356"/>
      <c r="P356"/>
      <c r="Q356"/>
      <c r="R356"/>
      <c r="S356"/>
      <c r="T356"/>
      <c r="U356"/>
      <c r="V356"/>
      <c r="W356"/>
      <c r="X356"/>
      <c r="Y356"/>
      <c r="Z356"/>
      <c r="AA356"/>
      <c r="AB356"/>
      <c r="AC356"/>
      <c r="AD356"/>
      <c r="AE356"/>
      <c r="AF356"/>
      <c r="AG356" s="202"/>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row>
    <row r="357" spans="1:123" s="2" customFormat="1" hidden="1" x14ac:dyDescent="0.25">
      <c r="A357"/>
      <c r="B357"/>
      <c r="C357" s="78"/>
      <c r="D357" s="79"/>
      <c r="E357"/>
      <c r="F357"/>
      <c r="G357"/>
      <c r="H357" s="9"/>
      <c r="I357" s="9"/>
      <c r="J357" s="9"/>
      <c r="K357" s="9"/>
      <c r="L357"/>
      <c r="M357"/>
      <c r="N357"/>
      <c r="O357"/>
      <c r="P357"/>
      <c r="Q357"/>
      <c r="R357"/>
      <c r="S357"/>
      <c r="T357"/>
      <c r="U357"/>
      <c r="V357"/>
      <c r="W357"/>
      <c r="X357"/>
      <c r="Y357"/>
      <c r="Z357"/>
      <c r="AA357"/>
      <c r="AB357"/>
      <c r="AC357"/>
      <c r="AD357"/>
      <c r="AE357"/>
      <c r="AF357"/>
      <c r="AG357" s="202"/>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row>
    <row r="358" spans="1:123" s="2" customFormat="1" hidden="1" x14ac:dyDescent="0.25">
      <c r="A358"/>
      <c r="B358"/>
      <c r="C358" s="78"/>
      <c r="D358" s="79"/>
      <c r="E358"/>
      <c r="F358"/>
      <c r="G358"/>
      <c r="H358" s="9"/>
      <c r="I358" s="9"/>
      <c r="J358" s="9"/>
      <c r="K358" s="9"/>
      <c r="L358"/>
      <c r="M358"/>
      <c r="N358"/>
      <c r="O358"/>
      <c r="P358"/>
      <c r="Q358"/>
      <c r="R358"/>
      <c r="S358"/>
      <c r="T358"/>
      <c r="U358"/>
      <c r="V358"/>
      <c r="W358"/>
      <c r="X358"/>
      <c r="Y358"/>
      <c r="Z358"/>
      <c r="AA358"/>
      <c r="AB358"/>
      <c r="AC358"/>
      <c r="AD358"/>
      <c r="AE358"/>
      <c r="AF358"/>
      <c r="AG358" s="202"/>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row>
    <row r="359" spans="1:123" s="2" customFormat="1" hidden="1" x14ac:dyDescent="0.25">
      <c r="A359"/>
      <c r="B359"/>
      <c r="C359" s="78"/>
      <c r="D359" s="79"/>
      <c r="E359"/>
      <c r="F359"/>
      <c r="G359"/>
      <c r="H359" s="9"/>
      <c r="I359" s="9"/>
      <c r="J359" s="9"/>
      <c r="K359" s="9"/>
      <c r="L359"/>
      <c r="M359"/>
      <c r="N359"/>
      <c r="O359"/>
      <c r="P359"/>
      <c r="Q359"/>
      <c r="R359"/>
      <c r="S359"/>
      <c r="T359"/>
      <c r="U359"/>
      <c r="V359"/>
      <c r="W359"/>
      <c r="X359"/>
      <c r="Y359"/>
      <c r="Z359"/>
      <c r="AA359"/>
      <c r="AB359"/>
      <c r="AC359"/>
      <c r="AD359"/>
      <c r="AE359"/>
      <c r="AF359"/>
      <c r="AG359" s="202"/>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row>
    <row r="360" spans="1:123" s="2" customFormat="1" hidden="1" x14ac:dyDescent="0.25">
      <c r="A360"/>
      <c r="B360"/>
      <c r="C360" s="78"/>
      <c r="D360" s="79"/>
      <c r="E360"/>
      <c r="F360"/>
      <c r="G360"/>
      <c r="H360" s="9"/>
      <c r="I360" s="9"/>
      <c r="J360" s="9"/>
      <c r="K360" s="9"/>
      <c r="L360"/>
      <c r="M360"/>
      <c r="N360"/>
      <c r="O360"/>
      <c r="P360"/>
      <c r="Q360"/>
      <c r="R360"/>
      <c r="S360"/>
      <c r="T360"/>
      <c r="U360"/>
      <c r="V360"/>
      <c r="W360"/>
      <c r="X360"/>
      <c r="Y360"/>
      <c r="Z360"/>
      <c r="AA360"/>
      <c r="AB360"/>
      <c r="AC360"/>
      <c r="AD360"/>
      <c r="AE360"/>
      <c r="AF360"/>
      <c r="AG360" s="202"/>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row>
    <row r="361" spans="1:123" s="2" customFormat="1" ht="16.5" thickBot="1" x14ac:dyDescent="0.3">
      <c r="C361" s="94"/>
      <c r="D361" s="94"/>
      <c r="H361" s="26"/>
      <c r="I361" s="26"/>
      <c r="J361" s="26"/>
      <c r="K361" s="26"/>
      <c r="AG361" s="200"/>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row>
    <row r="362" spans="1:123" s="2" customFormat="1" ht="15.75" x14ac:dyDescent="0.25">
      <c r="C362" s="249" t="s">
        <v>2</v>
      </c>
      <c r="D362" s="250"/>
      <c r="F362" s="248"/>
      <c r="G362" s="248"/>
      <c r="H362" s="248"/>
      <c r="I362" s="26"/>
      <c r="J362" s="26"/>
      <c r="K362" s="26"/>
      <c r="AG362" s="200"/>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row>
    <row r="363" spans="1:123" x14ac:dyDescent="0.25">
      <c r="A363" s="2"/>
      <c r="B363" s="2"/>
      <c r="C363" s="80" t="s">
        <v>182</v>
      </c>
      <c r="D363" s="79">
        <f>COUNTIF(A:A, "60")</f>
        <v>110</v>
      </c>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00"/>
    </row>
    <row r="364" spans="1:123" x14ac:dyDescent="0.25">
      <c r="A364" s="2"/>
      <c r="B364" s="2"/>
      <c r="C364" s="80" t="s">
        <v>185</v>
      </c>
      <c r="D364" s="79">
        <f>COUNTIF(A:A, "180")</f>
        <v>79</v>
      </c>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00"/>
    </row>
    <row r="365" spans="1:123" x14ac:dyDescent="0.25">
      <c r="A365" s="2"/>
      <c r="B365" s="2"/>
      <c r="C365" s="80" t="s">
        <v>301</v>
      </c>
      <c r="D365" s="79">
        <f>COUNTIF(A:A, "240")</f>
        <v>12</v>
      </c>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00"/>
    </row>
    <row r="366" spans="1:123" ht="15.75" thickBot="1" x14ac:dyDescent="0.3">
      <c r="A366" s="2"/>
      <c r="B366" s="2"/>
      <c r="C366" s="81" t="s">
        <v>302</v>
      </c>
      <c r="D366" s="82">
        <f>COUNTIF(A:A, "300")</f>
        <v>33</v>
      </c>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00"/>
    </row>
    <row r="367" spans="1:123"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00"/>
    </row>
    <row r="368" spans="1:123"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00"/>
    </row>
    <row r="369" spans="1:34" ht="23.25" customHeight="1" x14ac:dyDescent="0.25">
      <c r="AG369" s="202"/>
    </row>
    <row r="370" spans="1:34" ht="27" customHeight="1" x14ac:dyDescent="0.25">
      <c r="A370" s="15" t="s">
        <v>32</v>
      </c>
      <c r="B370" s="6" t="s">
        <v>0</v>
      </c>
      <c r="C370" s="3" t="s">
        <v>3</v>
      </c>
      <c r="D370" s="3" t="s">
        <v>75</v>
      </c>
      <c r="E370" s="3" t="s">
        <v>4</v>
      </c>
      <c r="F370" s="3" t="s">
        <v>6</v>
      </c>
      <c r="G370" s="3" t="s">
        <v>5</v>
      </c>
      <c r="H370" s="3" t="s">
        <v>7</v>
      </c>
      <c r="I370" s="3" t="s">
        <v>8</v>
      </c>
      <c r="J370" s="3" t="s">
        <v>9</v>
      </c>
      <c r="K370" s="3" t="s">
        <v>10</v>
      </c>
      <c r="L370" s="3" t="s">
        <v>11</v>
      </c>
      <c r="M370" s="3" t="s">
        <v>12</v>
      </c>
      <c r="N370" s="3" t="s">
        <v>13</v>
      </c>
      <c r="O370" s="3" t="s">
        <v>430</v>
      </c>
      <c r="P370" s="3" t="s">
        <v>429</v>
      </c>
      <c r="Q370" s="3" t="s">
        <v>15</v>
      </c>
      <c r="R370" s="3" t="s">
        <v>16</v>
      </c>
      <c r="S370" s="3" t="s">
        <v>17</v>
      </c>
      <c r="T370" s="3" t="s">
        <v>18</v>
      </c>
      <c r="U370" s="3" t="s">
        <v>19</v>
      </c>
      <c r="V370" s="3" t="s">
        <v>20</v>
      </c>
      <c r="W370" s="3" t="s">
        <v>21</v>
      </c>
      <c r="X370" s="3" t="s">
        <v>22</v>
      </c>
      <c r="Y370" s="3" t="s">
        <v>23</v>
      </c>
      <c r="Z370" s="3" t="s">
        <v>24</v>
      </c>
      <c r="AA370" s="3" t="s">
        <v>25</v>
      </c>
      <c r="AB370" s="3" t="s">
        <v>26</v>
      </c>
      <c r="AC370" s="3" t="s">
        <v>27</v>
      </c>
      <c r="AD370" s="3" t="s">
        <v>28</v>
      </c>
      <c r="AE370" s="3" t="s">
        <v>29</v>
      </c>
      <c r="AF370" s="3" t="s">
        <v>148</v>
      </c>
      <c r="AG370" s="3" t="s">
        <v>30</v>
      </c>
      <c r="AH370" s="203" t="s">
        <v>31</v>
      </c>
    </row>
    <row r="371" spans="1:34" ht="15.95" customHeight="1" x14ac:dyDescent="0.25">
      <c r="A371" s="115">
        <v>60</v>
      </c>
      <c r="B371" s="112"/>
      <c r="C371" s="228" t="s">
        <v>84</v>
      </c>
      <c r="D371" s="34">
        <v>2008</v>
      </c>
      <c r="E371" s="112" t="s">
        <v>54</v>
      </c>
      <c r="F371" s="112" t="s">
        <v>60</v>
      </c>
      <c r="G371" s="35" t="s">
        <v>178</v>
      </c>
      <c r="H371" s="112">
        <v>19.5</v>
      </c>
      <c r="I371" s="34">
        <v>0.5</v>
      </c>
      <c r="J371" s="34">
        <v>20</v>
      </c>
      <c r="K371" s="35" t="s">
        <v>178</v>
      </c>
      <c r="L371" s="112" t="s">
        <v>66</v>
      </c>
      <c r="M371" s="112" t="s">
        <v>67</v>
      </c>
      <c r="N371" s="112" t="s">
        <v>59</v>
      </c>
      <c r="O371" s="35" t="s">
        <v>169</v>
      </c>
      <c r="P371" s="35"/>
      <c r="Q371" s="112">
        <v>247.3</v>
      </c>
      <c r="R371" s="112">
        <v>0.4</v>
      </c>
      <c r="S371" s="112">
        <v>127.4</v>
      </c>
      <c r="T371" s="112">
        <v>0.6</v>
      </c>
      <c r="U371" s="112"/>
      <c r="V371" s="112"/>
      <c r="W371" s="112"/>
      <c r="X371" s="112"/>
      <c r="Y371" s="112"/>
      <c r="Z371" s="112"/>
      <c r="AA371" s="112"/>
      <c r="AB371" s="112"/>
      <c r="AC371" s="112"/>
      <c r="AD371" s="112"/>
      <c r="AE371" s="112"/>
      <c r="AF371" s="112"/>
      <c r="AG371" s="112">
        <v>0.46</v>
      </c>
      <c r="AH371" s="205">
        <v>0.41</v>
      </c>
    </row>
    <row r="372" spans="1:34" ht="15.95" customHeight="1" x14ac:dyDescent="0.25">
      <c r="A372" s="115">
        <v>60</v>
      </c>
      <c r="B372" s="112"/>
      <c r="C372" s="228" t="s">
        <v>84</v>
      </c>
      <c r="D372" s="34">
        <v>2008</v>
      </c>
      <c r="E372" s="112" t="s">
        <v>37</v>
      </c>
      <c r="F372" s="112" t="s">
        <v>60</v>
      </c>
      <c r="G372" s="35" t="s">
        <v>178</v>
      </c>
      <c r="H372" s="112">
        <v>19.5</v>
      </c>
      <c r="I372" s="34">
        <v>0.5</v>
      </c>
      <c r="J372" s="34">
        <v>20</v>
      </c>
      <c r="K372" s="35" t="s">
        <v>178</v>
      </c>
      <c r="L372" s="112" t="s">
        <v>66</v>
      </c>
      <c r="M372" s="112" t="s">
        <v>67</v>
      </c>
      <c r="N372" s="112" t="s">
        <v>59</v>
      </c>
      <c r="O372" s="35" t="s">
        <v>169</v>
      </c>
      <c r="P372" s="35"/>
      <c r="Q372" s="112">
        <v>246.5</v>
      </c>
      <c r="R372" s="112">
        <v>0.5</v>
      </c>
      <c r="S372" s="112">
        <v>124.6</v>
      </c>
      <c r="T372" s="112">
        <v>1.5</v>
      </c>
      <c r="U372" s="112"/>
      <c r="V372" s="112"/>
      <c r="W372" s="112"/>
      <c r="X372" s="112"/>
      <c r="Y372" s="112"/>
      <c r="Z372" s="112"/>
      <c r="AA372" s="112"/>
      <c r="AB372" s="112"/>
      <c r="AC372" s="112"/>
      <c r="AD372" s="112"/>
      <c r="AE372" s="112"/>
      <c r="AF372" s="112"/>
      <c r="AG372" s="112">
        <v>0.49</v>
      </c>
      <c r="AH372" s="205">
        <v>0.14000000000000001</v>
      </c>
    </row>
    <row r="373" spans="1:34" ht="15.95" customHeight="1" x14ac:dyDescent="0.25">
      <c r="A373" s="115">
        <v>60</v>
      </c>
      <c r="B373" s="115" t="s">
        <v>132</v>
      </c>
      <c r="C373" s="228" t="s">
        <v>84</v>
      </c>
      <c r="D373" s="34">
        <v>2008</v>
      </c>
      <c r="E373" s="112" t="s">
        <v>44</v>
      </c>
      <c r="F373" s="112" t="s">
        <v>130</v>
      </c>
      <c r="G373" s="35" t="s">
        <v>178</v>
      </c>
      <c r="H373" s="112">
        <v>19.5</v>
      </c>
      <c r="I373" s="34">
        <v>0.5</v>
      </c>
      <c r="J373" s="34">
        <v>20</v>
      </c>
      <c r="K373" s="35" t="s">
        <v>178</v>
      </c>
      <c r="L373" s="112" t="s">
        <v>66</v>
      </c>
      <c r="M373" s="112" t="s">
        <v>67</v>
      </c>
      <c r="N373" s="112" t="s">
        <v>59</v>
      </c>
      <c r="O373" s="35" t="s">
        <v>169</v>
      </c>
      <c r="P373" s="35"/>
      <c r="Q373" s="112">
        <v>174.3</v>
      </c>
      <c r="R373" s="112">
        <v>0.9</v>
      </c>
      <c r="S373" s="112">
        <v>79.900000000000006</v>
      </c>
      <c r="T373" s="112">
        <v>0.6</v>
      </c>
      <c r="U373" s="112"/>
      <c r="V373" s="112"/>
      <c r="W373" s="112"/>
      <c r="X373" s="112"/>
      <c r="Y373" s="112"/>
      <c r="Z373" s="112"/>
      <c r="AA373" s="112"/>
      <c r="AB373" s="112"/>
      <c r="AC373" s="112"/>
      <c r="AD373" s="112"/>
      <c r="AE373" s="112"/>
      <c r="AF373" s="112"/>
      <c r="AG373" s="112">
        <v>0.45</v>
      </c>
      <c r="AH373" s="205">
        <v>0.11</v>
      </c>
    </row>
    <row r="374" spans="1:34" ht="15.95" customHeight="1" x14ac:dyDescent="0.25">
      <c r="A374" s="115">
        <v>300</v>
      </c>
      <c r="B374" s="112"/>
      <c r="C374" s="228" t="s">
        <v>84</v>
      </c>
      <c r="D374" s="34">
        <v>2008</v>
      </c>
      <c r="E374" s="112" t="s">
        <v>54</v>
      </c>
      <c r="F374" s="112" t="s">
        <v>60</v>
      </c>
      <c r="G374" s="35" t="s">
        <v>178</v>
      </c>
      <c r="H374" s="112">
        <v>19.5</v>
      </c>
      <c r="I374" s="34">
        <v>0.5</v>
      </c>
      <c r="J374" s="34">
        <v>20</v>
      </c>
      <c r="K374" s="35" t="s">
        <v>178</v>
      </c>
      <c r="L374" s="112" t="s">
        <v>66</v>
      </c>
      <c r="M374" s="112" t="s">
        <v>67</v>
      </c>
      <c r="N374" s="112" t="s">
        <v>59</v>
      </c>
      <c r="O374" s="35" t="s">
        <v>169</v>
      </c>
      <c r="P374" s="35"/>
      <c r="Q374" s="112">
        <v>139.9</v>
      </c>
      <c r="R374" s="112">
        <v>0.7</v>
      </c>
      <c r="S374" s="112">
        <v>82.8</v>
      </c>
      <c r="T374" s="112">
        <v>1.2</v>
      </c>
      <c r="U374" s="112"/>
      <c r="V374" s="112"/>
      <c r="W374" s="112"/>
      <c r="X374" s="112"/>
      <c r="Y374" s="112"/>
      <c r="Z374" s="112"/>
      <c r="AA374" s="112"/>
      <c r="AB374" s="112"/>
      <c r="AC374" s="112"/>
      <c r="AD374" s="112"/>
      <c r="AE374" s="112"/>
      <c r="AF374" s="112"/>
      <c r="AG374" s="112">
        <v>0.56000000000000005</v>
      </c>
      <c r="AH374" s="205">
        <v>0.31</v>
      </c>
    </row>
    <row r="375" spans="1:34" ht="15.95" customHeight="1" x14ac:dyDescent="0.25">
      <c r="A375" s="115">
        <v>300</v>
      </c>
      <c r="B375" s="112"/>
      <c r="C375" s="228" t="s">
        <v>84</v>
      </c>
      <c r="D375" s="34">
        <v>2008</v>
      </c>
      <c r="E375" s="112" t="s">
        <v>37</v>
      </c>
      <c r="F375" s="112" t="s">
        <v>60</v>
      </c>
      <c r="G375" s="35" t="s">
        <v>178</v>
      </c>
      <c r="H375" s="112">
        <v>19.5</v>
      </c>
      <c r="I375" s="34">
        <v>0.5</v>
      </c>
      <c r="J375" s="34">
        <v>20</v>
      </c>
      <c r="K375" s="35" t="s">
        <v>178</v>
      </c>
      <c r="L375" s="112" t="s">
        <v>66</v>
      </c>
      <c r="M375" s="112" t="s">
        <v>67</v>
      </c>
      <c r="N375" s="112" t="s">
        <v>59</v>
      </c>
      <c r="O375" s="35" t="s">
        <v>169</v>
      </c>
      <c r="P375" s="35"/>
      <c r="Q375" s="112">
        <v>117.2</v>
      </c>
      <c r="R375" s="112">
        <v>1.9</v>
      </c>
      <c r="S375" s="112">
        <v>71</v>
      </c>
      <c r="T375" s="112">
        <v>0.4</v>
      </c>
      <c r="U375" s="112"/>
      <c r="V375" s="112"/>
      <c r="W375" s="112"/>
      <c r="X375" s="112"/>
      <c r="Y375" s="112"/>
      <c r="Z375" s="112"/>
      <c r="AA375" s="112"/>
      <c r="AB375" s="112"/>
      <c r="AC375" s="112"/>
      <c r="AD375" s="112"/>
      <c r="AE375" s="112"/>
      <c r="AF375" s="112"/>
      <c r="AG375" s="112">
        <v>0.71</v>
      </c>
      <c r="AH375" s="205">
        <v>0.1</v>
      </c>
    </row>
    <row r="376" spans="1:34" ht="15.95" customHeight="1" x14ac:dyDescent="0.25">
      <c r="A376" s="115">
        <v>300</v>
      </c>
      <c r="B376" s="112"/>
      <c r="C376" s="228" t="s">
        <v>84</v>
      </c>
      <c r="D376" s="34">
        <v>2008</v>
      </c>
      <c r="E376" s="112" t="s">
        <v>44</v>
      </c>
      <c r="F376" s="112" t="s">
        <v>130</v>
      </c>
      <c r="G376" s="35" t="s">
        <v>178</v>
      </c>
      <c r="H376" s="112">
        <v>19.5</v>
      </c>
      <c r="I376" s="34">
        <v>0.5</v>
      </c>
      <c r="J376" s="34">
        <v>20</v>
      </c>
      <c r="K376" s="35" t="s">
        <v>178</v>
      </c>
      <c r="L376" s="112" t="s">
        <v>66</v>
      </c>
      <c r="M376" s="112" t="s">
        <v>67</v>
      </c>
      <c r="N376" s="112" t="s">
        <v>59</v>
      </c>
      <c r="O376" s="35" t="s">
        <v>169</v>
      </c>
      <c r="P376" s="35"/>
      <c r="Q376" s="112">
        <v>93.1</v>
      </c>
      <c r="R376" s="112">
        <v>0.2</v>
      </c>
      <c r="S376" s="112">
        <v>70</v>
      </c>
      <c r="T376" s="112">
        <v>0.2</v>
      </c>
      <c r="U376" s="112"/>
      <c r="V376" s="112"/>
      <c r="W376" s="112"/>
      <c r="X376" s="112"/>
      <c r="Y376" s="112"/>
      <c r="Z376" s="112"/>
      <c r="AA376" s="112"/>
      <c r="AB376" s="112"/>
      <c r="AC376" s="112"/>
      <c r="AD376" s="112"/>
      <c r="AE376" s="112"/>
      <c r="AF376" s="112"/>
      <c r="AG376" s="112">
        <v>0.69</v>
      </c>
      <c r="AH376" s="205">
        <v>0.18</v>
      </c>
    </row>
    <row r="377" spans="1:34" ht="15.95" customHeight="1" x14ac:dyDescent="0.25">
      <c r="A377" s="115">
        <v>180</v>
      </c>
      <c r="B377" s="112"/>
      <c r="C377" s="228" t="s">
        <v>84</v>
      </c>
      <c r="D377" s="34">
        <v>2008</v>
      </c>
      <c r="E377" s="112" t="s">
        <v>54</v>
      </c>
      <c r="F377" s="112" t="s">
        <v>60</v>
      </c>
      <c r="G377" s="35" t="s">
        <v>178</v>
      </c>
      <c r="H377" s="112">
        <v>19.5</v>
      </c>
      <c r="I377" s="34">
        <v>0.5</v>
      </c>
      <c r="J377" s="34">
        <v>20</v>
      </c>
      <c r="K377" s="35" t="s">
        <v>178</v>
      </c>
      <c r="L377" s="112" t="s">
        <v>66</v>
      </c>
      <c r="M377" s="112" t="s">
        <v>67</v>
      </c>
      <c r="N377" s="112" t="s">
        <v>59</v>
      </c>
      <c r="O377" s="35" t="s">
        <v>169</v>
      </c>
      <c r="P377" s="35"/>
      <c r="Q377" s="112">
        <v>172.5</v>
      </c>
      <c r="R377" s="112">
        <v>0.7</v>
      </c>
      <c r="S377" s="112">
        <v>88.1</v>
      </c>
      <c r="T377" s="112">
        <v>0.8</v>
      </c>
      <c r="U377" s="112"/>
      <c r="V377" s="112"/>
      <c r="W377" s="112"/>
      <c r="X377" s="112"/>
      <c r="Y377" s="112"/>
      <c r="Z377" s="112"/>
      <c r="AA377" s="112"/>
      <c r="AB377" s="112"/>
      <c r="AC377" s="112"/>
      <c r="AD377" s="112"/>
      <c r="AE377" s="112"/>
      <c r="AF377" s="112"/>
      <c r="AG377" s="112">
        <v>0.51</v>
      </c>
      <c r="AH377" s="205">
        <v>0.16</v>
      </c>
    </row>
    <row r="378" spans="1:34" ht="15.95" customHeight="1" x14ac:dyDescent="0.25">
      <c r="A378" s="115">
        <v>180</v>
      </c>
      <c r="B378" s="112"/>
      <c r="C378" s="228" t="s">
        <v>84</v>
      </c>
      <c r="D378" s="34">
        <v>2008</v>
      </c>
      <c r="E378" s="112" t="s">
        <v>37</v>
      </c>
      <c r="F378" s="112" t="s">
        <v>60</v>
      </c>
      <c r="G378" s="35" t="s">
        <v>178</v>
      </c>
      <c r="H378" s="112">
        <v>19.5</v>
      </c>
      <c r="I378" s="34">
        <v>0.5</v>
      </c>
      <c r="J378" s="34">
        <v>20</v>
      </c>
      <c r="K378" s="35" t="s">
        <v>178</v>
      </c>
      <c r="L378" s="112" t="s">
        <v>66</v>
      </c>
      <c r="M378" s="112" t="s">
        <v>67</v>
      </c>
      <c r="N378" s="112" t="s">
        <v>59</v>
      </c>
      <c r="O378" s="35" t="s">
        <v>169</v>
      </c>
      <c r="P378" s="35"/>
      <c r="Q378" s="112">
        <v>159.6</v>
      </c>
      <c r="R378" s="112">
        <v>1.2</v>
      </c>
      <c r="S378" s="112">
        <v>93.8</v>
      </c>
      <c r="T378" s="112">
        <v>0.7</v>
      </c>
      <c r="U378" s="112"/>
      <c r="V378" s="112"/>
      <c r="W378" s="112"/>
      <c r="X378" s="112"/>
      <c r="Y378" s="112"/>
      <c r="Z378" s="112"/>
      <c r="AA378" s="112"/>
      <c r="AB378" s="112"/>
      <c r="AC378" s="112"/>
      <c r="AD378" s="112"/>
      <c r="AE378" s="112"/>
      <c r="AF378" s="112"/>
      <c r="AG378" s="112">
        <v>0.57999999999999996</v>
      </c>
      <c r="AH378" s="205">
        <v>0.12</v>
      </c>
    </row>
    <row r="379" spans="1:34" ht="15.95" customHeight="1" x14ac:dyDescent="0.25">
      <c r="A379" s="115">
        <v>180</v>
      </c>
      <c r="B379" s="115" t="s">
        <v>132</v>
      </c>
      <c r="C379" s="228" t="s">
        <v>84</v>
      </c>
      <c r="D379" s="34">
        <v>2008</v>
      </c>
      <c r="E379" s="112" t="s">
        <v>44</v>
      </c>
      <c r="F379" s="112" t="s">
        <v>130</v>
      </c>
      <c r="G379" s="35" t="s">
        <v>178</v>
      </c>
      <c r="H379" s="112">
        <v>19.5</v>
      </c>
      <c r="I379" s="34">
        <v>0.5</v>
      </c>
      <c r="J379" s="34">
        <v>20</v>
      </c>
      <c r="K379" s="35" t="s">
        <v>178</v>
      </c>
      <c r="L379" s="112" t="s">
        <v>66</v>
      </c>
      <c r="M379" s="112" t="s">
        <v>67</v>
      </c>
      <c r="N379" s="112" t="s">
        <v>59</v>
      </c>
      <c r="O379" s="35" t="s">
        <v>169</v>
      </c>
      <c r="P379" s="35"/>
      <c r="Q379" s="112">
        <v>115.1</v>
      </c>
      <c r="R379" s="112">
        <v>0.9</v>
      </c>
      <c r="S379" s="112">
        <v>71</v>
      </c>
      <c r="T379" s="112">
        <v>0.4</v>
      </c>
      <c r="U379" s="112"/>
      <c r="V379" s="112"/>
      <c r="W379" s="112"/>
      <c r="X379" s="112"/>
      <c r="Y379" s="112"/>
      <c r="Z379" s="112"/>
      <c r="AA379" s="112"/>
      <c r="AB379" s="112"/>
      <c r="AC379" s="112"/>
      <c r="AD379" s="112"/>
      <c r="AE379" s="112"/>
      <c r="AF379" s="112"/>
      <c r="AG379" s="112">
        <v>0.59</v>
      </c>
      <c r="AH379" s="205">
        <v>0.14000000000000001</v>
      </c>
    </row>
    <row r="380" spans="1:34" ht="15.95" customHeight="1" x14ac:dyDescent="0.25">
      <c r="A380" s="115">
        <v>60</v>
      </c>
      <c r="B380" s="112" t="s">
        <v>91</v>
      </c>
      <c r="C380" s="229" t="s">
        <v>36</v>
      </c>
      <c r="D380" s="34">
        <v>2018</v>
      </c>
      <c r="E380" s="35" t="s">
        <v>47</v>
      </c>
      <c r="F380" s="112" t="s">
        <v>130</v>
      </c>
      <c r="G380" s="35" t="s">
        <v>178</v>
      </c>
      <c r="H380" s="112">
        <v>25.1</v>
      </c>
      <c r="I380" s="34">
        <v>7.7</v>
      </c>
      <c r="J380" s="34">
        <v>38</v>
      </c>
      <c r="K380" s="35" t="s">
        <v>88</v>
      </c>
      <c r="L380" s="112" t="s">
        <v>46</v>
      </c>
      <c r="M380" s="112" t="s">
        <v>67</v>
      </c>
      <c r="N380" s="35" t="s">
        <v>59</v>
      </c>
      <c r="O380" s="35"/>
      <c r="P380" s="35" t="s">
        <v>112</v>
      </c>
      <c r="Q380" s="112"/>
      <c r="R380" s="112"/>
      <c r="S380" s="112"/>
      <c r="T380" s="112"/>
      <c r="U380" s="35">
        <v>2.48</v>
      </c>
      <c r="V380" s="35">
        <v>0.65</v>
      </c>
      <c r="W380" s="35">
        <v>1.57</v>
      </c>
      <c r="X380" s="35">
        <v>0.41</v>
      </c>
      <c r="Y380" s="35"/>
      <c r="Z380" s="35"/>
      <c r="AA380" s="35"/>
      <c r="AB380" s="35"/>
      <c r="AC380" s="35"/>
      <c r="AD380" s="35"/>
      <c r="AE380" s="35"/>
      <c r="AF380" s="35"/>
      <c r="AG380" s="35">
        <v>0.65</v>
      </c>
      <c r="AH380" s="204">
        <v>0.16</v>
      </c>
    </row>
    <row r="381" spans="1:34" ht="15.95" customHeight="1" x14ac:dyDescent="0.25">
      <c r="A381" s="115">
        <v>60</v>
      </c>
      <c r="B381" s="112" t="s">
        <v>91</v>
      </c>
      <c r="C381" s="229" t="s">
        <v>36</v>
      </c>
      <c r="D381" s="34">
        <v>2018</v>
      </c>
      <c r="E381" s="35" t="s">
        <v>47</v>
      </c>
      <c r="F381" s="112" t="s">
        <v>130</v>
      </c>
      <c r="G381" s="35" t="s">
        <v>178</v>
      </c>
      <c r="H381" s="112">
        <v>25.1</v>
      </c>
      <c r="I381" s="34">
        <v>7.7</v>
      </c>
      <c r="J381" s="34">
        <v>38</v>
      </c>
      <c r="K381" s="35" t="s">
        <v>89</v>
      </c>
      <c r="L381" s="112" t="s">
        <v>46</v>
      </c>
      <c r="M381" s="112" t="s">
        <v>67</v>
      </c>
      <c r="N381" s="35" t="s">
        <v>59</v>
      </c>
      <c r="O381" s="35"/>
      <c r="P381" s="35" t="s">
        <v>112</v>
      </c>
      <c r="Q381" s="112"/>
      <c r="R381" s="112"/>
      <c r="S381" s="112"/>
      <c r="T381" s="112"/>
      <c r="U381" s="35">
        <v>2.87</v>
      </c>
      <c r="V381" s="35">
        <v>0.57999999999999996</v>
      </c>
      <c r="W381" s="35">
        <v>1.62</v>
      </c>
      <c r="X381" s="35">
        <v>0.37</v>
      </c>
      <c r="Y381" s="35"/>
      <c r="Z381" s="35"/>
      <c r="AA381" s="35"/>
      <c r="AB381" s="35"/>
      <c r="AC381" s="35"/>
      <c r="AD381" s="35"/>
      <c r="AE381" s="35"/>
      <c r="AF381" s="35"/>
      <c r="AG381" s="35">
        <v>0.56999999999999995</v>
      </c>
      <c r="AH381" s="204">
        <v>0.09</v>
      </c>
    </row>
    <row r="382" spans="1:34" ht="15.95" customHeight="1" x14ac:dyDescent="0.25">
      <c r="A382" s="115">
        <v>180</v>
      </c>
      <c r="B382" s="112" t="s">
        <v>91</v>
      </c>
      <c r="C382" s="229" t="s">
        <v>36</v>
      </c>
      <c r="D382" s="34">
        <v>2018</v>
      </c>
      <c r="E382" s="35" t="s">
        <v>47</v>
      </c>
      <c r="F382" s="112" t="s">
        <v>130</v>
      </c>
      <c r="G382" s="35" t="s">
        <v>178</v>
      </c>
      <c r="H382" s="112">
        <v>25.1</v>
      </c>
      <c r="I382" s="34">
        <v>7.7</v>
      </c>
      <c r="J382" s="34">
        <v>38</v>
      </c>
      <c r="K382" s="35" t="s">
        <v>88</v>
      </c>
      <c r="L382" s="112" t="s">
        <v>46</v>
      </c>
      <c r="M382" s="112" t="s">
        <v>67</v>
      </c>
      <c r="N382" s="35" t="s">
        <v>59</v>
      </c>
      <c r="O382" s="35"/>
      <c r="P382" s="35" t="s">
        <v>112</v>
      </c>
      <c r="Q382" s="112"/>
      <c r="R382" s="112"/>
      <c r="S382" s="112"/>
      <c r="T382" s="112"/>
      <c r="U382" s="112">
        <v>1.66</v>
      </c>
      <c r="V382" s="112">
        <v>0.4</v>
      </c>
      <c r="W382" s="112">
        <v>1.17</v>
      </c>
      <c r="X382" s="112">
        <v>0.33</v>
      </c>
      <c r="Y382" s="112"/>
      <c r="Z382" s="112"/>
      <c r="AA382" s="112"/>
      <c r="AB382" s="112"/>
      <c r="AC382" s="112"/>
      <c r="AD382" s="112"/>
      <c r="AE382" s="112"/>
      <c r="AF382" s="112"/>
      <c r="AG382" s="112">
        <v>0.73</v>
      </c>
      <c r="AH382" s="205">
        <v>0.22</v>
      </c>
    </row>
    <row r="383" spans="1:34" ht="15.95" customHeight="1" x14ac:dyDescent="0.25">
      <c r="A383" s="115">
        <v>180</v>
      </c>
      <c r="B383" s="112" t="s">
        <v>91</v>
      </c>
      <c r="C383" s="229" t="s">
        <v>36</v>
      </c>
      <c r="D383" s="34">
        <v>2018</v>
      </c>
      <c r="E383" s="35" t="s">
        <v>47</v>
      </c>
      <c r="F383" s="112" t="s">
        <v>130</v>
      </c>
      <c r="G383" s="35" t="s">
        <v>178</v>
      </c>
      <c r="H383" s="112">
        <v>25.1</v>
      </c>
      <c r="I383" s="34">
        <v>7.7</v>
      </c>
      <c r="J383" s="34">
        <v>38</v>
      </c>
      <c r="K383" s="35" t="s">
        <v>89</v>
      </c>
      <c r="L383" s="112" t="s">
        <v>46</v>
      </c>
      <c r="M383" s="112" t="s">
        <v>67</v>
      </c>
      <c r="N383" s="35" t="s">
        <v>59</v>
      </c>
      <c r="O383" s="35"/>
      <c r="P383" s="35" t="s">
        <v>112</v>
      </c>
      <c r="Q383" s="112"/>
      <c r="R383" s="112"/>
      <c r="S383" s="112"/>
      <c r="T383" s="112"/>
      <c r="U383" s="112">
        <v>1.88</v>
      </c>
      <c r="V383" s="112">
        <v>0.38</v>
      </c>
      <c r="W383" s="112">
        <v>1.23</v>
      </c>
      <c r="X383" s="112">
        <v>0.3</v>
      </c>
      <c r="Y383" s="112"/>
      <c r="Z383" s="112"/>
      <c r="AA383" s="112"/>
      <c r="AB383" s="112"/>
      <c r="AC383" s="112"/>
      <c r="AD383" s="112"/>
      <c r="AE383" s="112"/>
      <c r="AF383" s="112"/>
      <c r="AG383" s="112">
        <v>0.66</v>
      </c>
      <c r="AH383" s="205">
        <v>0.13</v>
      </c>
    </row>
    <row r="384" spans="1:34" ht="22.5" customHeight="1" x14ac:dyDescent="0.25">
      <c r="A384" s="115">
        <v>60</v>
      </c>
      <c r="B384" s="112"/>
      <c r="C384" s="228" t="s">
        <v>53</v>
      </c>
      <c r="D384" s="120">
        <v>2017</v>
      </c>
      <c r="E384" s="104" t="s">
        <v>40</v>
      </c>
      <c r="F384" s="35" t="s">
        <v>95</v>
      </c>
      <c r="G384" s="112" t="s">
        <v>342</v>
      </c>
      <c r="H384" s="112">
        <v>16.34</v>
      </c>
      <c r="I384" s="34">
        <v>0.7</v>
      </c>
      <c r="J384" s="34">
        <v>9</v>
      </c>
      <c r="K384" s="35" t="s">
        <v>178</v>
      </c>
      <c r="L384" s="112" t="s">
        <v>66</v>
      </c>
      <c r="M384" s="112" t="s">
        <v>67</v>
      </c>
      <c r="N384" s="35" t="s">
        <v>59</v>
      </c>
      <c r="O384" s="35" t="s">
        <v>169</v>
      </c>
      <c r="P384" s="35"/>
      <c r="Q384" s="34">
        <v>227.36</v>
      </c>
      <c r="R384" s="35">
        <v>35.36</v>
      </c>
      <c r="S384" s="34">
        <v>119.39</v>
      </c>
      <c r="T384" s="35">
        <v>33</v>
      </c>
      <c r="U384" s="34"/>
      <c r="V384" s="34"/>
      <c r="W384" s="34"/>
      <c r="X384" s="34"/>
      <c r="Y384" s="35"/>
      <c r="Z384" s="35"/>
      <c r="AA384" s="35"/>
      <c r="AB384" s="35"/>
      <c r="AC384" s="35"/>
      <c r="AD384" s="35"/>
      <c r="AE384" s="35"/>
      <c r="AF384" s="35"/>
      <c r="AG384" s="35">
        <v>0.53300000000000003</v>
      </c>
      <c r="AH384" s="204">
        <v>0.13200000000000001</v>
      </c>
    </row>
    <row r="385" spans="1:34" ht="15.95" customHeight="1" x14ac:dyDescent="0.25">
      <c r="A385" s="115">
        <v>60</v>
      </c>
      <c r="B385" s="112"/>
      <c r="C385" s="228" t="s">
        <v>53</v>
      </c>
      <c r="D385" s="120">
        <v>2017</v>
      </c>
      <c r="E385" s="104" t="s">
        <v>40</v>
      </c>
      <c r="F385" s="35" t="s">
        <v>95</v>
      </c>
      <c r="G385" s="112" t="s">
        <v>343</v>
      </c>
      <c r="H385" s="112">
        <v>16.34</v>
      </c>
      <c r="I385" s="34">
        <v>0.7</v>
      </c>
      <c r="J385" s="34">
        <v>14</v>
      </c>
      <c r="K385" s="35" t="s">
        <v>178</v>
      </c>
      <c r="L385" s="112" t="s">
        <v>66</v>
      </c>
      <c r="M385" s="112" t="s">
        <v>67</v>
      </c>
      <c r="N385" s="35" t="s">
        <v>59</v>
      </c>
      <c r="O385" s="35" t="s">
        <v>169</v>
      </c>
      <c r="P385" s="35"/>
      <c r="Q385" s="34">
        <v>212.59</v>
      </c>
      <c r="R385" s="35">
        <v>32.700000000000003</v>
      </c>
      <c r="S385" s="34">
        <v>121.39</v>
      </c>
      <c r="T385" s="35">
        <v>34.85</v>
      </c>
      <c r="U385" s="34"/>
      <c r="V385" s="34"/>
      <c r="W385" s="34"/>
      <c r="X385" s="34"/>
      <c r="Y385" s="35"/>
      <c r="Z385" s="35"/>
      <c r="AA385" s="35"/>
      <c r="AB385" s="35"/>
      <c r="AC385" s="35"/>
      <c r="AD385" s="35"/>
      <c r="AE385" s="35"/>
      <c r="AF385" s="35"/>
      <c r="AG385" s="35">
        <v>0.57199999999999995</v>
      </c>
      <c r="AH385" s="204">
        <v>0.13300000000000001</v>
      </c>
    </row>
    <row r="386" spans="1:34" ht="15.95" customHeight="1" x14ac:dyDescent="0.25">
      <c r="A386" s="115">
        <v>60</v>
      </c>
      <c r="B386" s="112"/>
      <c r="C386" s="228" t="s">
        <v>53</v>
      </c>
      <c r="D386" s="120">
        <v>2017</v>
      </c>
      <c r="E386" s="104" t="s">
        <v>40</v>
      </c>
      <c r="F386" s="35" t="s">
        <v>95</v>
      </c>
      <c r="G386" s="112" t="s">
        <v>344</v>
      </c>
      <c r="H386" s="112">
        <v>16.34</v>
      </c>
      <c r="I386" s="34">
        <v>0.7</v>
      </c>
      <c r="J386" s="34">
        <v>9</v>
      </c>
      <c r="K386" s="35" t="s">
        <v>178</v>
      </c>
      <c r="L386" s="112" t="s">
        <v>66</v>
      </c>
      <c r="M386" s="112" t="s">
        <v>67</v>
      </c>
      <c r="N386" s="35" t="s">
        <v>59</v>
      </c>
      <c r="O386" s="35" t="s">
        <v>169</v>
      </c>
      <c r="P386" s="35"/>
      <c r="Q386" s="34">
        <v>210.69</v>
      </c>
      <c r="R386" s="35">
        <v>28.39</v>
      </c>
      <c r="S386" s="34">
        <v>125.08</v>
      </c>
      <c r="T386" s="35">
        <v>30.76</v>
      </c>
      <c r="U386" s="34"/>
      <c r="V386" s="34"/>
      <c r="W386" s="34"/>
      <c r="X386" s="34"/>
      <c r="Y386" s="35"/>
      <c r="Z386" s="35"/>
      <c r="AA386" s="35"/>
      <c r="AB386" s="35"/>
      <c r="AC386" s="35"/>
      <c r="AD386" s="35"/>
      <c r="AE386" s="35"/>
      <c r="AF386" s="35"/>
      <c r="AG386" s="35">
        <v>0.59399999999999997</v>
      </c>
      <c r="AH386" s="204">
        <v>0.307</v>
      </c>
    </row>
    <row r="387" spans="1:34" ht="15.95" customHeight="1" x14ac:dyDescent="0.25">
      <c r="A387" s="115">
        <v>60</v>
      </c>
      <c r="B387" s="112"/>
      <c r="C387" s="228" t="s">
        <v>53</v>
      </c>
      <c r="D387" s="120">
        <v>2017</v>
      </c>
      <c r="E387" s="104" t="s">
        <v>40</v>
      </c>
      <c r="F387" s="35" t="s">
        <v>95</v>
      </c>
      <c r="G387" s="35" t="s">
        <v>178</v>
      </c>
      <c r="H387" s="112">
        <v>16.34</v>
      </c>
      <c r="I387" s="34">
        <v>0.7</v>
      </c>
      <c r="J387" s="34">
        <v>9</v>
      </c>
      <c r="K387" s="35" t="s">
        <v>64</v>
      </c>
      <c r="L387" s="112" t="s">
        <v>66</v>
      </c>
      <c r="M387" s="112" t="s">
        <v>67</v>
      </c>
      <c r="N387" s="35" t="s">
        <v>59</v>
      </c>
      <c r="O387" s="35" t="s">
        <v>169</v>
      </c>
      <c r="P387" s="35"/>
      <c r="Q387" s="34">
        <v>214.03</v>
      </c>
      <c r="R387" s="35">
        <v>36.049999999999997</v>
      </c>
      <c r="S387" s="34">
        <v>128.52000000000001</v>
      </c>
      <c r="T387" s="35">
        <v>142.93</v>
      </c>
      <c r="U387" s="34"/>
      <c r="V387" s="34"/>
      <c r="W387" s="34"/>
      <c r="X387" s="34"/>
      <c r="Y387" s="35"/>
      <c r="Z387" s="35"/>
      <c r="AA387" s="35"/>
      <c r="AB387" s="35"/>
      <c r="AC387" s="35"/>
      <c r="AD387" s="35"/>
      <c r="AE387" s="35"/>
      <c r="AF387" s="35"/>
      <c r="AG387" s="35"/>
      <c r="AH387" s="204"/>
    </row>
    <row r="388" spans="1:34" ht="15.95" customHeight="1" x14ac:dyDescent="0.25">
      <c r="A388" s="115">
        <v>60</v>
      </c>
      <c r="B388" s="112"/>
      <c r="C388" s="228" t="s">
        <v>53</v>
      </c>
      <c r="D388" s="120">
        <v>2017</v>
      </c>
      <c r="E388" s="104" t="s">
        <v>40</v>
      </c>
      <c r="F388" s="35" t="s">
        <v>95</v>
      </c>
      <c r="G388" s="35" t="s">
        <v>178</v>
      </c>
      <c r="H388" s="112">
        <v>16.34</v>
      </c>
      <c r="I388" s="34">
        <v>0.7</v>
      </c>
      <c r="J388" s="34">
        <v>9</v>
      </c>
      <c r="K388" s="35" t="s">
        <v>65</v>
      </c>
      <c r="L388" s="112" t="s">
        <v>66</v>
      </c>
      <c r="M388" s="112" t="s">
        <v>67</v>
      </c>
      <c r="N388" s="35" t="s">
        <v>59</v>
      </c>
      <c r="O388" s="35" t="s">
        <v>169</v>
      </c>
      <c r="P388" s="35"/>
      <c r="Q388" s="112">
        <v>218.38</v>
      </c>
      <c r="R388" s="112">
        <v>35.299999999999997</v>
      </c>
      <c r="S388" s="112">
        <v>115.21</v>
      </c>
      <c r="T388" s="112">
        <v>29.64</v>
      </c>
      <c r="U388" s="112"/>
      <c r="V388" s="112"/>
      <c r="W388" s="112"/>
      <c r="X388" s="112"/>
      <c r="Y388" s="112"/>
      <c r="Z388" s="112"/>
      <c r="AA388" s="112"/>
      <c r="AB388" s="112"/>
      <c r="AC388" s="112"/>
      <c r="AD388" s="112"/>
      <c r="AE388" s="112"/>
      <c r="AF388" s="112"/>
      <c r="AG388" s="112"/>
      <c r="AH388" s="205"/>
    </row>
    <row r="389" spans="1:34" ht="15.95" customHeight="1" x14ac:dyDescent="0.25">
      <c r="A389" s="115">
        <v>240</v>
      </c>
      <c r="B389" s="112"/>
      <c r="C389" s="228" t="s">
        <v>53</v>
      </c>
      <c r="D389" s="34">
        <v>2017</v>
      </c>
      <c r="E389" s="104" t="s">
        <v>40</v>
      </c>
      <c r="F389" s="35" t="s">
        <v>95</v>
      </c>
      <c r="G389" s="35" t="s">
        <v>178</v>
      </c>
      <c r="H389" s="112">
        <v>16.34</v>
      </c>
      <c r="I389" s="34">
        <v>0.7</v>
      </c>
      <c r="J389" s="34">
        <v>9</v>
      </c>
      <c r="K389" s="35" t="s">
        <v>64</v>
      </c>
      <c r="L389" s="112" t="s">
        <v>66</v>
      </c>
      <c r="M389" s="112" t="s">
        <v>67</v>
      </c>
      <c r="N389" s="35" t="s">
        <v>59</v>
      </c>
      <c r="O389" s="35" t="s">
        <v>169</v>
      </c>
      <c r="P389" s="35"/>
      <c r="Q389" s="112">
        <v>114.28</v>
      </c>
      <c r="R389" s="112">
        <v>27.07</v>
      </c>
      <c r="S389" s="112">
        <v>68.92</v>
      </c>
      <c r="T389" s="112">
        <v>15.17</v>
      </c>
      <c r="U389" s="112"/>
      <c r="V389" s="112"/>
      <c r="W389" s="112"/>
      <c r="X389" s="112"/>
      <c r="Y389" s="112"/>
      <c r="Z389" s="112"/>
      <c r="AA389" s="112"/>
      <c r="AB389" s="112"/>
      <c r="AC389" s="112"/>
      <c r="AD389" s="112"/>
      <c r="AE389" s="112"/>
      <c r="AF389" s="112"/>
      <c r="AG389" s="112"/>
      <c r="AH389" s="205"/>
    </row>
    <row r="390" spans="1:34" ht="15.95" customHeight="1" x14ac:dyDescent="0.25">
      <c r="A390" s="115">
        <v>240</v>
      </c>
      <c r="B390" s="112"/>
      <c r="C390" s="228" t="s">
        <v>53</v>
      </c>
      <c r="D390" s="34">
        <v>2017</v>
      </c>
      <c r="E390" s="104" t="s">
        <v>40</v>
      </c>
      <c r="F390" s="35" t="s">
        <v>95</v>
      </c>
      <c r="G390" s="35" t="s">
        <v>178</v>
      </c>
      <c r="H390" s="112">
        <v>16.34</v>
      </c>
      <c r="I390" s="34">
        <v>0.7</v>
      </c>
      <c r="J390" s="34">
        <v>9</v>
      </c>
      <c r="K390" s="35" t="s">
        <v>65</v>
      </c>
      <c r="L390" s="112" t="s">
        <v>66</v>
      </c>
      <c r="M390" s="112" t="s">
        <v>67</v>
      </c>
      <c r="N390" s="35" t="s">
        <v>59</v>
      </c>
      <c r="O390" s="35" t="s">
        <v>169</v>
      </c>
      <c r="P390" s="35"/>
      <c r="Q390" s="112">
        <v>118.59</v>
      </c>
      <c r="R390" s="112">
        <v>19.329999999999998</v>
      </c>
      <c r="S390" s="112">
        <v>72.39</v>
      </c>
      <c r="T390" s="112">
        <v>16.14</v>
      </c>
      <c r="U390" s="112"/>
      <c r="V390" s="112"/>
      <c r="W390" s="112"/>
      <c r="X390" s="112"/>
      <c r="Y390" s="112"/>
      <c r="Z390" s="112"/>
      <c r="AA390" s="112"/>
      <c r="AB390" s="112"/>
      <c r="AC390" s="112"/>
      <c r="AD390" s="112"/>
      <c r="AE390" s="112"/>
      <c r="AF390" s="112"/>
      <c r="AG390" s="112"/>
      <c r="AH390" s="205"/>
    </row>
    <row r="391" spans="1:34" ht="15.95" customHeight="1" x14ac:dyDescent="0.25">
      <c r="A391" s="115">
        <v>180</v>
      </c>
      <c r="B391" s="112"/>
      <c r="C391" s="228" t="s">
        <v>53</v>
      </c>
      <c r="D391" s="117">
        <v>2017</v>
      </c>
      <c r="E391" s="104" t="s">
        <v>40</v>
      </c>
      <c r="F391" s="35" t="s">
        <v>95</v>
      </c>
      <c r="G391" s="35" t="s">
        <v>178</v>
      </c>
      <c r="H391" s="112">
        <v>16.34</v>
      </c>
      <c r="I391" s="34">
        <v>0.7</v>
      </c>
      <c r="J391" s="34">
        <v>14</v>
      </c>
      <c r="K391" s="35" t="s">
        <v>64</v>
      </c>
      <c r="L391" s="112" t="s">
        <v>66</v>
      </c>
      <c r="M391" s="112" t="s">
        <v>67</v>
      </c>
      <c r="N391" s="35" t="s">
        <v>59</v>
      </c>
      <c r="O391" s="35" t="s">
        <v>169</v>
      </c>
      <c r="P391" s="35"/>
      <c r="Q391" s="112">
        <v>175.83</v>
      </c>
      <c r="R391" s="112">
        <v>23.29</v>
      </c>
      <c r="S391" s="112">
        <v>83.1</v>
      </c>
      <c r="T391" s="112">
        <v>16.79</v>
      </c>
      <c r="U391" s="112"/>
      <c r="V391" s="112"/>
      <c r="W391" s="112"/>
      <c r="X391" s="112"/>
      <c r="Y391" s="112"/>
      <c r="Z391" s="112"/>
      <c r="AA391" s="112"/>
      <c r="AB391" s="112"/>
      <c r="AC391" s="112"/>
      <c r="AD391" s="112"/>
      <c r="AE391" s="112"/>
      <c r="AF391" s="112"/>
      <c r="AG391" s="112"/>
      <c r="AH391" s="205"/>
    </row>
    <row r="392" spans="1:34" ht="15.95" customHeight="1" x14ac:dyDescent="0.25">
      <c r="A392" s="115">
        <v>180</v>
      </c>
      <c r="B392" s="112"/>
      <c r="C392" s="228" t="s">
        <v>53</v>
      </c>
      <c r="D392" s="117">
        <v>2017</v>
      </c>
      <c r="E392" s="104" t="s">
        <v>40</v>
      </c>
      <c r="F392" s="35" t="s">
        <v>95</v>
      </c>
      <c r="G392" s="35" t="s">
        <v>178</v>
      </c>
      <c r="H392" s="112">
        <v>16.34</v>
      </c>
      <c r="I392" s="34">
        <v>0.7</v>
      </c>
      <c r="J392" s="34">
        <v>14</v>
      </c>
      <c r="K392" s="35" t="s">
        <v>65</v>
      </c>
      <c r="L392" s="112" t="s">
        <v>66</v>
      </c>
      <c r="M392" s="112" t="s">
        <v>67</v>
      </c>
      <c r="N392" s="35" t="s">
        <v>59</v>
      </c>
      <c r="O392" s="35" t="s">
        <v>169</v>
      </c>
      <c r="P392" s="35"/>
      <c r="Q392" s="112" t="s">
        <v>121</v>
      </c>
      <c r="R392" s="112">
        <v>21.66</v>
      </c>
      <c r="S392" s="112">
        <v>86.44</v>
      </c>
      <c r="T392" s="112">
        <v>15.9</v>
      </c>
      <c r="U392" s="112"/>
      <c r="V392" s="112"/>
      <c r="W392" s="112"/>
      <c r="X392" s="112"/>
      <c r="Y392" s="112"/>
      <c r="Z392" s="112"/>
      <c r="AA392" s="112"/>
      <c r="AB392" s="112"/>
      <c r="AC392" s="112"/>
      <c r="AD392" s="112"/>
      <c r="AE392" s="112"/>
      <c r="AF392" s="112"/>
      <c r="AG392" s="112"/>
      <c r="AH392" s="205"/>
    </row>
    <row r="393" spans="1:34" ht="15.95" customHeight="1" x14ac:dyDescent="0.25">
      <c r="A393" s="115">
        <v>60</v>
      </c>
      <c r="B393" s="112" t="s">
        <v>290</v>
      </c>
      <c r="C393" s="228" t="s">
        <v>33</v>
      </c>
      <c r="D393" s="117">
        <v>2009</v>
      </c>
      <c r="E393" s="35" t="s">
        <v>37</v>
      </c>
      <c r="F393" s="112" t="s">
        <v>60</v>
      </c>
      <c r="G393" s="35" t="s">
        <v>71</v>
      </c>
      <c r="H393" s="112">
        <v>24</v>
      </c>
      <c r="I393" s="34">
        <v>3.8</v>
      </c>
      <c r="J393" s="34">
        <v>15</v>
      </c>
      <c r="K393" s="35" t="s">
        <v>178</v>
      </c>
      <c r="L393" s="112" t="s">
        <v>66</v>
      </c>
      <c r="M393" s="112" t="s">
        <v>67</v>
      </c>
      <c r="N393" s="104" t="s">
        <v>58</v>
      </c>
      <c r="O393" s="35" t="s">
        <v>169</v>
      </c>
      <c r="P393" s="35" t="s">
        <v>112</v>
      </c>
      <c r="Q393" s="35">
        <v>268.7</v>
      </c>
      <c r="R393" s="35">
        <v>48.8</v>
      </c>
      <c r="S393" s="35">
        <v>157.1</v>
      </c>
      <c r="T393" s="35">
        <v>29.4</v>
      </c>
      <c r="U393" s="35">
        <v>3.07</v>
      </c>
      <c r="V393" s="35">
        <v>0.54</v>
      </c>
      <c r="W393" s="35">
        <v>1.79</v>
      </c>
      <c r="X393" s="35">
        <v>0.3</v>
      </c>
      <c r="Y393" s="35">
        <v>151.9</v>
      </c>
      <c r="Z393" s="35">
        <v>31.4</v>
      </c>
      <c r="AA393" s="35">
        <v>89.2</v>
      </c>
      <c r="AB393" s="35">
        <v>19.5</v>
      </c>
      <c r="AC393" s="35">
        <v>189.4</v>
      </c>
      <c r="AD393" s="35">
        <v>40.9</v>
      </c>
      <c r="AE393" s="35">
        <v>118.1</v>
      </c>
      <c r="AF393" s="35">
        <v>26.2</v>
      </c>
      <c r="AG393" s="35"/>
      <c r="AH393" s="204"/>
    </row>
    <row r="394" spans="1:34" ht="15.95" customHeight="1" x14ac:dyDescent="0.25">
      <c r="A394" s="115">
        <v>60</v>
      </c>
      <c r="B394" s="112" t="s">
        <v>290</v>
      </c>
      <c r="C394" s="228" t="s">
        <v>33</v>
      </c>
      <c r="D394" s="117">
        <v>2009</v>
      </c>
      <c r="E394" s="35" t="s">
        <v>37</v>
      </c>
      <c r="F394" s="112" t="s">
        <v>60</v>
      </c>
      <c r="G394" s="35" t="s">
        <v>72</v>
      </c>
      <c r="H394" s="112">
        <v>24</v>
      </c>
      <c r="I394" s="34">
        <v>3.8</v>
      </c>
      <c r="J394" s="34">
        <v>14</v>
      </c>
      <c r="K394" s="35" t="s">
        <v>178</v>
      </c>
      <c r="L394" s="112" t="s">
        <v>66</v>
      </c>
      <c r="M394" s="112" t="s">
        <v>67</v>
      </c>
      <c r="N394" s="104" t="s">
        <v>58</v>
      </c>
      <c r="O394" s="35" t="s">
        <v>169</v>
      </c>
      <c r="P394" s="35" t="s">
        <v>112</v>
      </c>
      <c r="Q394" s="35">
        <v>304.2</v>
      </c>
      <c r="R394" s="35">
        <v>22.4</v>
      </c>
      <c r="S394" s="35">
        <v>176.5</v>
      </c>
      <c r="T394" s="35">
        <v>22</v>
      </c>
      <c r="U394" s="35">
        <v>2.98</v>
      </c>
      <c r="V394" s="35">
        <v>0.22</v>
      </c>
      <c r="W394" s="35">
        <v>1.73</v>
      </c>
      <c r="X394" s="35">
        <v>0.2</v>
      </c>
      <c r="Y394" s="35">
        <v>140.1</v>
      </c>
      <c r="Z394" s="35">
        <v>41.7</v>
      </c>
      <c r="AA394" s="35">
        <v>94.9</v>
      </c>
      <c r="AB394" s="35">
        <v>20.100000000000001</v>
      </c>
      <c r="AC394" s="35">
        <v>185.8</v>
      </c>
      <c r="AD394" s="35">
        <v>35.700000000000003</v>
      </c>
      <c r="AE394" s="35">
        <v>125.2</v>
      </c>
      <c r="AF394" s="35">
        <v>23</v>
      </c>
      <c r="AG394" s="35"/>
      <c r="AH394" s="204"/>
    </row>
    <row r="395" spans="1:34" ht="15.95" customHeight="1" x14ac:dyDescent="0.25">
      <c r="A395" s="115">
        <v>60</v>
      </c>
      <c r="B395" s="112" t="s">
        <v>290</v>
      </c>
      <c r="C395" s="228" t="s">
        <v>33</v>
      </c>
      <c r="D395" s="117">
        <v>2009</v>
      </c>
      <c r="E395" s="35" t="s">
        <v>37</v>
      </c>
      <c r="F395" s="112" t="s">
        <v>60</v>
      </c>
      <c r="G395" s="35" t="s">
        <v>73</v>
      </c>
      <c r="H395" s="112">
        <v>24</v>
      </c>
      <c r="I395" s="34">
        <v>3.8</v>
      </c>
      <c r="J395" s="34">
        <v>14</v>
      </c>
      <c r="K395" s="35" t="s">
        <v>178</v>
      </c>
      <c r="L395" s="112" t="s">
        <v>66</v>
      </c>
      <c r="M395" s="112" t="s">
        <v>67</v>
      </c>
      <c r="N395" s="104" t="s">
        <v>58</v>
      </c>
      <c r="O395" s="35" t="s">
        <v>169</v>
      </c>
      <c r="P395" s="35" t="s">
        <v>112</v>
      </c>
      <c r="Q395" s="35">
        <v>321.7</v>
      </c>
      <c r="R395" s="35">
        <v>38.5</v>
      </c>
      <c r="S395" s="35">
        <v>183.4</v>
      </c>
      <c r="T395" s="35">
        <v>24</v>
      </c>
      <c r="U395" s="35">
        <v>3.12</v>
      </c>
      <c r="V395" s="35">
        <v>0.3</v>
      </c>
      <c r="W395" s="35">
        <v>1.77</v>
      </c>
      <c r="X395" s="35">
        <v>0.2</v>
      </c>
      <c r="Y395" s="35"/>
      <c r="Z395" s="35"/>
      <c r="AA395" s="35"/>
      <c r="AB395" s="35"/>
      <c r="AC395" s="35"/>
      <c r="AD395" s="35"/>
      <c r="AE395" s="35"/>
      <c r="AF395" s="35"/>
      <c r="AG395" s="35"/>
      <c r="AH395" s="204"/>
    </row>
    <row r="396" spans="1:34" ht="15.95" customHeight="1" x14ac:dyDescent="0.25">
      <c r="A396" s="115">
        <v>60</v>
      </c>
      <c r="B396" s="112"/>
      <c r="C396" s="228" t="s">
        <v>33</v>
      </c>
      <c r="D396" s="117">
        <v>2009</v>
      </c>
      <c r="E396" s="35" t="s">
        <v>37</v>
      </c>
      <c r="F396" s="112" t="s">
        <v>60</v>
      </c>
      <c r="G396" s="35" t="s">
        <v>178</v>
      </c>
      <c r="H396" s="112">
        <v>24</v>
      </c>
      <c r="I396" s="34">
        <v>3.8</v>
      </c>
      <c r="J396" s="34">
        <v>43</v>
      </c>
      <c r="K396" s="35" t="s">
        <v>178</v>
      </c>
      <c r="L396" s="112" t="s">
        <v>66</v>
      </c>
      <c r="M396" s="112" t="s">
        <v>67</v>
      </c>
      <c r="N396" s="104" t="s">
        <v>58</v>
      </c>
      <c r="O396" s="35" t="s">
        <v>169</v>
      </c>
      <c r="P396" s="35" t="s">
        <v>112</v>
      </c>
      <c r="Q396" s="35">
        <v>297.5</v>
      </c>
      <c r="R396" s="35">
        <v>43.5</v>
      </c>
      <c r="S396" s="35">
        <v>172</v>
      </c>
      <c r="T396" s="35">
        <v>27.3</v>
      </c>
      <c r="U396" s="35">
        <v>3.06</v>
      </c>
      <c r="V396" s="35">
        <v>0.37</v>
      </c>
      <c r="W396" s="35">
        <v>1.77</v>
      </c>
      <c r="X396" s="35">
        <v>0.24</v>
      </c>
      <c r="Y396" s="35"/>
      <c r="Z396" s="35"/>
      <c r="AA396" s="35"/>
      <c r="AB396" s="35"/>
      <c r="AC396" s="35"/>
      <c r="AD396" s="35"/>
      <c r="AE396" s="35"/>
      <c r="AF396" s="35"/>
      <c r="AG396" s="35"/>
      <c r="AH396" s="204"/>
    </row>
    <row r="397" spans="1:34" ht="15.95" customHeight="1" x14ac:dyDescent="0.25">
      <c r="A397" s="115">
        <v>180</v>
      </c>
      <c r="B397" s="112"/>
      <c r="C397" s="228" t="s">
        <v>33</v>
      </c>
      <c r="D397" s="117">
        <v>2009</v>
      </c>
      <c r="E397" s="104" t="s">
        <v>37</v>
      </c>
      <c r="F397" s="112" t="s">
        <v>60</v>
      </c>
      <c r="G397" s="35" t="s">
        <v>71</v>
      </c>
      <c r="H397" s="112"/>
      <c r="I397" s="34"/>
      <c r="J397" s="34">
        <v>15</v>
      </c>
      <c r="K397" s="35" t="s">
        <v>178</v>
      </c>
      <c r="L397" s="112" t="s">
        <v>66</v>
      </c>
      <c r="M397" s="112" t="s">
        <v>67</v>
      </c>
      <c r="N397" s="104" t="s">
        <v>58</v>
      </c>
      <c r="O397" s="35" t="s">
        <v>169</v>
      </c>
      <c r="P397" s="35" t="s">
        <v>112</v>
      </c>
      <c r="Q397" s="104">
        <v>187.2</v>
      </c>
      <c r="R397" s="104">
        <v>27.8</v>
      </c>
      <c r="S397" s="104">
        <v>122.4</v>
      </c>
      <c r="T397" s="104">
        <v>21.4</v>
      </c>
      <c r="U397" s="104">
        <v>2.15</v>
      </c>
      <c r="V397" s="104">
        <v>0.32</v>
      </c>
      <c r="W397" s="104">
        <v>1.4</v>
      </c>
      <c r="X397" s="104">
        <v>0.22</v>
      </c>
      <c r="Y397" s="112"/>
      <c r="Z397" s="112"/>
      <c r="AA397" s="112"/>
      <c r="AB397" s="112"/>
      <c r="AC397" s="112"/>
      <c r="AD397" s="112"/>
      <c r="AE397" s="112"/>
      <c r="AF397" s="112"/>
      <c r="AG397" s="112"/>
      <c r="AH397" s="205"/>
    </row>
    <row r="398" spans="1:34" ht="15.95" customHeight="1" x14ac:dyDescent="0.25">
      <c r="A398" s="115">
        <v>180</v>
      </c>
      <c r="B398" s="112"/>
      <c r="C398" s="228" t="s">
        <v>33</v>
      </c>
      <c r="D398" s="117">
        <v>2009</v>
      </c>
      <c r="E398" s="104" t="s">
        <v>37</v>
      </c>
      <c r="F398" s="112" t="s">
        <v>60</v>
      </c>
      <c r="G398" s="35" t="s">
        <v>72</v>
      </c>
      <c r="H398" s="112"/>
      <c r="I398" s="34"/>
      <c r="J398" s="34">
        <v>14</v>
      </c>
      <c r="K398" s="35" t="s">
        <v>178</v>
      </c>
      <c r="L398" s="112" t="s">
        <v>66</v>
      </c>
      <c r="M398" s="112" t="s">
        <v>67</v>
      </c>
      <c r="N398" s="104" t="s">
        <v>58</v>
      </c>
      <c r="O398" s="35" t="s">
        <v>169</v>
      </c>
      <c r="P398" s="35" t="s">
        <v>112</v>
      </c>
      <c r="Q398" s="104">
        <v>215.6</v>
      </c>
      <c r="R398" s="104">
        <v>24.6</v>
      </c>
      <c r="S398" s="104">
        <v>134.30000000000001</v>
      </c>
      <c r="T398" s="104">
        <v>19.7</v>
      </c>
      <c r="U398" s="104">
        <v>2.13</v>
      </c>
      <c r="V398" s="104">
        <v>0.15</v>
      </c>
      <c r="W398" s="104">
        <v>1.33</v>
      </c>
      <c r="X398" s="104">
        <v>0.17</v>
      </c>
      <c r="Y398" s="112"/>
      <c r="Z398" s="112"/>
      <c r="AA398" s="112"/>
      <c r="AB398" s="112"/>
      <c r="AC398" s="112"/>
      <c r="AD398" s="112"/>
      <c r="AE398" s="112"/>
      <c r="AF398" s="112"/>
      <c r="AG398" s="112"/>
      <c r="AH398" s="205"/>
    </row>
    <row r="399" spans="1:34" ht="15.95" customHeight="1" x14ac:dyDescent="0.25">
      <c r="A399" s="115">
        <v>180</v>
      </c>
      <c r="B399" s="112"/>
      <c r="C399" s="228" t="s">
        <v>33</v>
      </c>
      <c r="D399" s="117">
        <v>2009</v>
      </c>
      <c r="E399" s="104" t="s">
        <v>37</v>
      </c>
      <c r="F399" s="112" t="s">
        <v>60</v>
      </c>
      <c r="G399" s="35" t="s">
        <v>73</v>
      </c>
      <c r="H399" s="112"/>
      <c r="I399" s="34"/>
      <c r="J399" s="34">
        <v>14</v>
      </c>
      <c r="K399" s="35" t="s">
        <v>178</v>
      </c>
      <c r="L399" s="112" t="s">
        <v>66</v>
      </c>
      <c r="M399" s="112" t="s">
        <v>67</v>
      </c>
      <c r="N399" s="104" t="s">
        <v>58</v>
      </c>
      <c r="O399" s="35" t="s">
        <v>169</v>
      </c>
      <c r="P399" s="35" t="s">
        <v>112</v>
      </c>
      <c r="Q399" s="104">
        <v>219.9</v>
      </c>
      <c r="R399" s="104">
        <v>17.600000000000001</v>
      </c>
      <c r="S399" s="104">
        <v>144.19999999999999</v>
      </c>
      <c r="T399" s="104">
        <v>25.3</v>
      </c>
      <c r="U399" s="104">
        <v>2.09</v>
      </c>
      <c r="V399" s="104">
        <v>0.16</v>
      </c>
      <c r="W399" s="104">
        <v>1.39</v>
      </c>
      <c r="X399" s="104">
        <v>0.2</v>
      </c>
      <c r="Y399" s="112"/>
      <c r="Z399" s="112"/>
      <c r="AA399" s="112"/>
      <c r="AB399" s="112"/>
      <c r="AC399" s="112"/>
      <c r="AD399" s="112"/>
      <c r="AE399" s="112"/>
      <c r="AF399" s="112"/>
      <c r="AG399" s="112"/>
      <c r="AH399" s="205"/>
    </row>
    <row r="400" spans="1:34" ht="15.95" customHeight="1" x14ac:dyDescent="0.25">
      <c r="A400" s="115">
        <v>180</v>
      </c>
      <c r="B400" s="112"/>
      <c r="C400" s="228" t="s">
        <v>33</v>
      </c>
      <c r="D400" s="117">
        <v>2009</v>
      </c>
      <c r="E400" s="104" t="s">
        <v>37</v>
      </c>
      <c r="F400" s="112" t="s">
        <v>60</v>
      </c>
      <c r="G400" s="35" t="s">
        <v>178</v>
      </c>
      <c r="H400" s="112"/>
      <c r="I400" s="34"/>
      <c r="J400" s="34">
        <v>43</v>
      </c>
      <c r="K400" s="35" t="s">
        <v>178</v>
      </c>
      <c r="L400" s="112" t="s">
        <v>66</v>
      </c>
      <c r="M400" s="112" t="s">
        <v>67</v>
      </c>
      <c r="N400" s="104" t="s">
        <v>58</v>
      </c>
      <c r="O400" s="35" t="s">
        <v>169</v>
      </c>
      <c r="P400" s="35" t="s">
        <v>112</v>
      </c>
      <c r="Q400" s="104">
        <v>206.3</v>
      </c>
      <c r="R400" s="104">
        <v>27.2</v>
      </c>
      <c r="S400" s="104">
        <v>133.4</v>
      </c>
      <c r="T400" s="104">
        <v>23.5</v>
      </c>
      <c r="U400" s="104">
        <v>2.12</v>
      </c>
      <c r="V400" s="104">
        <v>0.23</v>
      </c>
      <c r="W400" s="104">
        <v>1.37</v>
      </c>
      <c r="X400" s="104">
        <v>0.2</v>
      </c>
      <c r="Y400" s="112"/>
      <c r="Z400" s="112"/>
      <c r="AA400" s="112"/>
      <c r="AB400" s="112"/>
      <c r="AC400" s="112"/>
      <c r="AD400" s="112"/>
      <c r="AE400" s="112"/>
      <c r="AF400" s="112"/>
      <c r="AG400" s="112"/>
      <c r="AH400" s="205"/>
    </row>
    <row r="401" spans="1:34" ht="15.95" customHeight="1" x14ac:dyDescent="0.25">
      <c r="A401" s="115">
        <v>60</v>
      </c>
      <c r="B401" s="112" t="s">
        <v>104</v>
      </c>
      <c r="C401" s="229" t="s">
        <v>45</v>
      </c>
      <c r="D401" s="34">
        <v>2015</v>
      </c>
      <c r="E401" s="104" t="s">
        <v>47</v>
      </c>
      <c r="F401" s="104" t="s">
        <v>130</v>
      </c>
      <c r="G401" s="35" t="s">
        <v>178</v>
      </c>
      <c r="H401" s="112" t="s">
        <v>178</v>
      </c>
      <c r="I401" s="34" t="s">
        <v>178</v>
      </c>
      <c r="J401" s="34">
        <v>20</v>
      </c>
      <c r="K401" s="35" t="s">
        <v>105</v>
      </c>
      <c r="L401" s="112" t="s">
        <v>66</v>
      </c>
      <c r="M401" s="112" t="s">
        <v>67</v>
      </c>
      <c r="N401" s="112" t="s">
        <v>59</v>
      </c>
      <c r="O401" s="112" t="s">
        <v>169</v>
      </c>
      <c r="P401" s="112"/>
      <c r="Q401" s="112">
        <v>150.13999999999999</v>
      </c>
      <c r="R401" s="112"/>
      <c r="S401" s="112">
        <v>90.72</v>
      </c>
      <c r="T401" s="112"/>
      <c r="U401" s="112"/>
      <c r="V401" s="112"/>
      <c r="W401" s="112"/>
      <c r="X401" s="112"/>
      <c r="Y401" s="112"/>
      <c r="Z401" s="112"/>
      <c r="AA401" s="112"/>
      <c r="AB401" s="112"/>
      <c r="AC401" s="112"/>
      <c r="AD401" s="112"/>
      <c r="AE401" s="112"/>
      <c r="AF401" s="112"/>
      <c r="AG401" s="112"/>
      <c r="AH401" s="205"/>
    </row>
    <row r="402" spans="1:34" ht="15.95" customHeight="1" x14ac:dyDescent="0.25">
      <c r="A402" s="115">
        <v>60</v>
      </c>
      <c r="B402" s="112" t="s">
        <v>104</v>
      </c>
      <c r="C402" s="229" t="s">
        <v>45</v>
      </c>
      <c r="D402" s="34">
        <v>2015</v>
      </c>
      <c r="E402" s="104" t="s">
        <v>47</v>
      </c>
      <c r="F402" s="104" t="s">
        <v>130</v>
      </c>
      <c r="G402" s="35" t="s">
        <v>178</v>
      </c>
      <c r="H402" s="112" t="s">
        <v>178</v>
      </c>
      <c r="I402" s="34" t="s">
        <v>178</v>
      </c>
      <c r="J402" s="34">
        <v>20</v>
      </c>
      <c r="K402" s="35" t="s">
        <v>106</v>
      </c>
      <c r="L402" s="112" t="s">
        <v>66</v>
      </c>
      <c r="M402" s="112" t="s">
        <v>67</v>
      </c>
      <c r="N402" s="112" t="s">
        <v>59</v>
      </c>
      <c r="O402" s="112" t="s">
        <v>169</v>
      </c>
      <c r="P402" s="112"/>
      <c r="Q402" s="112">
        <v>138.61000000000001</v>
      </c>
      <c r="R402" s="112"/>
      <c r="S402" s="112">
        <v>73.05</v>
      </c>
      <c r="T402" s="112"/>
      <c r="U402" s="112"/>
      <c r="V402" s="112"/>
      <c r="W402" s="112"/>
      <c r="X402" s="112"/>
      <c r="Y402" s="112"/>
      <c r="Z402" s="112"/>
      <c r="AA402" s="112"/>
      <c r="AB402" s="112"/>
      <c r="AC402" s="112"/>
      <c r="AD402" s="112"/>
      <c r="AE402" s="112"/>
      <c r="AF402" s="112"/>
      <c r="AG402" s="112"/>
      <c r="AH402" s="205"/>
    </row>
    <row r="403" spans="1:34" ht="15.95" customHeight="1" x14ac:dyDescent="0.25">
      <c r="A403" s="134">
        <v>60</v>
      </c>
      <c r="B403" s="104" t="s">
        <v>334</v>
      </c>
      <c r="C403" s="228" t="s">
        <v>333</v>
      </c>
      <c r="D403" s="104">
        <v>2022</v>
      </c>
      <c r="E403" s="104" t="s">
        <v>329</v>
      </c>
      <c r="F403" s="104" t="s">
        <v>130</v>
      </c>
      <c r="G403" s="112" t="s">
        <v>178</v>
      </c>
      <c r="H403" s="104">
        <v>21.9</v>
      </c>
      <c r="I403" s="104">
        <v>2</v>
      </c>
      <c r="J403" s="104">
        <v>10</v>
      </c>
      <c r="K403" s="104" t="s">
        <v>64</v>
      </c>
      <c r="L403" s="104" t="s">
        <v>66</v>
      </c>
      <c r="M403" s="112" t="s">
        <v>122</v>
      </c>
      <c r="N403" s="112" t="s">
        <v>59</v>
      </c>
      <c r="O403" s="35" t="s">
        <v>169</v>
      </c>
      <c r="P403" s="35"/>
      <c r="Q403" s="34">
        <v>153.80000000000001</v>
      </c>
      <c r="R403" s="34">
        <v>13.8</v>
      </c>
      <c r="S403" s="34"/>
      <c r="T403" s="34"/>
      <c r="U403" s="112"/>
      <c r="V403" s="112"/>
      <c r="W403" s="112"/>
      <c r="X403" s="112"/>
      <c r="Y403" s="112"/>
      <c r="Z403" s="112"/>
      <c r="AA403" s="112"/>
      <c r="AB403" s="112"/>
      <c r="AC403" s="112"/>
      <c r="AD403" s="112"/>
      <c r="AE403" s="112"/>
      <c r="AF403" s="112"/>
      <c r="AG403" s="112"/>
      <c r="AH403" s="205"/>
    </row>
    <row r="404" spans="1:34" ht="15.95" customHeight="1" x14ac:dyDescent="0.25">
      <c r="A404" s="134">
        <v>60</v>
      </c>
      <c r="B404" s="104" t="s">
        <v>334</v>
      </c>
      <c r="C404" s="228" t="s">
        <v>333</v>
      </c>
      <c r="D404" s="104">
        <v>2022</v>
      </c>
      <c r="E404" s="104" t="s">
        <v>329</v>
      </c>
      <c r="F404" s="104" t="s">
        <v>130</v>
      </c>
      <c r="G404" s="112" t="s">
        <v>178</v>
      </c>
      <c r="H404" s="104">
        <v>21.9</v>
      </c>
      <c r="I404" s="104">
        <v>2</v>
      </c>
      <c r="J404" s="104">
        <v>10</v>
      </c>
      <c r="K404" s="104" t="s">
        <v>65</v>
      </c>
      <c r="L404" s="104" t="s">
        <v>66</v>
      </c>
      <c r="M404" s="112" t="s">
        <v>122</v>
      </c>
      <c r="N404" s="112" t="s">
        <v>59</v>
      </c>
      <c r="O404" s="35" t="s">
        <v>169</v>
      </c>
      <c r="P404" s="35"/>
      <c r="Q404" s="34">
        <v>143.1</v>
      </c>
      <c r="R404" s="34">
        <v>5</v>
      </c>
      <c r="S404" s="34"/>
      <c r="T404" s="34"/>
      <c r="U404" s="112"/>
      <c r="V404" s="112"/>
      <c r="W404" s="112"/>
      <c r="X404" s="112"/>
      <c r="Y404" s="112"/>
      <c r="Z404" s="112"/>
      <c r="AA404" s="112"/>
      <c r="AB404" s="112"/>
      <c r="AC404" s="112"/>
      <c r="AD404" s="112"/>
      <c r="AE404" s="112"/>
      <c r="AF404" s="112"/>
      <c r="AG404" s="112"/>
      <c r="AH404" s="205"/>
    </row>
    <row r="405" spans="1:34" ht="15.95" customHeight="1" x14ac:dyDescent="0.25">
      <c r="A405" s="134">
        <v>60</v>
      </c>
      <c r="B405" s="104" t="s">
        <v>334</v>
      </c>
      <c r="C405" s="228" t="s">
        <v>333</v>
      </c>
      <c r="D405" s="104">
        <v>2022</v>
      </c>
      <c r="E405" s="104" t="s">
        <v>330</v>
      </c>
      <c r="F405" s="104" t="s">
        <v>130</v>
      </c>
      <c r="G405" s="112" t="s">
        <v>178</v>
      </c>
      <c r="H405" s="104">
        <v>22.2</v>
      </c>
      <c r="I405" s="104">
        <v>2.1</v>
      </c>
      <c r="J405" s="104">
        <v>10</v>
      </c>
      <c r="K405" s="104" t="s">
        <v>64</v>
      </c>
      <c r="L405" s="104" t="s">
        <v>66</v>
      </c>
      <c r="M405" s="112" t="s">
        <v>122</v>
      </c>
      <c r="N405" s="112" t="s">
        <v>59</v>
      </c>
      <c r="O405" s="35" t="s">
        <v>169</v>
      </c>
      <c r="P405" s="35"/>
      <c r="Q405" s="34">
        <v>159</v>
      </c>
      <c r="R405" s="34">
        <v>14</v>
      </c>
      <c r="S405" s="34"/>
      <c r="T405" s="34"/>
      <c r="U405" s="34"/>
      <c r="V405" s="34"/>
      <c r="W405" s="34"/>
      <c r="X405" s="34"/>
      <c r="Y405" s="34"/>
      <c r="Z405" s="112"/>
      <c r="AA405" s="112"/>
      <c r="AB405" s="112"/>
      <c r="AC405" s="112"/>
      <c r="AD405" s="112"/>
      <c r="AE405" s="112"/>
      <c r="AF405" s="112"/>
      <c r="AG405" s="112"/>
      <c r="AH405" s="205"/>
    </row>
    <row r="406" spans="1:34" ht="15.95" customHeight="1" x14ac:dyDescent="0.25">
      <c r="A406" s="134">
        <v>60</v>
      </c>
      <c r="B406" s="104" t="s">
        <v>334</v>
      </c>
      <c r="C406" s="228" t="s">
        <v>333</v>
      </c>
      <c r="D406" s="104">
        <v>2022</v>
      </c>
      <c r="E406" s="104" t="s">
        <v>330</v>
      </c>
      <c r="F406" s="104" t="s">
        <v>130</v>
      </c>
      <c r="G406" s="112" t="s">
        <v>178</v>
      </c>
      <c r="H406" s="104">
        <v>22.2</v>
      </c>
      <c r="I406" s="104">
        <v>2.1</v>
      </c>
      <c r="J406" s="104">
        <v>10</v>
      </c>
      <c r="K406" s="104" t="s">
        <v>65</v>
      </c>
      <c r="L406" s="104" t="s">
        <v>66</v>
      </c>
      <c r="M406" s="112" t="s">
        <v>122</v>
      </c>
      <c r="N406" s="112" t="s">
        <v>59</v>
      </c>
      <c r="O406" s="35" t="s">
        <v>169</v>
      </c>
      <c r="P406" s="35"/>
      <c r="Q406" s="34">
        <v>145.5</v>
      </c>
      <c r="R406" s="34">
        <v>7.4</v>
      </c>
      <c r="S406" s="34"/>
      <c r="T406" s="34"/>
      <c r="U406" s="34"/>
      <c r="V406" s="34"/>
      <c r="W406" s="34"/>
      <c r="X406" s="34"/>
      <c r="Y406" s="34"/>
      <c r="Z406" s="112"/>
      <c r="AA406" s="112"/>
      <c r="AB406" s="112"/>
      <c r="AC406" s="112"/>
      <c r="AD406" s="112"/>
      <c r="AE406" s="112"/>
      <c r="AF406" s="112"/>
      <c r="AG406" s="112"/>
      <c r="AH406" s="205"/>
    </row>
    <row r="407" spans="1:34" ht="15.95" customHeight="1" x14ac:dyDescent="0.25">
      <c r="A407" s="134">
        <v>60</v>
      </c>
      <c r="B407" s="104" t="s">
        <v>334</v>
      </c>
      <c r="C407" s="228" t="s">
        <v>333</v>
      </c>
      <c r="D407" s="104">
        <v>2022</v>
      </c>
      <c r="E407" s="104" t="s">
        <v>331</v>
      </c>
      <c r="F407" s="104" t="s">
        <v>130</v>
      </c>
      <c r="G407" s="112" t="s">
        <v>178</v>
      </c>
      <c r="H407" s="104">
        <v>22.5</v>
      </c>
      <c r="I407" s="104">
        <v>2.6</v>
      </c>
      <c r="J407" s="104">
        <v>10</v>
      </c>
      <c r="K407" s="104" t="s">
        <v>64</v>
      </c>
      <c r="L407" s="104" t="s">
        <v>66</v>
      </c>
      <c r="M407" s="112" t="s">
        <v>122</v>
      </c>
      <c r="N407" s="112" t="s">
        <v>59</v>
      </c>
      <c r="O407" s="35" t="s">
        <v>169</v>
      </c>
      <c r="P407" s="35"/>
      <c r="Q407" s="34">
        <v>165.9</v>
      </c>
      <c r="R407" s="34">
        <v>22.2</v>
      </c>
      <c r="S407" s="34"/>
      <c r="T407" s="34"/>
      <c r="U407" s="34"/>
      <c r="V407" s="34"/>
      <c r="W407" s="34"/>
      <c r="X407" s="34"/>
      <c r="Y407" s="34"/>
      <c r="Z407" s="112"/>
      <c r="AA407" s="112"/>
      <c r="AB407" s="112"/>
      <c r="AC407" s="112"/>
      <c r="AD407" s="112"/>
      <c r="AE407" s="112"/>
      <c r="AF407" s="112"/>
      <c r="AG407" s="112"/>
      <c r="AH407" s="205"/>
    </row>
    <row r="408" spans="1:34" ht="15.95" customHeight="1" x14ac:dyDescent="0.25">
      <c r="A408" s="134">
        <v>60</v>
      </c>
      <c r="B408" s="104" t="s">
        <v>334</v>
      </c>
      <c r="C408" s="228" t="s">
        <v>333</v>
      </c>
      <c r="D408" s="104">
        <v>2022</v>
      </c>
      <c r="E408" s="104" t="s">
        <v>331</v>
      </c>
      <c r="F408" s="104" t="s">
        <v>130</v>
      </c>
      <c r="G408" s="112" t="s">
        <v>178</v>
      </c>
      <c r="H408" s="104">
        <v>22.5</v>
      </c>
      <c r="I408" s="104">
        <v>2.6</v>
      </c>
      <c r="J408" s="104">
        <v>10</v>
      </c>
      <c r="K408" s="104" t="s">
        <v>65</v>
      </c>
      <c r="L408" s="104" t="s">
        <v>66</v>
      </c>
      <c r="M408" s="112" t="s">
        <v>122</v>
      </c>
      <c r="N408" s="112" t="s">
        <v>59</v>
      </c>
      <c r="O408" s="35" t="s">
        <v>169</v>
      </c>
      <c r="P408" s="35"/>
      <c r="Q408" s="34">
        <v>161</v>
      </c>
      <c r="R408" s="34">
        <v>13.4</v>
      </c>
      <c r="S408" s="34"/>
      <c r="T408" s="34"/>
      <c r="U408" s="34"/>
      <c r="V408" s="34"/>
      <c r="W408" s="34"/>
      <c r="X408" s="34"/>
      <c r="Y408" s="34"/>
      <c r="Z408" s="112"/>
      <c r="AA408" s="112"/>
      <c r="AB408" s="112"/>
      <c r="AC408" s="112"/>
      <c r="AD408" s="112"/>
      <c r="AE408" s="112"/>
      <c r="AF408" s="112"/>
      <c r="AG408" s="112"/>
      <c r="AH408" s="205"/>
    </row>
    <row r="409" spans="1:34" ht="15.95" customHeight="1" x14ac:dyDescent="0.25">
      <c r="A409" s="134">
        <v>60</v>
      </c>
      <c r="B409" s="104" t="s">
        <v>334</v>
      </c>
      <c r="C409" s="228" t="s">
        <v>333</v>
      </c>
      <c r="D409" s="104">
        <v>2022</v>
      </c>
      <c r="E409" s="104" t="s">
        <v>332</v>
      </c>
      <c r="F409" s="104" t="s">
        <v>130</v>
      </c>
      <c r="G409" s="112" t="s">
        <v>178</v>
      </c>
      <c r="H409" s="104">
        <v>22.7</v>
      </c>
      <c r="I409" s="104">
        <v>2.5</v>
      </c>
      <c r="J409" s="104">
        <v>10</v>
      </c>
      <c r="K409" s="104" t="s">
        <v>64</v>
      </c>
      <c r="L409" s="104" t="s">
        <v>66</v>
      </c>
      <c r="M409" s="112" t="s">
        <v>122</v>
      </c>
      <c r="N409" s="112" t="s">
        <v>59</v>
      </c>
      <c r="O409" s="35" t="s">
        <v>169</v>
      </c>
      <c r="P409" s="35"/>
      <c r="Q409" s="34">
        <v>162</v>
      </c>
      <c r="R409" s="34">
        <v>12.5</v>
      </c>
      <c r="S409" s="34"/>
      <c r="T409" s="34"/>
      <c r="U409" s="34"/>
      <c r="V409" s="34"/>
      <c r="W409" s="34"/>
      <c r="X409" s="34"/>
      <c r="Y409" s="34"/>
      <c r="Z409" s="112"/>
      <c r="AA409" s="112"/>
      <c r="AB409" s="112"/>
      <c r="AC409" s="112"/>
      <c r="AD409" s="112"/>
      <c r="AE409" s="112"/>
      <c r="AF409" s="112"/>
      <c r="AG409" s="112"/>
      <c r="AH409" s="205"/>
    </row>
    <row r="410" spans="1:34" ht="15.95" customHeight="1" x14ac:dyDescent="0.25">
      <c r="A410" s="134">
        <v>60</v>
      </c>
      <c r="B410" s="104" t="s">
        <v>334</v>
      </c>
      <c r="C410" s="228" t="s">
        <v>333</v>
      </c>
      <c r="D410" s="104">
        <v>2022</v>
      </c>
      <c r="E410" s="104" t="s">
        <v>332</v>
      </c>
      <c r="F410" s="104" t="s">
        <v>130</v>
      </c>
      <c r="G410" s="112" t="s">
        <v>178</v>
      </c>
      <c r="H410" s="104">
        <v>22.7</v>
      </c>
      <c r="I410" s="104">
        <v>2.5</v>
      </c>
      <c r="J410" s="104">
        <v>10</v>
      </c>
      <c r="K410" s="104" t="s">
        <v>65</v>
      </c>
      <c r="L410" s="104" t="s">
        <v>66</v>
      </c>
      <c r="M410" s="112" t="s">
        <v>122</v>
      </c>
      <c r="N410" s="112" t="s">
        <v>59</v>
      </c>
      <c r="O410" s="35" t="s">
        <v>169</v>
      </c>
      <c r="P410" s="35"/>
      <c r="Q410" s="34">
        <v>148</v>
      </c>
      <c r="R410" s="34">
        <v>5</v>
      </c>
      <c r="S410" s="34"/>
      <c r="T410" s="34"/>
      <c r="U410" s="34"/>
      <c r="V410" s="34"/>
      <c r="W410" s="34"/>
      <c r="X410" s="34"/>
      <c r="Y410" s="34"/>
      <c r="Z410" s="112"/>
      <c r="AA410" s="112"/>
      <c r="AB410" s="112"/>
      <c r="AC410" s="112"/>
      <c r="AD410" s="112"/>
      <c r="AE410" s="112"/>
      <c r="AF410" s="112"/>
      <c r="AG410" s="112"/>
      <c r="AH410" s="205"/>
    </row>
    <row r="411" spans="1:34" ht="15.95" customHeight="1" x14ac:dyDescent="0.25">
      <c r="A411" s="134">
        <v>120</v>
      </c>
      <c r="B411" s="104" t="s">
        <v>334</v>
      </c>
      <c r="C411" s="228" t="s">
        <v>333</v>
      </c>
      <c r="D411" s="104">
        <v>2022</v>
      </c>
      <c r="E411" s="104" t="s">
        <v>329</v>
      </c>
      <c r="F411" s="104" t="s">
        <v>130</v>
      </c>
      <c r="G411" s="112" t="s">
        <v>178</v>
      </c>
      <c r="H411" s="104">
        <v>21.9</v>
      </c>
      <c r="I411" s="104">
        <v>2</v>
      </c>
      <c r="J411" s="104">
        <v>10</v>
      </c>
      <c r="K411" s="104" t="s">
        <v>64</v>
      </c>
      <c r="L411" s="104" t="s">
        <v>66</v>
      </c>
      <c r="M411" s="112" t="s">
        <v>122</v>
      </c>
      <c r="N411" s="112" t="s">
        <v>59</v>
      </c>
      <c r="O411" s="35" t="s">
        <v>169</v>
      </c>
      <c r="P411" s="35"/>
      <c r="Q411" s="34">
        <v>124.3</v>
      </c>
      <c r="R411" s="34">
        <v>12.9</v>
      </c>
      <c r="S411" s="34"/>
      <c r="T411" s="34"/>
      <c r="U411" s="34"/>
      <c r="V411" s="34"/>
      <c r="W411" s="34"/>
      <c r="X411" s="34"/>
      <c r="Y411" s="34"/>
      <c r="Z411" s="112"/>
      <c r="AA411" s="112"/>
      <c r="AB411" s="112"/>
      <c r="AC411" s="112"/>
      <c r="AD411" s="112"/>
      <c r="AE411" s="112"/>
      <c r="AF411" s="112"/>
      <c r="AG411" s="112"/>
      <c r="AH411" s="205"/>
    </row>
    <row r="412" spans="1:34" ht="15.95" customHeight="1" x14ac:dyDescent="0.25">
      <c r="A412" s="134">
        <v>120</v>
      </c>
      <c r="B412" s="104" t="s">
        <v>334</v>
      </c>
      <c r="C412" s="228" t="s">
        <v>333</v>
      </c>
      <c r="D412" s="104">
        <v>2022</v>
      </c>
      <c r="E412" s="104" t="s">
        <v>329</v>
      </c>
      <c r="F412" s="104" t="s">
        <v>130</v>
      </c>
      <c r="G412" s="112" t="s">
        <v>178</v>
      </c>
      <c r="H412" s="104">
        <v>21.9</v>
      </c>
      <c r="I412" s="104">
        <v>2</v>
      </c>
      <c r="J412" s="104">
        <v>10</v>
      </c>
      <c r="K412" s="104" t="s">
        <v>65</v>
      </c>
      <c r="L412" s="104" t="s">
        <v>66</v>
      </c>
      <c r="M412" s="112" t="s">
        <v>122</v>
      </c>
      <c r="N412" s="112" t="s">
        <v>59</v>
      </c>
      <c r="O412" s="35" t="s">
        <v>169</v>
      </c>
      <c r="P412" s="35"/>
      <c r="Q412" s="34">
        <v>119.4</v>
      </c>
      <c r="R412" s="34">
        <v>11.1</v>
      </c>
      <c r="S412" s="34"/>
      <c r="T412" s="34"/>
      <c r="U412" s="34"/>
      <c r="V412" s="34"/>
      <c r="W412" s="34"/>
      <c r="X412" s="34"/>
      <c r="Y412" s="34"/>
      <c r="Z412" s="112"/>
      <c r="AA412" s="112"/>
      <c r="AB412" s="112"/>
      <c r="AC412" s="112"/>
      <c r="AD412" s="112"/>
      <c r="AE412" s="112"/>
      <c r="AF412" s="112"/>
      <c r="AG412" s="112"/>
      <c r="AH412" s="205"/>
    </row>
    <row r="413" spans="1:34" ht="15.95" customHeight="1" x14ac:dyDescent="0.25">
      <c r="A413" s="134">
        <v>120</v>
      </c>
      <c r="B413" s="104" t="s">
        <v>334</v>
      </c>
      <c r="C413" s="228" t="s">
        <v>333</v>
      </c>
      <c r="D413" s="104">
        <v>2022</v>
      </c>
      <c r="E413" s="104" t="s">
        <v>330</v>
      </c>
      <c r="F413" s="104" t="s">
        <v>130</v>
      </c>
      <c r="G413" s="112" t="s">
        <v>178</v>
      </c>
      <c r="H413" s="104">
        <v>22.2</v>
      </c>
      <c r="I413" s="104">
        <v>2.1</v>
      </c>
      <c r="J413" s="104">
        <v>10</v>
      </c>
      <c r="K413" s="104" t="s">
        <v>64</v>
      </c>
      <c r="L413" s="104" t="s">
        <v>66</v>
      </c>
      <c r="M413" s="112" t="s">
        <v>122</v>
      </c>
      <c r="N413" s="112" t="s">
        <v>59</v>
      </c>
      <c r="O413" s="35" t="s">
        <v>169</v>
      </c>
      <c r="P413" s="35"/>
      <c r="Q413" s="34">
        <v>127.4</v>
      </c>
      <c r="R413" s="34">
        <v>10.6</v>
      </c>
      <c r="S413" s="34"/>
      <c r="T413" s="34"/>
      <c r="U413" s="34"/>
      <c r="V413" s="34"/>
      <c r="W413" s="34"/>
      <c r="X413" s="34"/>
      <c r="Y413" s="34"/>
      <c r="Z413" s="112"/>
      <c r="AA413" s="112"/>
      <c r="AB413" s="112"/>
      <c r="AC413" s="112"/>
      <c r="AD413" s="112"/>
      <c r="AE413" s="112"/>
      <c r="AF413" s="112"/>
      <c r="AG413" s="112"/>
      <c r="AH413" s="205"/>
    </row>
    <row r="414" spans="1:34" ht="15.95" customHeight="1" x14ac:dyDescent="0.25">
      <c r="A414" s="134">
        <v>120</v>
      </c>
      <c r="B414" s="104" t="s">
        <v>334</v>
      </c>
      <c r="C414" s="228" t="s">
        <v>333</v>
      </c>
      <c r="D414" s="104">
        <v>2022</v>
      </c>
      <c r="E414" s="104" t="s">
        <v>330</v>
      </c>
      <c r="F414" s="104" t="s">
        <v>130</v>
      </c>
      <c r="G414" s="112" t="s">
        <v>178</v>
      </c>
      <c r="H414" s="104">
        <v>22.2</v>
      </c>
      <c r="I414" s="104">
        <v>2.1</v>
      </c>
      <c r="J414" s="104">
        <v>10</v>
      </c>
      <c r="K414" s="104" t="s">
        <v>65</v>
      </c>
      <c r="L414" s="104" t="s">
        <v>66</v>
      </c>
      <c r="M414" s="112" t="s">
        <v>122</v>
      </c>
      <c r="N414" s="112" t="s">
        <v>59</v>
      </c>
      <c r="O414" s="35" t="s">
        <v>169</v>
      </c>
      <c r="P414" s="35"/>
      <c r="Q414" s="34">
        <v>120.9</v>
      </c>
      <c r="R414" s="34">
        <v>7.7</v>
      </c>
      <c r="S414" s="34"/>
      <c r="T414" s="34"/>
      <c r="U414" s="34"/>
      <c r="V414" s="34"/>
      <c r="W414" s="34"/>
      <c r="X414" s="34"/>
      <c r="Y414" s="34"/>
      <c r="Z414" s="112"/>
      <c r="AA414" s="112"/>
      <c r="AB414" s="112"/>
      <c r="AC414" s="112"/>
      <c r="AD414" s="112"/>
      <c r="AE414" s="112"/>
      <c r="AF414" s="112"/>
      <c r="AG414" s="112"/>
      <c r="AH414" s="205"/>
    </row>
    <row r="415" spans="1:34" ht="15.95" customHeight="1" x14ac:dyDescent="0.25">
      <c r="A415" s="134">
        <v>120</v>
      </c>
      <c r="B415" s="104" t="s">
        <v>334</v>
      </c>
      <c r="C415" s="228" t="s">
        <v>333</v>
      </c>
      <c r="D415" s="104">
        <v>2022</v>
      </c>
      <c r="E415" s="104" t="s">
        <v>331</v>
      </c>
      <c r="F415" s="104" t="s">
        <v>130</v>
      </c>
      <c r="G415" s="112" t="s">
        <v>178</v>
      </c>
      <c r="H415" s="104">
        <v>22.5</v>
      </c>
      <c r="I415" s="104">
        <v>2.6</v>
      </c>
      <c r="J415" s="104">
        <v>10</v>
      </c>
      <c r="K415" s="104" t="s">
        <v>64</v>
      </c>
      <c r="L415" s="104" t="s">
        <v>66</v>
      </c>
      <c r="M415" s="112" t="s">
        <v>122</v>
      </c>
      <c r="N415" s="112" t="s">
        <v>59</v>
      </c>
      <c r="O415" s="35" t="s">
        <v>169</v>
      </c>
      <c r="P415" s="35"/>
      <c r="Q415" s="34">
        <v>130.80000000000001</v>
      </c>
      <c r="R415" s="34">
        <v>15.8</v>
      </c>
      <c r="S415" s="34"/>
      <c r="T415" s="34"/>
      <c r="U415" s="34"/>
      <c r="V415" s="34"/>
      <c r="W415" s="34"/>
      <c r="X415" s="34"/>
      <c r="Y415" s="34"/>
      <c r="Z415" s="112"/>
      <c r="AA415" s="112"/>
      <c r="AB415" s="112"/>
      <c r="AC415" s="112"/>
      <c r="AD415" s="112"/>
      <c r="AE415" s="112"/>
      <c r="AF415" s="112"/>
      <c r="AG415" s="112"/>
      <c r="AH415" s="205"/>
    </row>
    <row r="416" spans="1:34" ht="15.95" customHeight="1" x14ac:dyDescent="0.25">
      <c r="A416" s="134">
        <v>120</v>
      </c>
      <c r="B416" s="104" t="s">
        <v>334</v>
      </c>
      <c r="C416" s="228" t="s">
        <v>333</v>
      </c>
      <c r="D416" s="104">
        <v>2022</v>
      </c>
      <c r="E416" s="104" t="s">
        <v>331</v>
      </c>
      <c r="F416" s="104" t="s">
        <v>130</v>
      </c>
      <c r="G416" s="112" t="s">
        <v>178</v>
      </c>
      <c r="H416" s="104">
        <v>22.5</v>
      </c>
      <c r="I416" s="104">
        <v>2.6</v>
      </c>
      <c r="J416" s="104">
        <v>10</v>
      </c>
      <c r="K416" s="104" t="s">
        <v>65</v>
      </c>
      <c r="L416" s="104" t="s">
        <v>66</v>
      </c>
      <c r="M416" s="112" t="s">
        <v>122</v>
      </c>
      <c r="N416" s="112" t="s">
        <v>59</v>
      </c>
      <c r="O416" s="35" t="s">
        <v>169</v>
      </c>
      <c r="P416" s="35"/>
      <c r="Q416" s="34">
        <v>122.8</v>
      </c>
      <c r="R416" s="34">
        <v>9.8000000000000007</v>
      </c>
      <c r="S416" s="34"/>
      <c r="T416" s="34"/>
      <c r="U416" s="34"/>
      <c r="V416" s="34"/>
      <c r="W416" s="34"/>
      <c r="X416" s="34"/>
      <c r="Y416" s="34"/>
      <c r="Z416" s="112"/>
      <c r="AA416" s="112"/>
      <c r="AB416" s="112"/>
      <c r="AC416" s="112"/>
      <c r="AD416" s="112"/>
      <c r="AE416" s="112"/>
      <c r="AF416" s="112"/>
      <c r="AG416" s="112"/>
      <c r="AH416" s="205"/>
    </row>
    <row r="417" spans="1:34" ht="15.95" customHeight="1" x14ac:dyDescent="0.25">
      <c r="A417" s="134">
        <v>120</v>
      </c>
      <c r="B417" s="104" t="s">
        <v>334</v>
      </c>
      <c r="C417" s="228" t="s">
        <v>333</v>
      </c>
      <c r="D417" s="104">
        <v>2022</v>
      </c>
      <c r="E417" s="104" t="s">
        <v>332</v>
      </c>
      <c r="F417" s="104" t="s">
        <v>130</v>
      </c>
      <c r="G417" s="112" t="s">
        <v>178</v>
      </c>
      <c r="H417" s="104">
        <v>22.7</v>
      </c>
      <c r="I417" s="104">
        <v>2.5</v>
      </c>
      <c r="J417" s="104">
        <v>10</v>
      </c>
      <c r="K417" s="104" t="s">
        <v>64</v>
      </c>
      <c r="L417" s="104" t="s">
        <v>66</v>
      </c>
      <c r="M417" s="112" t="s">
        <v>122</v>
      </c>
      <c r="N417" s="112" t="s">
        <v>59</v>
      </c>
      <c r="O417" s="35" t="s">
        <v>169</v>
      </c>
      <c r="P417" s="35"/>
      <c r="Q417" s="34">
        <v>128.9</v>
      </c>
      <c r="R417" s="34">
        <v>8.6</v>
      </c>
      <c r="S417" s="34"/>
      <c r="T417" s="34"/>
      <c r="U417" s="34"/>
      <c r="V417" s="34"/>
      <c r="W417" s="34"/>
      <c r="X417" s="34"/>
      <c r="Y417" s="34"/>
      <c r="Z417" s="112"/>
      <c r="AA417" s="112"/>
      <c r="AB417" s="112"/>
      <c r="AC417" s="112"/>
      <c r="AD417" s="112"/>
      <c r="AE417" s="112"/>
      <c r="AF417" s="112"/>
      <c r="AG417" s="112"/>
      <c r="AH417" s="205"/>
    </row>
    <row r="418" spans="1:34" ht="15.95" customHeight="1" x14ac:dyDescent="0.25">
      <c r="A418" s="134">
        <v>120</v>
      </c>
      <c r="B418" s="104" t="s">
        <v>334</v>
      </c>
      <c r="C418" s="228" t="s">
        <v>333</v>
      </c>
      <c r="D418" s="104">
        <v>2022</v>
      </c>
      <c r="E418" s="104" t="s">
        <v>332</v>
      </c>
      <c r="F418" s="104" t="s">
        <v>130</v>
      </c>
      <c r="G418" s="112" t="s">
        <v>178</v>
      </c>
      <c r="H418" s="104">
        <v>22.7</v>
      </c>
      <c r="I418" s="104">
        <v>2.5</v>
      </c>
      <c r="J418" s="104">
        <v>10</v>
      </c>
      <c r="K418" s="104" t="s">
        <v>65</v>
      </c>
      <c r="L418" s="104" t="s">
        <v>66</v>
      </c>
      <c r="M418" s="112" t="s">
        <v>122</v>
      </c>
      <c r="N418" s="112" t="s">
        <v>59</v>
      </c>
      <c r="O418" s="35" t="s">
        <v>169</v>
      </c>
      <c r="P418" s="35"/>
      <c r="Q418" s="34">
        <v>107.7</v>
      </c>
      <c r="R418" s="34">
        <v>6.1</v>
      </c>
      <c r="S418" s="34"/>
      <c r="T418" s="34"/>
      <c r="U418" s="34"/>
      <c r="V418" s="34"/>
      <c r="W418" s="34"/>
      <c r="X418" s="34"/>
      <c r="Y418" s="34"/>
      <c r="Z418" s="112"/>
      <c r="AA418" s="112"/>
      <c r="AB418" s="112"/>
      <c r="AC418" s="112"/>
      <c r="AD418" s="112"/>
      <c r="AE418" s="112"/>
      <c r="AF418" s="112"/>
      <c r="AG418" s="112"/>
      <c r="AH418" s="205"/>
    </row>
    <row r="419" spans="1:34" ht="15.95" customHeight="1" x14ac:dyDescent="0.25">
      <c r="A419" s="134">
        <v>180</v>
      </c>
      <c r="B419" s="104" t="s">
        <v>334</v>
      </c>
      <c r="C419" s="228" t="s">
        <v>333</v>
      </c>
      <c r="D419" s="104">
        <v>2022</v>
      </c>
      <c r="E419" s="104" t="s">
        <v>329</v>
      </c>
      <c r="F419" s="104" t="s">
        <v>130</v>
      </c>
      <c r="G419" s="112" t="s">
        <v>178</v>
      </c>
      <c r="H419" s="104">
        <v>21.9</v>
      </c>
      <c r="I419" s="104">
        <v>2</v>
      </c>
      <c r="J419" s="104">
        <v>10</v>
      </c>
      <c r="K419" s="104" t="s">
        <v>64</v>
      </c>
      <c r="L419" s="104" t="s">
        <v>66</v>
      </c>
      <c r="M419" s="112" t="s">
        <v>122</v>
      </c>
      <c r="N419" s="112" t="s">
        <v>59</v>
      </c>
      <c r="O419" s="35" t="s">
        <v>169</v>
      </c>
      <c r="P419" s="35"/>
      <c r="Q419" s="34">
        <v>97.2</v>
      </c>
      <c r="R419" s="34">
        <v>6.4</v>
      </c>
      <c r="S419" s="34"/>
      <c r="T419" s="34"/>
      <c r="U419" s="34"/>
      <c r="V419" s="34"/>
      <c r="W419" s="34"/>
      <c r="X419" s="34"/>
      <c r="Y419" s="34"/>
      <c r="Z419" s="112"/>
      <c r="AA419" s="112"/>
      <c r="AB419" s="112"/>
      <c r="AC419" s="112"/>
      <c r="AD419" s="112"/>
      <c r="AE419" s="112"/>
      <c r="AF419" s="112"/>
      <c r="AG419" s="112"/>
      <c r="AH419" s="205"/>
    </row>
    <row r="420" spans="1:34" ht="15.95" customHeight="1" x14ac:dyDescent="0.25">
      <c r="A420" s="134">
        <v>180</v>
      </c>
      <c r="B420" s="104" t="s">
        <v>334</v>
      </c>
      <c r="C420" s="228" t="s">
        <v>333</v>
      </c>
      <c r="D420" s="104">
        <v>2022</v>
      </c>
      <c r="E420" s="104" t="s">
        <v>329</v>
      </c>
      <c r="F420" s="104" t="s">
        <v>130</v>
      </c>
      <c r="G420" s="112" t="s">
        <v>178</v>
      </c>
      <c r="H420" s="104">
        <v>21.9</v>
      </c>
      <c r="I420" s="104">
        <v>2</v>
      </c>
      <c r="J420" s="104">
        <v>10</v>
      </c>
      <c r="K420" s="104" t="s">
        <v>65</v>
      </c>
      <c r="L420" s="104" t="s">
        <v>66</v>
      </c>
      <c r="M420" s="112" t="s">
        <v>122</v>
      </c>
      <c r="N420" s="112" t="s">
        <v>59</v>
      </c>
      <c r="O420" s="35" t="s">
        <v>169</v>
      </c>
      <c r="P420" s="35"/>
      <c r="Q420" s="34">
        <v>90.3</v>
      </c>
      <c r="R420" s="34">
        <v>6.8</v>
      </c>
      <c r="S420" s="34"/>
      <c r="T420" s="34"/>
      <c r="U420" s="34"/>
      <c r="V420" s="34"/>
      <c r="W420" s="34"/>
      <c r="X420" s="34"/>
      <c r="Y420" s="34"/>
      <c r="Z420" s="112"/>
      <c r="AA420" s="112"/>
      <c r="AB420" s="112"/>
      <c r="AC420" s="112"/>
      <c r="AD420" s="112"/>
      <c r="AE420" s="112"/>
      <c r="AF420" s="112"/>
      <c r="AG420" s="112"/>
      <c r="AH420" s="205"/>
    </row>
    <row r="421" spans="1:34" ht="15.95" customHeight="1" x14ac:dyDescent="0.25">
      <c r="A421" s="134">
        <v>180</v>
      </c>
      <c r="B421" s="104" t="s">
        <v>334</v>
      </c>
      <c r="C421" s="228" t="s">
        <v>333</v>
      </c>
      <c r="D421" s="104">
        <v>2022</v>
      </c>
      <c r="E421" s="104" t="s">
        <v>330</v>
      </c>
      <c r="F421" s="104" t="s">
        <v>130</v>
      </c>
      <c r="G421" s="112" t="s">
        <v>178</v>
      </c>
      <c r="H421" s="104">
        <v>22.2</v>
      </c>
      <c r="I421" s="104">
        <v>2.1</v>
      </c>
      <c r="J421" s="104">
        <v>10</v>
      </c>
      <c r="K421" s="104" t="s">
        <v>64</v>
      </c>
      <c r="L421" s="104" t="s">
        <v>66</v>
      </c>
      <c r="M421" s="112" t="s">
        <v>122</v>
      </c>
      <c r="N421" s="112" t="s">
        <v>59</v>
      </c>
      <c r="O421" s="35" t="s">
        <v>169</v>
      </c>
      <c r="P421" s="35"/>
      <c r="Q421" s="34">
        <v>102.6</v>
      </c>
      <c r="R421" s="34">
        <v>5.0999999999999996</v>
      </c>
      <c r="S421" s="34"/>
      <c r="T421" s="34"/>
      <c r="U421" s="34"/>
      <c r="V421" s="34"/>
      <c r="W421" s="34"/>
      <c r="X421" s="34"/>
      <c r="Y421" s="34"/>
      <c r="Z421" s="112"/>
      <c r="AA421" s="112"/>
      <c r="AB421" s="112"/>
      <c r="AC421" s="112"/>
      <c r="AD421" s="112"/>
      <c r="AE421" s="112"/>
      <c r="AF421" s="112"/>
      <c r="AG421" s="112"/>
      <c r="AH421" s="205"/>
    </row>
    <row r="422" spans="1:34" ht="15.95" customHeight="1" x14ac:dyDescent="0.25">
      <c r="A422" s="134">
        <v>180</v>
      </c>
      <c r="B422" s="104" t="s">
        <v>334</v>
      </c>
      <c r="C422" s="228" t="s">
        <v>333</v>
      </c>
      <c r="D422" s="104">
        <v>2022</v>
      </c>
      <c r="E422" s="104" t="s">
        <v>330</v>
      </c>
      <c r="F422" s="104" t="s">
        <v>130</v>
      </c>
      <c r="G422" s="112" t="s">
        <v>178</v>
      </c>
      <c r="H422" s="104">
        <v>22.2</v>
      </c>
      <c r="I422" s="104">
        <v>2.1</v>
      </c>
      <c r="J422" s="104">
        <v>10</v>
      </c>
      <c r="K422" s="104" t="s">
        <v>65</v>
      </c>
      <c r="L422" s="104" t="s">
        <v>66</v>
      </c>
      <c r="M422" s="112" t="s">
        <v>122</v>
      </c>
      <c r="N422" s="112" t="s">
        <v>59</v>
      </c>
      <c r="O422" s="35" t="s">
        <v>169</v>
      </c>
      <c r="P422" s="35"/>
      <c r="Q422" s="34">
        <v>91.4</v>
      </c>
      <c r="R422" s="34">
        <v>3.3</v>
      </c>
      <c r="S422" s="34"/>
      <c r="T422" s="34"/>
      <c r="U422" s="34"/>
      <c r="V422" s="34"/>
      <c r="W422" s="34"/>
      <c r="X422" s="34"/>
      <c r="Y422" s="34"/>
      <c r="Z422" s="112"/>
      <c r="AA422" s="112"/>
      <c r="AB422" s="112"/>
      <c r="AC422" s="112"/>
      <c r="AD422" s="112"/>
      <c r="AE422" s="112"/>
      <c r="AF422" s="112"/>
      <c r="AG422" s="112"/>
      <c r="AH422" s="205"/>
    </row>
    <row r="423" spans="1:34" ht="15.95" customHeight="1" x14ac:dyDescent="0.25">
      <c r="A423" s="134">
        <v>180</v>
      </c>
      <c r="B423" s="104" t="s">
        <v>334</v>
      </c>
      <c r="C423" s="228" t="s">
        <v>333</v>
      </c>
      <c r="D423" s="104">
        <v>2022</v>
      </c>
      <c r="E423" s="104" t="s">
        <v>331</v>
      </c>
      <c r="F423" s="104" t="s">
        <v>130</v>
      </c>
      <c r="G423" s="112" t="s">
        <v>178</v>
      </c>
      <c r="H423" s="104">
        <v>22.5</v>
      </c>
      <c r="I423" s="104">
        <v>2.6</v>
      </c>
      <c r="J423" s="104">
        <v>10</v>
      </c>
      <c r="K423" s="104" t="s">
        <v>64</v>
      </c>
      <c r="L423" s="104" t="s">
        <v>66</v>
      </c>
      <c r="M423" s="112" t="s">
        <v>122</v>
      </c>
      <c r="N423" s="112" t="s">
        <v>59</v>
      </c>
      <c r="O423" s="35" t="s">
        <v>169</v>
      </c>
      <c r="P423" s="35"/>
      <c r="Q423" s="34">
        <v>105.5</v>
      </c>
      <c r="R423" s="34">
        <v>10.8</v>
      </c>
      <c r="S423" s="34"/>
      <c r="T423" s="34"/>
      <c r="U423" s="34"/>
      <c r="V423" s="34"/>
      <c r="W423" s="34"/>
      <c r="X423" s="34"/>
      <c r="Y423" s="34"/>
      <c r="Z423" s="112"/>
      <c r="AA423" s="112"/>
      <c r="AB423" s="112"/>
      <c r="AC423" s="112"/>
      <c r="AD423" s="112"/>
      <c r="AE423" s="112"/>
      <c r="AF423" s="112"/>
      <c r="AG423" s="112"/>
      <c r="AH423" s="205"/>
    </row>
    <row r="424" spans="1:34" ht="15.95" customHeight="1" x14ac:dyDescent="0.25">
      <c r="A424" s="134">
        <v>180</v>
      </c>
      <c r="B424" s="104" t="s">
        <v>334</v>
      </c>
      <c r="C424" s="228" t="s">
        <v>333</v>
      </c>
      <c r="D424" s="104">
        <v>2022</v>
      </c>
      <c r="E424" s="104" t="s">
        <v>331</v>
      </c>
      <c r="F424" s="104" t="s">
        <v>130</v>
      </c>
      <c r="G424" s="112" t="s">
        <v>178</v>
      </c>
      <c r="H424" s="104">
        <v>22.5</v>
      </c>
      <c r="I424" s="104">
        <v>2.6</v>
      </c>
      <c r="J424" s="104">
        <v>10</v>
      </c>
      <c r="K424" s="104" t="s">
        <v>65</v>
      </c>
      <c r="L424" s="104" t="s">
        <v>66</v>
      </c>
      <c r="M424" s="112" t="s">
        <v>122</v>
      </c>
      <c r="N424" s="112" t="s">
        <v>59</v>
      </c>
      <c r="O424" s="35" t="s">
        <v>169</v>
      </c>
      <c r="P424" s="35"/>
      <c r="Q424" s="34">
        <v>84.1</v>
      </c>
      <c r="R424" s="34">
        <v>9.6999999999999993</v>
      </c>
      <c r="S424" s="34"/>
      <c r="T424" s="34"/>
      <c r="U424" s="34"/>
      <c r="V424" s="34"/>
      <c r="W424" s="34"/>
      <c r="X424" s="34"/>
      <c r="Y424" s="34"/>
      <c r="Z424" s="112"/>
      <c r="AA424" s="112"/>
      <c r="AB424" s="112"/>
      <c r="AC424" s="112"/>
      <c r="AD424" s="112"/>
      <c r="AE424" s="112"/>
      <c r="AF424" s="112"/>
      <c r="AG424" s="112"/>
      <c r="AH424" s="205"/>
    </row>
    <row r="425" spans="1:34" ht="15.95" customHeight="1" x14ac:dyDescent="0.25">
      <c r="A425" s="134">
        <v>180</v>
      </c>
      <c r="B425" s="104" t="s">
        <v>334</v>
      </c>
      <c r="C425" s="228" t="s">
        <v>333</v>
      </c>
      <c r="D425" s="104">
        <v>2022</v>
      </c>
      <c r="E425" s="104" t="s">
        <v>332</v>
      </c>
      <c r="F425" s="104" t="s">
        <v>130</v>
      </c>
      <c r="G425" s="112" t="s">
        <v>178</v>
      </c>
      <c r="H425" s="104">
        <v>22.7</v>
      </c>
      <c r="I425" s="104">
        <v>2.5</v>
      </c>
      <c r="J425" s="104">
        <v>10</v>
      </c>
      <c r="K425" s="104" t="s">
        <v>64</v>
      </c>
      <c r="L425" s="104" t="s">
        <v>66</v>
      </c>
      <c r="M425" s="112" t="s">
        <v>122</v>
      </c>
      <c r="N425" s="112" t="s">
        <v>59</v>
      </c>
      <c r="O425" s="35" t="s">
        <v>169</v>
      </c>
      <c r="P425" s="35"/>
      <c r="Q425" s="34">
        <v>103</v>
      </c>
      <c r="R425" s="34">
        <v>5.4</v>
      </c>
      <c r="S425" s="34"/>
      <c r="T425" s="34"/>
      <c r="U425" s="34"/>
      <c r="V425" s="34"/>
      <c r="W425" s="34"/>
      <c r="X425" s="34"/>
      <c r="Y425" s="34"/>
      <c r="Z425" s="112"/>
      <c r="AA425" s="112"/>
      <c r="AB425" s="112"/>
      <c r="AC425" s="112"/>
      <c r="AD425" s="112"/>
      <c r="AE425" s="112"/>
      <c r="AF425" s="112"/>
      <c r="AG425" s="112"/>
      <c r="AH425" s="205"/>
    </row>
    <row r="426" spans="1:34" ht="15.95" customHeight="1" x14ac:dyDescent="0.25">
      <c r="A426" s="134">
        <v>180</v>
      </c>
      <c r="B426" s="104" t="s">
        <v>334</v>
      </c>
      <c r="C426" s="228" t="s">
        <v>333</v>
      </c>
      <c r="D426" s="127">
        <v>2022</v>
      </c>
      <c r="E426" s="104" t="s">
        <v>332</v>
      </c>
      <c r="F426" s="104" t="s">
        <v>130</v>
      </c>
      <c r="G426" s="112" t="s">
        <v>178</v>
      </c>
      <c r="H426" s="104">
        <v>22.7</v>
      </c>
      <c r="I426" s="104">
        <v>2.5</v>
      </c>
      <c r="J426" s="104">
        <v>10</v>
      </c>
      <c r="K426" s="104" t="s">
        <v>65</v>
      </c>
      <c r="L426" s="104" t="s">
        <v>66</v>
      </c>
      <c r="M426" s="112" t="s">
        <v>122</v>
      </c>
      <c r="N426" s="112" t="s">
        <v>59</v>
      </c>
      <c r="O426" s="35" t="s">
        <v>169</v>
      </c>
      <c r="P426" s="35"/>
      <c r="Q426" s="34">
        <v>88.3</v>
      </c>
      <c r="R426" s="34">
        <v>4.4000000000000004</v>
      </c>
      <c r="S426" s="34"/>
      <c r="T426" s="34"/>
      <c r="U426" s="34"/>
      <c r="V426" s="34"/>
      <c r="W426" s="34"/>
      <c r="X426" s="34"/>
      <c r="Y426" s="34"/>
      <c r="Z426" s="112"/>
      <c r="AA426" s="112"/>
      <c r="AB426" s="112"/>
      <c r="AC426" s="112"/>
      <c r="AD426" s="112"/>
      <c r="AE426" s="112"/>
      <c r="AF426" s="112"/>
      <c r="AG426" s="112"/>
      <c r="AH426" s="205"/>
    </row>
    <row r="427" spans="1:34" ht="15.95" customHeight="1" x14ac:dyDescent="0.25">
      <c r="A427" s="134">
        <v>60</v>
      </c>
      <c r="B427" s="104" t="s">
        <v>334</v>
      </c>
      <c r="C427" s="228" t="s">
        <v>333</v>
      </c>
      <c r="D427" s="133">
        <v>2022</v>
      </c>
      <c r="E427" s="104" t="s">
        <v>329</v>
      </c>
      <c r="F427" s="104" t="s">
        <v>130</v>
      </c>
      <c r="G427" s="112" t="s">
        <v>178</v>
      </c>
      <c r="H427" s="104">
        <v>21.9</v>
      </c>
      <c r="I427" s="35">
        <v>2</v>
      </c>
      <c r="J427" s="35">
        <v>10</v>
      </c>
      <c r="K427" s="35" t="s">
        <v>64</v>
      </c>
      <c r="L427" s="104" t="s">
        <v>66</v>
      </c>
      <c r="M427" s="112" t="s">
        <v>67</v>
      </c>
      <c r="N427" s="112" t="s">
        <v>59</v>
      </c>
      <c r="O427" s="35" t="s">
        <v>169</v>
      </c>
      <c r="P427" s="35"/>
      <c r="Q427" s="34"/>
      <c r="R427" s="34"/>
      <c r="S427" s="34">
        <v>207.9</v>
      </c>
      <c r="T427" s="34">
        <v>3.4</v>
      </c>
      <c r="U427" s="34"/>
      <c r="V427" s="34"/>
      <c r="W427" s="34"/>
      <c r="X427" s="34"/>
      <c r="Y427" s="34"/>
      <c r="Z427" s="112"/>
      <c r="AA427" s="112"/>
      <c r="AB427" s="112"/>
      <c r="AC427" s="112"/>
      <c r="AD427" s="112"/>
      <c r="AE427" s="112"/>
      <c r="AF427" s="112"/>
      <c r="AG427" s="112"/>
      <c r="AH427" s="205"/>
    </row>
    <row r="428" spans="1:34" ht="15.95" customHeight="1" x14ac:dyDescent="0.25">
      <c r="A428" s="134">
        <v>60</v>
      </c>
      <c r="B428" s="104" t="s">
        <v>334</v>
      </c>
      <c r="C428" s="228" t="s">
        <v>333</v>
      </c>
      <c r="D428" s="117">
        <v>2022</v>
      </c>
      <c r="E428" s="104" t="s">
        <v>329</v>
      </c>
      <c r="F428" s="104" t="s">
        <v>130</v>
      </c>
      <c r="G428" s="112" t="s">
        <v>178</v>
      </c>
      <c r="H428" s="104">
        <v>21.9</v>
      </c>
      <c r="I428" s="35">
        <v>2</v>
      </c>
      <c r="J428" s="35">
        <v>10</v>
      </c>
      <c r="K428" s="104" t="s">
        <v>65</v>
      </c>
      <c r="L428" s="104" t="s">
        <v>66</v>
      </c>
      <c r="M428" s="112" t="s">
        <v>67</v>
      </c>
      <c r="N428" s="112" t="s">
        <v>59</v>
      </c>
      <c r="O428" s="35" t="s">
        <v>169</v>
      </c>
      <c r="P428" s="35"/>
      <c r="Q428" s="134"/>
      <c r="R428" s="34"/>
      <c r="S428" s="34">
        <v>196.1</v>
      </c>
      <c r="T428" s="34">
        <v>10.6</v>
      </c>
      <c r="U428" s="34"/>
      <c r="V428" s="34"/>
      <c r="W428" s="34"/>
      <c r="X428" s="34"/>
      <c r="Y428" s="34"/>
      <c r="Z428" s="112"/>
      <c r="AA428" s="112"/>
      <c r="AB428" s="112"/>
      <c r="AC428" s="112"/>
      <c r="AD428" s="112"/>
      <c r="AE428" s="112"/>
      <c r="AF428" s="112"/>
      <c r="AG428" s="112"/>
      <c r="AH428" s="205"/>
    </row>
    <row r="429" spans="1:34" ht="15.95" customHeight="1" x14ac:dyDescent="0.25">
      <c r="A429" s="134">
        <v>60</v>
      </c>
      <c r="B429" s="104" t="s">
        <v>334</v>
      </c>
      <c r="C429" s="228" t="s">
        <v>333</v>
      </c>
      <c r="D429" s="117">
        <v>2022</v>
      </c>
      <c r="E429" s="104" t="s">
        <v>330</v>
      </c>
      <c r="F429" s="104" t="s">
        <v>130</v>
      </c>
      <c r="G429" s="112" t="s">
        <v>178</v>
      </c>
      <c r="H429" s="104">
        <v>22.2</v>
      </c>
      <c r="I429" s="35">
        <v>2.1</v>
      </c>
      <c r="J429" s="35">
        <v>10</v>
      </c>
      <c r="K429" s="35" t="s">
        <v>64</v>
      </c>
      <c r="L429" s="104" t="s">
        <v>66</v>
      </c>
      <c r="M429" s="112" t="s">
        <v>67</v>
      </c>
      <c r="N429" s="112" t="s">
        <v>59</v>
      </c>
      <c r="O429" s="35" t="s">
        <v>169</v>
      </c>
      <c r="P429" s="35"/>
      <c r="Q429" s="112"/>
      <c r="R429" s="112"/>
      <c r="S429" s="34">
        <v>222.3</v>
      </c>
      <c r="T429" s="34">
        <v>4.8</v>
      </c>
      <c r="U429" s="112"/>
      <c r="V429" s="112"/>
      <c r="W429" s="112"/>
      <c r="X429" s="112"/>
      <c r="Y429" s="112"/>
      <c r="Z429" s="112"/>
      <c r="AA429" s="112"/>
      <c r="AB429" s="112"/>
      <c r="AC429" s="112"/>
      <c r="AD429" s="112"/>
      <c r="AE429" s="112"/>
      <c r="AF429" s="112"/>
      <c r="AG429" s="112"/>
      <c r="AH429" s="205"/>
    </row>
    <row r="430" spans="1:34" ht="15.95" customHeight="1" x14ac:dyDescent="0.25">
      <c r="A430" s="134">
        <v>60</v>
      </c>
      <c r="B430" s="104" t="s">
        <v>334</v>
      </c>
      <c r="C430" s="228" t="s">
        <v>333</v>
      </c>
      <c r="D430" s="117">
        <v>2022</v>
      </c>
      <c r="E430" s="104" t="s">
        <v>330</v>
      </c>
      <c r="F430" s="104" t="s">
        <v>130</v>
      </c>
      <c r="G430" s="112" t="s">
        <v>178</v>
      </c>
      <c r="H430" s="104">
        <v>22.2</v>
      </c>
      <c r="I430" s="35">
        <v>2.1</v>
      </c>
      <c r="J430" s="35">
        <v>10</v>
      </c>
      <c r="K430" s="104" t="s">
        <v>65</v>
      </c>
      <c r="L430" s="104" t="s">
        <v>66</v>
      </c>
      <c r="M430" s="112" t="s">
        <v>67</v>
      </c>
      <c r="N430" s="112" t="s">
        <v>59</v>
      </c>
      <c r="O430" s="35" t="s">
        <v>169</v>
      </c>
      <c r="P430" s="35"/>
      <c r="Q430" s="112"/>
      <c r="R430" s="112"/>
      <c r="S430" s="34">
        <v>219.9</v>
      </c>
      <c r="T430" s="34">
        <v>5.8</v>
      </c>
      <c r="U430" s="112"/>
      <c r="V430" s="112"/>
      <c r="W430" s="112"/>
      <c r="X430" s="112"/>
      <c r="Y430" s="112"/>
      <c r="Z430" s="112"/>
      <c r="AA430" s="112"/>
      <c r="AB430" s="112"/>
      <c r="AC430" s="112"/>
      <c r="AD430" s="112"/>
      <c r="AE430" s="112"/>
      <c r="AF430" s="112"/>
      <c r="AG430" s="112"/>
      <c r="AH430" s="205"/>
    </row>
    <row r="431" spans="1:34" ht="15.95" customHeight="1" x14ac:dyDescent="0.25">
      <c r="A431" s="134">
        <v>60</v>
      </c>
      <c r="B431" s="104" t="s">
        <v>334</v>
      </c>
      <c r="C431" s="228" t="s">
        <v>333</v>
      </c>
      <c r="D431" s="117">
        <v>2022</v>
      </c>
      <c r="E431" s="104" t="s">
        <v>331</v>
      </c>
      <c r="F431" s="104" t="s">
        <v>130</v>
      </c>
      <c r="G431" s="112" t="s">
        <v>178</v>
      </c>
      <c r="H431" s="104">
        <v>22.5</v>
      </c>
      <c r="I431" s="35">
        <v>2.6</v>
      </c>
      <c r="J431" s="35">
        <v>10</v>
      </c>
      <c r="K431" s="35" t="s">
        <v>64</v>
      </c>
      <c r="L431" s="104" t="s">
        <v>66</v>
      </c>
      <c r="M431" s="112" t="s">
        <v>67</v>
      </c>
      <c r="N431" s="112" t="s">
        <v>59</v>
      </c>
      <c r="O431" s="35" t="s">
        <v>169</v>
      </c>
      <c r="P431" s="35"/>
      <c r="Q431" s="112"/>
      <c r="R431" s="112"/>
      <c r="S431" s="34">
        <v>230</v>
      </c>
      <c r="T431" s="34">
        <v>3.7</v>
      </c>
      <c r="U431" s="112"/>
      <c r="V431" s="112"/>
      <c r="W431" s="112"/>
      <c r="X431" s="112"/>
      <c r="Y431" s="112"/>
      <c r="Z431" s="112"/>
      <c r="AA431" s="112"/>
      <c r="AB431" s="112"/>
      <c r="AC431" s="112"/>
      <c r="AD431" s="112"/>
      <c r="AE431" s="112"/>
      <c r="AF431" s="112"/>
      <c r="AG431" s="112"/>
      <c r="AH431" s="205"/>
    </row>
    <row r="432" spans="1:34" ht="15.95" customHeight="1" x14ac:dyDescent="0.25">
      <c r="A432" s="134">
        <v>60</v>
      </c>
      <c r="B432" s="104" t="s">
        <v>334</v>
      </c>
      <c r="C432" s="228" t="s">
        <v>333</v>
      </c>
      <c r="D432" s="117">
        <v>2022</v>
      </c>
      <c r="E432" s="104" t="s">
        <v>331</v>
      </c>
      <c r="F432" s="104" t="s">
        <v>130</v>
      </c>
      <c r="G432" s="112" t="s">
        <v>178</v>
      </c>
      <c r="H432" s="104">
        <v>22.5</v>
      </c>
      <c r="I432" s="35">
        <v>2.6</v>
      </c>
      <c r="J432" s="35">
        <v>10</v>
      </c>
      <c r="K432" s="104" t="s">
        <v>65</v>
      </c>
      <c r="L432" s="104" t="s">
        <v>66</v>
      </c>
      <c r="M432" s="112" t="s">
        <v>67</v>
      </c>
      <c r="N432" s="112" t="s">
        <v>59</v>
      </c>
      <c r="O432" s="35" t="s">
        <v>169</v>
      </c>
      <c r="P432" s="35"/>
      <c r="Q432" s="112"/>
      <c r="R432" s="112"/>
      <c r="S432" s="34">
        <v>213.4</v>
      </c>
      <c r="T432" s="34">
        <v>15.5</v>
      </c>
      <c r="U432" s="112"/>
      <c r="V432" s="112"/>
      <c r="W432" s="112"/>
      <c r="X432" s="112"/>
      <c r="Y432" s="112"/>
      <c r="Z432" s="112"/>
      <c r="AA432" s="112"/>
      <c r="AB432" s="112"/>
      <c r="AC432" s="112"/>
      <c r="AD432" s="112"/>
      <c r="AE432" s="112"/>
      <c r="AF432" s="112"/>
      <c r="AG432" s="112"/>
      <c r="AH432" s="205"/>
    </row>
    <row r="433" spans="1:34" ht="15.95" customHeight="1" x14ac:dyDescent="0.25">
      <c r="A433" s="134">
        <v>60</v>
      </c>
      <c r="B433" s="104" t="s">
        <v>334</v>
      </c>
      <c r="C433" s="228" t="s">
        <v>333</v>
      </c>
      <c r="D433" s="117">
        <v>2022</v>
      </c>
      <c r="E433" s="104" t="s">
        <v>332</v>
      </c>
      <c r="F433" s="104" t="s">
        <v>130</v>
      </c>
      <c r="G433" s="112" t="s">
        <v>178</v>
      </c>
      <c r="H433" s="104">
        <v>22.7</v>
      </c>
      <c r="I433" s="35">
        <v>2.5</v>
      </c>
      <c r="J433" s="35">
        <v>10</v>
      </c>
      <c r="K433" s="35" t="s">
        <v>64</v>
      </c>
      <c r="L433" s="104" t="s">
        <v>66</v>
      </c>
      <c r="M433" s="112" t="s">
        <v>67</v>
      </c>
      <c r="N433" s="112" t="s">
        <v>59</v>
      </c>
      <c r="O433" s="35" t="s">
        <v>169</v>
      </c>
      <c r="P433" s="35"/>
      <c r="Q433" s="112"/>
      <c r="R433" s="112"/>
      <c r="S433" s="34">
        <v>226.2</v>
      </c>
      <c r="T433" s="34">
        <v>6.4</v>
      </c>
      <c r="U433" s="112"/>
      <c r="V433" s="112"/>
      <c r="W433" s="112"/>
      <c r="X433" s="112"/>
      <c r="Y433" s="112"/>
      <c r="Z433" s="112"/>
      <c r="AA433" s="112"/>
      <c r="AB433" s="112"/>
      <c r="AC433" s="112"/>
      <c r="AD433" s="112"/>
      <c r="AE433" s="112"/>
      <c r="AF433" s="112"/>
      <c r="AG433" s="112"/>
      <c r="AH433" s="205"/>
    </row>
    <row r="434" spans="1:34" ht="15.95" customHeight="1" x14ac:dyDescent="0.25">
      <c r="A434" s="134">
        <v>60</v>
      </c>
      <c r="B434" s="104" t="s">
        <v>334</v>
      </c>
      <c r="C434" s="228" t="s">
        <v>333</v>
      </c>
      <c r="D434" s="117">
        <v>2022</v>
      </c>
      <c r="E434" s="104" t="s">
        <v>332</v>
      </c>
      <c r="F434" s="104" t="s">
        <v>130</v>
      </c>
      <c r="G434" s="112" t="s">
        <v>178</v>
      </c>
      <c r="H434" s="104">
        <v>22.7</v>
      </c>
      <c r="I434" s="35">
        <v>2.5</v>
      </c>
      <c r="J434" s="35">
        <v>10</v>
      </c>
      <c r="K434" s="104" t="s">
        <v>65</v>
      </c>
      <c r="L434" s="104" t="s">
        <v>66</v>
      </c>
      <c r="M434" s="112" t="s">
        <v>67</v>
      </c>
      <c r="N434" s="112" t="s">
        <v>59</v>
      </c>
      <c r="O434" s="35" t="s">
        <v>169</v>
      </c>
      <c r="P434" s="35"/>
      <c r="Q434" s="112"/>
      <c r="R434" s="112"/>
      <c r="S434" s="34">
        <v>208.9</v>
      </c>
      <c r="T434" s="34">
        <v>7.2</v>
      </c>
      <c r="U434" s="112"/>
      <c r="V434" s="112"/>
      <c r="W434" s="112"/>
      <c r="X434" s="112"/>
      <c r="Y434" s="112"/>
      <c r="Z434" s="112"/>
      <c r="AA434" s="112"/>
      <c r="AB434" s="112"/>
      <c r="AC434" s="112"/>
      <c r="AD434" s="112"/>
      <c r="AE434" s="112"/>
      <c r="AF434" s="112"/>
      <c r="AG434" s="112"/>
      <c r="AH434" s="205"/>
    </row>
    <row r="435" spans="1:34" ht="15.95" customHeight="1" x14ac:dyDescent="0.25">
      <c r="A435" s="134">
        <v>120</v>
      </c>
      <c r="B435" s="104" t="s">
        <v>334</v>
      </c>
      <c r="C435" s="228" t="s">
        <v>333</v>
      </c>
      <c r="D435" s="117">
        <v>2022</v>
      </c>
      <c r="E435" s="104" t="s">
        <v>329</v>
      </c>
      <c r="F435" s="104" t="s">
        <v>130</v>
      </c>
      <c r="G435" s="112" t="s">
        <v>178</v>
      </c>
      <c r="H435" s="104">
        <v>21.9</v>
      </c>
      <c r="I435" s="35">
        <v>2</v>
      </c>
      <c r="J435" s="35">
        <v>10</v>
      </c>
      <c r="K435" s="35" t="s">
        <v>64</v>
      </c>
      <c r="L435" s="104" t="s">
        <v>66</v>
      </c>
      <c r="M435" s="112" t="s">
        <v>67</v>
      </c>
      <c r="N435" s="112" t="s">
        <v>59</v>
      </c>
      <c r="O435" s="35" t="s">
        <v>169</v>
      </c>
      <c r="P435" s="35"/>
      <c r="Q435" s="112"/>
      <c r="R435" s="112"/>
      <c r="S435" s="34">
        <v>166.1</v>
      </c>
      <c r="T435" s="34">
        <v>7.9</v>
      </c>
      <c r="U435" s="112"/>
      <c r="V435" s="112"/>
      <c r="W435" s="112"/>
      <c r="X435" s="112"/>
      <c r="Y435" s="112"/>
      <c r="Z435" s="112"/>
      <c r="AA435" s="112"/>
      <c r="AB435" s="112"/>
      <c r="AC435" s="112"/>
      <c r="AD435" s="112"/>
      <c r="AE435" s="112"/>
      <c r="AF435" s="112"/>
      <c r="AG435" s="112"/>
      <c r="AH435" s="205"/>
    </row>
    <row r="436" spans="1:34" ht="15.95" customHeight="1" x14ac:dyDescent="0.25">
      <c r="A436" s="134">
        <v>120</v>
      </c>
      <c r="B436" s="104" t="s">
        <v>334</v>
      </c>
      <c r="C436" s="228" t="s">
        <v>333</v>
      </c>
      <c r="D436" s="117">
        <v>2022</v>
      </c>
      <c r="E436" s="104" t="s">
        <v>329</v>
      </c>
      <c r="F436" s="104" t="s">
        <v>130</v>
      </c>
      <c r="G436" s="112" t="s">
        <v>178</v>
      </c>
      <c r="H436" s="104">
        <v>21.9</v>
      </c>
      <c r="I436" s="35">
        <v>2</v>
      </c>
      <c r="J436" s="35">
        <v>10</v>
      </c>
      <c r="K436" s="104" t="s">
        <v>65</v>
      </c>
      <c r="L436" s="104" t="s">
        <v>66</v>
      </c>
      <c r="M436" s="112" t="s">
        <v>67</v>
      </c>
      <c r="N436" s="112" t="s">
        <v>59</v>
      </c>
      <c r="O436" s="35" t="s">
        <v>169</v>
      </c>
      <c r="P436" s="35"/>
      <c r="Q436" s="112"/>
      <c r="R436" s="112"/>
      <c r="S436" s="34">
        <v>155.6</v>
      </c>
      <c r="T436" s="34">
        <v>5.9</v>
      </c>
      <c r="U436" s="112"/>
      <c r="V436" s="112"/>
      <c r="W436" s="112"/>
      <c r="X436" s="112"/>
      <c r="Y436" s="112"/>
      <c r="Z436" s="112"/>
      <c r="AA436" s="112"/>
      <c r="AB436" s="112"/>
      <c r="AC436" s="112"/>
      <c r="AD436" s="112"/>
      <c r="AE436" s="112"/>
      <c r="AF436" s="112"/>
      <c r="AG436" s="112"/>
      <c r="AH436" s="205"/>
    </row>
    <row r="437" spans="1:34" ht="15.95" customHeight="1" x14ac:dyDescent="0.25">
      <c r="A437" s="134">
        <v>120</v>
      </c>
      <c r="B437" s="104" t="s">
        <v>334</v>
      </c>
      <c r="C437" s="228" t="s">
        <v>333</v>
      </c>
      <c r="D437" s="117">
        <v>2022</v>
      </c>
      <c r="E437" s="104" t="s">
        <v>330</v>
      </c>
      <c r="F437" s="104" t="s">
        <v>130</v>
      </c>
      <c r="G437" s="112" t="s">
        <v>178</v>
      </c>
      <c r="H437" s="104">
        <v>22.2</v>
      </c>
      <c r="I437" s="35">
        <v>2.1</v>
      </c>
      <c r="J437" s="35">
        <v>10</v>
      </c>
      <c r="K437" s="35" t="s">
        <v>64</v>
      </c>
      <c r="L437" s="104" t="s">
        <v>66</v>
      </c>
      <c r="M437" s="112" t="s">
        <v>67</v>
      </c>
      <c r="N437" s="112" t="s">
        <v>59</v>
      </c>
      <c r="O437" s="35" t="s">
        <v>169</v>
      </c>
      <c r="P437" s="35"/>
      <c r="Q437" s="112"/>
      <c r="R437" s="112"/>
      <c r="S437" s="112">
        <v>174.3</v>
      </c>
      <c r="T437" s="112">
        <v>4.5999999999999996</v>
      </c>
      <c r="U437" s="112"/>
      <c r="V437" s="112"/>
      <c r="W437" s="112"/>
      <c r="X437" s="112"/>
      <c r="Y437" s="112"/>
      <c r="Z437" s="112"/>
      <c r="AA437" s="112"/>
      <c r="AB437" s="112"/>
      <c r="AC437" s="112"/>
      <c r="AD437" s="112"/>
      <c r="AE437" s="112"/>
      <c r="AF437" s="112"/>
      <c r="AG437" s="112"/>
      <c r="AH437" s="205"/>
    </row>
    <row r="438" spans="1:34" ht="15.95" customHeight="1" x14ac:dyDescent="0.25">
      <c r="A438" s="134">
        <v>120</v>
      </c>
      <c r="B438" s="104" t="s">
        <v>334</v>
      </c>
      <c r="C438" s="228" t="s">
        <v>333</v>
      </c>
      <c r="D438" s="117">
        <v>2022</v>
      </c>
      <c r="E438" s="104" t="s">
        <v>330</v>
      </c>
      <c r="F438" s="104" t="s">
        <v>130</v>
      </c>
      <c r="G438" s="112" t="s">
        <v>178</v>
      </c>
      <c r="H438" s="104">
        <v>22.2</v>
      </c>
      <c r="I438" s="35">
        <v>2.1</v>
      </c>
      <c r="J438" s="35">
        <v>10</v>
      </c>
      <c r="K438" s="104" t="s">
        <v>65</v>
      </c>
      <c r="L438" s="104" t="s">
        <v>66</v>
      </c>
      <c r="M438" s="112" t="s">
        <v>67</v>
      </c>
      <c r="N438" s="112" t="s">
        <v>59</v>
      </c>
      <c r="O438" s="35" t="s">
        <v>169</v>
      </c>
      <c r="P438" s="35"/>
      <c r="Q438" s="112"/>
      <c r="R438" s="112"/>
      <c r="S438" s="112">
        <v>165.9</v>
      </c>
      <c r="T438" s="112">
        <v>5.4</v>
      </c>
      <c r="U438" s="112"/>
      <c r="V438" s="112"/>
      <c r="W438" s="112"/>
      <c r="X438" s="112"/>
      <c r="Y438" s="112"/>
      <c r="Z438" s="112"/>
      <c r="AA438" s="112"/>
      <c r="AB438" s="112"/>
      <c r="AC438" s="112"/>
      <c r="AD438" s="112"/>
      <c r="AE438" s="112"/>
      <c r="AF438" s="112"/>
      <c r="AG438" s="112"/>
      <c r="AH438" s="205"/>
    </row>
    <row r="439" spans="1:34" ht="15.95" customHeight="1" x14ac:dyDescent="0.25">
      <c r="A439" s="134">
        <v>120</v>
      </c>
      <c r="B439" s="104" t="s">
        <v>334</v>
      </c>
      <c r="C439" s="228" t="s">
        <v>333</v>
      </c>
      <c r="D439" s="117">
        <v>2022</v>
      </c>
      <c r="E439" s="104" t="s">
        <v>331</v>
      </c>
      <c r="F439" s="104" t="s">
        <v>130</v>
      </c>
      <c r="G439" s="112" t="s">
        <v>178</v>
      </c>
      <c r="H439" s="104">
        <v>22.5</v>
      </c>
      <c r="I439" s="35">
        <v>2.6</v>
      </c>
      <c r="J439" s="35">
        <v>10</v>
      </c>
      <c r="K439" s="35" t="s">
        <v>64</v>
      </c>
      <c r="L439" s="104" t="s">
        <v>66</v>
      </c>
      <c r="M439" s="112" t="s">
        <v>67</v>
      </c>
      <c r="N439" s="112" t="s">
        <v>59</v>
      </c>
      <c r="O439" s="35" t="s">
        <v>169</v>
      </c>
      <c r="P439" s="35"/>
      <c r="Q439" s="112"/>
      <c r="R439" s="112"/>
      <c r="S439" s="112">
        <v>179.1</v>
      </c>
      <c r="T439" s="112">
        <v>7</v>
      </c>
      <c r="U439" s="112"/>
      <c r="V439" s="112"/>
      <c r="W439" s="112"/>
      <c r="X439" s="112"/>
      <c r="Y439" s="112"/>
      <c r="Z439" s="112"/>
      <c r="AA439" s="112"/>
      <c r="AB439" s="112"/>
      <c r="AC439" s="112"/>
      <c r="AD439" s="112"/>
      <c r="AE439" s="112"/>
      <c r="AF439" s="112"/>
      <c r="AG439" s="112"/>
      <c r="AH439" s="205"/>
    </row>
    <row r="440" spans="1:34" ht="15.95" customHeight="1" x14ac:dyDescent="0.25">
      <c r="A440" s="134">
        <v>120</v>
      </c>
      <c r="B440" s="104" t="s">
        <v>334</v>
      </c>
      <c r="C440" s="228" t="s">
        <v>333</v>
      </c>
      <c r="D440" s="117">
        <v>2022</v>
      </c>
      <c r="E440" s="104" t="s">
        <v>331</v>
      </c>
      <c r="F440" s="104" t="s">
        <v>130</v>
      </c>
      <c r="G440" s="112" t="s">
        <v>178</v>
      </c>
      <c r="H440" s="104">
        <v>22.5</v>
      </c>
      <c r="I440" s="35">
        <v>2.6</v>
      </c>
      <c r="J440" s="35">
        <v>10</v>
      </c>
      <c r="K440" s="104" t="s">
        <v>65</v>
      </c>
      <c r="L440" s="104" t="s">
        <v>66</v>
      </c>
      <c r="M440" s="112" t="s">
        <v>67</v>
      </c>
      <c r="N440" s="112" t="s">
        <v>59</v>
      </c>
      <c r="O440" s="35" t="s">
        <v>169</v>
      </c>
      <c r="P440" s="35"/>
      <c r="Q440" s="112"/>
      <c r="R440" s="112"/>
      <c r="S440" s="112">
        <v>159.9</v>
      </c>
      <c r="T440" s="112">
        <v>14.1</v>
      </c>
      <c r="U440" s="112"/>
      <c r="V440" s="112"/>
      <c r="W440" s="112"/>
      <c r="X440" s="112"/>
      <c r="Y440" s="112"/>
      <c r="Z440" s="112"/>
      <c r="AA440" s="112"/>
      <c r="AB440" s="112"/>
      <c r="AC440" s="112"/>
      <c r="AD440" s="112"/>
      <c r="AE440" s="112"/>
      <c r="AF440" s="112"/>
      <c r="AG440" s="112"/>
      <c r="AH440" s="205"/>
    </row>
    <row r="441" spans="1:34" ht="15.95" customHeight="1" x14ac:dyDescent="0.25">
      <c r="A441" s="134">
        <v>120</v>
      </c>
      <c r="B441" s="104" t="s">
        <v>334</v>
      </c>
      <c r="C441" s="228" t="s">
        <v>333</v>
      </c>
      <c r="D441" s="117">
        <v>2022</v>
      </c>
      <c r="E441" s="104" t="s">
        <v>332</v>
      </c>
      <c r="F441" s="104" t="s">
        <v>130</v>
      </c>
      <c r="G441" s="112" t="s">
        <v>178</v>
      </c>
      <c r="H441" s="104">
        <v>22.7</v>
      </c>
      <c r="I441" s="35">
        <v>2.5</v>
      </c>
      <c r="J441" s="35">
        <v>10</v>
      </c>
      <c r="K441" s="35" t="s">
        <v>64</v>
      </c>
      <c r="L441" s="104" t="s">
        <v>66</v>
      </c>
      <c r="M441" s="112" t="s">
        <v>67</v>
      </c>
      <c r="N441" s="112" t="s">
        <v>59</v>
      </c>
      <c r="O441" s="35" t="s">
        <v>169</v>
      </c>
      <c r="P441" s="35"/>
      <c r="Q441" s="112"/>
      <c r="R441" s="112"/>
      <c r="S441" s="112">
        <v>176.7</v>
      </c>
      <c r="T441" s="112">
        <v>3.7</v>
      </c>
      <c r="U441" s="112"/>
      <c r="V441" s="112"/>
      <c r="W441" s="112"/>
      <c r="X441" s="112"/>
      <c r="Y441" s="112"/>
      <c r="Z441" s="112"/>
      <c r="AA441" s="112"/>
      <c r="AB441" s="112"/>
      <c r="AC441" s="112"/>
      <c r="AD441" s="112"/>
      <c r="AE441" s="112"/>
      <c r="AF441" s="112"/>
      <c r="AG441" s="112"/>
      <c r="AH441" s="205"/>
    </row>
    <row r="442" spans="1:34" ht="15.95" customHeight="1" x14ac:dyDescent="0.25">
      <c r="A442" s="134">
        <v>120</v>
      </c>
      <c r="B442" s="104" t="s">
        <v>334</v>
      </c>
      <c r="C442" s="228" t="s">
        <v>333</v>
      </c>
      <c r="D442" s="117">
        <v>2022</v>
      </c>
      <c r="E442" s="104" t="s">
        <v>332</v>
      </c>
      <c r="F442" s="104" t="s">
        <v>130</v>
      </c>
      <c r="G442" s="112" t="s">
        <v>178</v>
      </c>
      <c r="H442" s="104">
        <v>22.7</v>
      </c>
      <c r="I442" s="35">
        <v>2.5</v>
      </c>
      <c r="J442" s="35">
        <v>10</v>
      </c>
      <c r="K442" s="104" t="s">
        <v>65</v>
      </c>
      <c r="L442" s="104" t="s">
        <v>66</v>
      </c>
      <c r="M442" s="112" t="s">
        <v>67</v>
      </c>
      <c r="N442" s="112" t="s">
        <v>59</v>
      </c>
      <c r="O442" s="35" t="s">
        <v>169</v>
      </c>
      <c r="P442" s="35"/>
      <c r="Q442" s="112"/>
      <c r="R442" s="112"/>
      <c r="S442" s="112">
        <v>162.80000000000001</v>
      </c>
      <c r="T442" s="112">
        <v>5.5</v>
      </c>
      <c r="U442" s="112"/>
      <c r="V442" s="112"/>
      <c r="W442" s="112"/>
      <c r="X442" s="112"/>
      <c r="Y442" s="112"/>
      <c r="Z442" s="112"/>
      <c r="AA442" s="112"/>
      <c r="AB442" s="112"/>
      <c r="AC442" s="112"/>
      <c r="AD442" s="112"/>
      <c r="AE442" s="112"/>
      <c r="AF442" s="112"/>
      <c r="AG442" s="112"/>
      <c r="AH442" s="205"/>
    </row>
    <row r="443" spans="1:34" ht="15.95" customHeight="1" x14ac:dyDescent="0.25">
      <c r="A443" s="134">
        <v>180</v>
      </c>
      <c r="B443" s="104" t="s">
        <v>334</v>
      </c>
      <c r="C443" s="228" t="s">
        <v>333</v>
      </c>
      <c r="D443" s="117">
        <v>2022</v>
      </c>
      <c r="E443" s="104" t="s">
        <v>329</v>
      </c>
      <c r="F443" s="104" t="s">
        <v>130</v>
      </c>
      <c r="G443" s="112" t="s">
        <v>178</v>
      </c>
      <c r="H443" s="104">
        <v>21.9</v>
      </c>
      <c r="I443" s="35">
        <v>2</v>
      </c>
      <c r="J443" s="35">
        <v>10</v>
      </c>
      <c r="K443" s="35" t="s">
        <v>64</v>
      </c>
      <c r="L443" s="104" t="s">
        <v>66</v>
      </c>
      <c r="M443" s="112" t="s">
        <v>67</v>
      </c>
      <c r="N443" s="112" t="s">
        <v>59</v>
      </c>
      <c r="O443" s="35" t="s">
        <v>169</v>
      </c>
      <c r="P443" s="35"/>
      <c r="Q443" s="112"/>
      <c r="R443" s="112"/>
      <c r="S443" s="112">
        <v>140.4</v>
      </c>
      <c r="T443" s="112">
        <v>9.8000000000000007</v>
      </c>
      <c r="U443" s="112"/>
      <c r="V443" s="112"/>
      <c r="W443" s="112"/>
      <c r="X443" s="112"/>
      <c r="Y443" s="112"/>
      <c r="Z443" s="112"/>
      <c r="AA443" s="112"/>
      <c r="AB443" s="112"/>
      <c r="AC443" s="112"/>
      <c r="AD443" s="112"/>
      <c r="AE443" s="112"/>
      <c r="AF443" s="112"/>
      <c r="AG443" s="112"/>
      <c r="AH443" s="205"/>
    </row>
    <row r="444" spans="1:34" ht="15.95" customHeight="1" x14ac:dyDescent="0.25">
      <c r="A444" s="134">
        <v>180</v>
      </c>
      <c r="B444" s="104" t="s">
        <v>334</v>
      </c>
      <c r="C444" s="228" t="s">
        <v>333</v>
      </c>
      <c r="D444" s="117">
        <v>2022</v>
      </c>
      <c r="E444" s="104" t="s">
        <v>329</v>
      </c>
      <c r="F444" s="104" t="s">
        <v>130</v>
      </c>
      <c r="G444" s="112" t="s">
        <v>178</v>
      </c>
      <c r="H444" s="104">
        <v>21.9</v>
      </c>
      <c r="I444" s="35">
        <v>2</v>
      </c>
      <c r="J444" s="35">
        <v>10</v>
      </c>
      <c r="K444" s="104" t="s">
        <v>65</v>
      </c>
      <c r="L444" s="104" t="s">
        <v>66</v>
      </c>
      <c r="M444" s="112" t="s">
        <v>67</v>
      </c>
      <c r="N444" s="112" t="s">
        <v>59</v>
      </c>
      <c r="O444" s="35" t="s">
        <v>169</v>
      </c>
      <c r="P444" s="35"/>
      <c r="Q444" s="112"/>
      <c r="R444" s="112"/>
      <c r="S444" s="112">
        <v>134.30000000000001</v>
      </c>
      <c r="T444" s="112">
        <v>9</v>
      </c>
      <c r="U444" s="112"/>
      <c r="V444" s="112"/>
      <c r="W444" s="112"/>
      <c r="X444" s="112"/>
      <c r="Y444" s="112"/>
      <c r="Z444" s="112"/>
      <c r="AA444" s="112"/>
      <c r="AB444" s="112"/>
      <c r="AC444" s="112"/>
      <c r="AD444" s="112"/>
      <c r="AE444" s="112"/>
      <c r="AF444" s="112"/>
      <c r="AG444" s="112"/>
      <c r="AH444" s="205"/>
    </row>
    <row r="445" spans="1:34" ht="15.95" customHeight="1" x14ac:dyDescent="0.25">
      <c r="A445" s="134">
        <v>180</v>
      </c>
      <c r="B445" s="104" t="s">
        <v>334</v>
      </c>
      <c r="C445" s="228" t="s">
        <v>333</v>
      </c>
      <c r="D445" s="117">
        <v>2022</v>
      </c>
      <c r="E445" s="104" t="s">
        <v>330</v>
      </c>
      <c r="F445" s="104" t="s">
        <v>130</v>
      </c>
      <c r="G445" s="112" t="s">
        <v>178</v>
      </c>
      <c r="H445" s="104">
        <v>22.2</v>
      </c>
      <c r="I445" s="35">
        <v>2.1</v>
      </c>
      <c r="J445" s="35">
        <v>10</v>
      </c>
      <c r="K445" s="35" t="s">
        <v>64</v>
      </c>
      <c r="L445" s="104" t="s">
        <v>66</v>
      </c>
      <c r="M445" s="112" t="s">
        <v>67</v>
      </c>
      <c r="N445" s="112" t="s">
        <v>59</v>
      </c>
      <c r="O445" s="35" t="s">
        <v>169</v>
      </c>
      <c r="P445" s="35"/>
      <c r="Q445" s="112"/>
      <c r="R445" s="112"/>
      <c r="S445" s="112">
        <v>147.4</v>
      </c>
      <c r="T445" s="112">
        <v>8</v>
      </c>
      <c r="U445" s="112"/>
      <c r="V445" s="112"/>
      <c r="W445" s="112"/>
      <c r="X445" s="112"/>
      <c r="Y445" s="112"/>
      <c r="Z445" s="112"/>
      <c r="AA445" s="112"/>
      <c r="AB445" s="112"/>
      <c r="AC445" s="112"/>
      <c r="AD445" s="112"/>
      <c r="AE445" s="112"/>
      <c r="AF445" s="112"/>
      <c r="AG445" s="112"/>
      <c r="AH445" s="205"/>
    </row>
    <row r="446" spans="1:34" ht="15.95" customHeight="1" x14ac:dyDescent="0.25">
      <c r="A446" s="134">
        <v>180</v>
      </c>
      <c r="B446" s="104" t="s">
        <v>334</v>
      </c>
      <c r="C446" s="228" t="s">
        <v>333</v>
      </c>
      <c r="D446" s="117">
        <v>2022</v>
      </c>
      <c r="E446" s="104" t="s">
        <v>330</v>
      </c>
      <c r="F446" s="104" t="s">
        <v>130</v>
      </c>
      <c r="G446" s="112" t="s">
        <v>178</v>
      </c>
      <c r="H446" s="104">
        <v>22.2</v>
      </c>
      <c r="I446" s="35">
        <v>2.1</v>
      </c>
      <c r="J446" s="35">
        <v>10</v>
      </c>
      <c r="K446" s="104" t="s">
        <v>65</v>
      </c>
      <c r="L446" s="104" t="s">
        <v>66</v>
      </c>
      <c r="M446" s="112" t="s">
        <v>67</v>
      </c>
      <c r="N446" s="112" t="s">
        <v>59</v>
      </c>
      <c r="O446" s="35" t="s">
        <v>169</v>
      </c>
      <c r="P446" s="35"/>
      <c r="Q446" s="112"/>
      <c r="R446" s="112"/>
      <c r="S446" s="112">
        <v>142.69999999999999</v>
      </c>
      <c r="T446" s="112">
        <v>8.1999999999999993</v>
      </c>
      <c r="U446" s="112"/>
      <c r="V446" s="112"/>
      <c r="W446" s="112"/>
      <c r="X446" s="112"/>
      <c r="Y446" s="112"/>
      <c r="Z446" s="112"/>
      <c r="AA446" s="112"/>
      <c r="AB446" s="112"/>
      <c r="AC446" s="112"/>
      <c r="AD446" s="112"/>
      <c r="AE446" s="112"/>
      <c r="AF446" s="112"/>
      <c r="AG446" s="112"/>
      <c r="AH446" s="205"/>
    </row>
    <row r="447" spans="1:34" ht="15.95" customHeight="1" x14ac:dyDescent="0.25">
      <c r="A447" s="134">
        <v>180</v>
      </c>
      <c r="B447" s="104" t="s">
        <v>334</v>
      </c>
      <c r="C447" s="228" t="s">
        <v>333</v>
      </c>
      <c r="D447" s="117">
        <v>2022</v>
      </c>
      <c r="E447" s="104" t="s">
        <v>331</v>
      </c>
      <c r="F447" s="104" t="s">
        <v>130</v>
      </c>
      <c r="G447" s="112" t="s">
        <v>178</v>
      </c>
      <c r="H447" s="104">
        <v>22.5</v>
      </c>
      <c r="I447" s="35">
        <v>2.6</v>
      </c>
      <c r="J447" s="35">
        <v>10</v>
      </c>
      <c r="K447" s="35" t="s">
        <v>64</v>
      </c>
      <c r="L447" s="104" t="s">
        <v>66</v>
      </c>
      <c r="M447" s="112" t="s">
        <v>67</v>
      </c>
      <c r="N447" s="112" t="s">
        <v>59</v>
      </c>
      <c r="O447" s="35" t="s">
        <v>169</v>
      </c>
      <c r="P447" s="35"/>
      <c r="Q447" s="112"/>
      <c r="R447" s="112"/>
      <c r="S447" s="112">
        <v>151.5</v>
      </c>
      <c r="T447" s="112">
        <v>15.4</v>
      </c>
      <c r="U447" s="112"/>
      <c r="V447" s="112"/>
      <c r="W447" s="112"/>
      <c r="X447" s="112"/>
      <c r="Y447" s="112"/>
      <c r="Z447" s="112"/>
      <c r="AA447" s="112"/>
      <c r="AB447" s="112"/>
      <c r="AC447" s="112"/>
      <c r="AD447" s="112"/>
      <c r="AE447" s="112"/>
      <c r="AF447" s="112"/>
      <c r="AG447" s="112"/>
      <c r="AH447" s="205"/>
    </row>
    <row r="448" spans="1:34" ht="15.95" customHeight="1" x14ac:dyDescent="0.25">
      <c r="A448" s="134">
        <v>180</v>
      </c>
      <c r="B448" s="104" t="s">
        <v>334</v>
      </c>
      <c r="C448" s="228" t="s">
        <v>333</v>
      </c>
      <c r="D448" s="117">
        <v>2022</v>
      </c>
      <c r="E448" s="104" t="s">
        <v>331</v>
      </c>
      <c r="F448" s="104" t="s">
        <v>130</v>
      </c>
      <c r="G448" s="112" t="s">
        <v>178</v>
      </c>
      <c r="H448" s="104">
        <v>22.5</v>
      </c>
      <c r="I448" s="35">
        <v>2.6</v>
      </c>
      <c r="J448" s="35">
        <v>10</v>
      </c>
      <c r="K448" s="104" t="s">
        <v>65</v>
      </c>
      <c r="L448" s="104" t="s">
        <v>66</v>
      </c>
      <c r="M448" s="112" t="s">
        <v>67</v>
      </c>
      <c r="N448" s="112" t="s">
        <v>59</v>
      </c>
      <c r="O448" s="35" t="s">
        <v>169</v>
      </c>
      <c r="P448" s="35"/>
      <c r="Q448" s="112"/>
      <c r="R448" s="112"/>
      <c r="S448" s="112">
        <v>123.2</v>
      </c>
      <c r="T448" s="112">
        <v>10.8</v>
      </c>
      <c r="U448" s="112"/>
      <c r="V448" s="112"/>
      <c r="W448" s="112"/>
      <c r="X448" s="112"/>
      <c r="Y448" s="112"/>
      <c r="Z448" s="112"/>
      <c r="AA448" s="112"/>
      <c r="AB448" s="112"/>
      <c r="AC448" s="112"/>
      <c r="AD448" s="112"/>
      <c r="AE448" s="112"/>
      <c r="AF448" s="112"/>
      <c r="AG448" s="112"/>
      <c r="AH448" s="205"/>
    </row>
    <row r="449" spans="1:34" ht="15.95" customHeight="1" x14ac:dyDescent="0.25">
      <c r="A449" s="134">
        <v>180</v>
      </c>
      <c r="B449" s="104" t="s">
        <v>334</v>
      </c>
      <c r="C449" s="228" t="s">
        <v>333</v>
      </c>
      <c r="D449" s="117">
        <v>2022</v>
      </c>
      <c r="E449" s="104" t="s">
        <v>332</v>
      </c>
      <c r="F449" s="104" t="s">
        <v>130</v>
      </c>
      <c r="G449" s="112" t="s">
        <v>178</v>
      </c>
      <c r="H449" s="104">
        <v>22.7</v>
      </c>
      <c r="I449" s="35">
        <v>2.5</v>
      </c>
      <c r="J449" s="35">
        <v>10</v>
      </c>
      <c r="K449" s="35" t="s">
        <v>64</v>
      </c>
      <c r="L449" s="104" t="s">
        <v>66</v>
      </c>
      <c r="M449" s="112" t="s">
        <v>67</v>
      </c>
      <c r="N449" s="112" t="s">
        <v>59</v>
      </c>
      <c r="O449" s="35" t="s">
        <v>169</v>
      </c>
      <c r="P449" s="35"/>
      <c r="Q449" s="112"/>
      <c r="R449" s="112"/>
      <c r="S449" s="112">
        <v>148.4</v>
      </c>
      <c r="T449" s="112">
        <v>7.1</v>
      </c>
      <c r="U449" s="112"/>
      <c r="V449" s="112"/>
      <c r="W449" s="112"/>
      <c r="X449" s="112"/>
      <c r="Y449" s="112"/>
      <c r="Z449" s="112"/>
      <c r="AA449" s="112"/>
      <c r="AB449" s="112"/>
      <c r="AC449" s="112"/>
      <c r="AD449" s="112"/>
      <c r="AE449" s="112"/>
      <c r="AF449" s="112"/>
      <c r="AG449" s="112"/>
      <c r="AH449" s="205"/>
    </row>
    <row r="450" spans="1:34" ht="15.95" customHeight="1" x14ac:dyDescent="0.25">
      <c r="A450" s="134">
        <v>180</v>
      </c>
      <c r="B450" s="104" t="s">
        <v>334</v>
      </c>
      <c r="C450" s="228" t="s">
        <v>333</v>
      </c>
      <c r="D450" s="117">
        <v>2022</v>
      </c>
      <c r="E450" s="104" t="s">
        <v>332</v>
      </c>
      <c r="F450" s="104" t="s">
        <v>130</v>
      </c>
      <c r="G450" s="112" t="s">
        <v>178</v>
      </c>
      <c r="H450" s="104">
        <v>22.7</v>
      </c>
      <c r="I450" s="35">
        <v>2.5</v>
      </c>
      <c r="J450" s="35">
        <v>10</v>
      </c>
      <c r="K450" s="104" t="s">
        <v>65</v>
      </c>
      <c r="L450" s="104" t="s">
        <v>66</v>
      </c>
      <c r="M450" s="112" t="s">
        <v>67</v>
      </c>
      <c r="N450" s="112" t="s">
        <v>59</v>
      </c>
      <c r="O450" s="35" t="s">
        <v>169</v>
      </c>
      <c r="P450" s="35"/>
      <c r="Q450" s="112"/>
      <c r="R450" s="112"/>
      <c r="S450" s="112">
        <v>129.9</v>
      </c>
      <c r="T450" s="112">
        <v>5.4</v>
      </c>
      <c r="U450" s="112"/>
      <c r="V450" s="112"/>
      <c r="W450" s="112"/>
      <c r="X450" s="112"/>
      <c r="Y450" s="112"/>
      <c r="Z450" s="112"/>
      <c r="AA450" s="112"/>
      <c r="AB450" s="112"/>
      <c r="AC450" s="112"/>
      <c r="AD450" s="112"/>
      <c r="AE450" s="112"/>
      <c r="AF450" s="112"/>
      <c r="AG450" s="112"/>
      <c r="AH450" s="205"/>
    </row>
    <row r="451" spans="1:34" ht="15.95" customHeight="1" x14ac:dyDescent="0.25">
      <c r="A451" s="135">
        <v>60</v>
      </c>
      <c r="B451" s="112" t="s">
        <v>134</v>
      </c>
      <c r="C451" s="228" t="s">
        <v>87</v>
      </c>
      <c r="D451" s="34">
        <v>2022</v>
      </c>
      <c r="E451" s="112" t="s">
        <v>40</v>
      </c>
      <c r="F451" s="112" t="s">
        <v>68</v>
      </c>
      <c r="G451" s="35" t="s">
        <v>178</v>
      </c>
      <c r="H451" s="112">
        <v>21.9</v>
      </c>
      <c r="I451" s="34">
        <v>4.1900000000000004</v>
      </c>
      <c r="J451" s="34">
        <v>68</v>
      </c>
      <c r="K451" s="35" t="s">
        <v>64</v>
      </c>
      <c r="L451" s="34" t="s">
        <v>86</v>
      </c>
      <c r="M451" s="112" t="s">
        <v>67</v>
      </c>
      <c r="N451" s="35" t="s">
        <v>79</v>
      </c>
      <c r="O451" s="35" t="s">
        <v>169</v>
      </c>
      <c r="P451" s="35" t="s">
        <v>112</v>
      </c>
      <c r="Q451" s="112">
        <v>158</v>
      </c>
      <c r="R451" s="112">
        <v>24.48</v>
      </c>
      <c r="S451" s="112">
        <v>86.87</v>
      </c>
      <c r="T451" s="112">
        <v>14.96</v>
      </c>
      <c r="U451" s="112">
        <v>2.66</v>
      </c>
      <c r="V451" s="112">
        <v>0.28000000000000003</v>
      </c>
      <c r="W451" s="112">
        <v>1.47</v>
      </c>
      <c r="X451" s="112">
        <v>0.22</v>
      </c>
      <c r="Y451" s="112"/>
      <c r="Z451" s="112"/>
      <c r="AA451" s="112"/>
      <c r="AB451" s="112"/>
      <c r="AC451" s="112"/>
      <c r="AD451" s="112"/>
      <c r="AE451" s="112"/>
      <c r="AF451" s="112"/>
      <c r="AG451" s="112">
        <v>0.55000000000000004</v>
      </c>
      <c r="AH451" s="205">
        <v>7.0000000000000007E-2</v>
      </c>
    </row>
    <row r="452" spans="1:34" ht="15.95" customHeight="1" x14ac:dyDescent="0.25">
      <c r="A452" s="135">
        <v>60</v>
      </c>
      <c r="B452" s="112" t="s">
        <v>134</v>
      </c>
      <c r="C452" s="228" t="s">
        <v>87</v>
      </c>
      <c r="D452" s="34">
        <v>2022</v>
      </c>
      <c r="E452" s="112" t="s">
        <v>40</v>
      </c>
      <c r="F452" s="112" t="s">
        <v>68</v>
      </c>
      <c r="G452" s="35" t="s">
        <v>178</v>
      </c>
      <c r="H452" s="112">
        <v>21.9</v>
      </c>
      <c r="I452" s="34">
        <v>4.1900000000000004</v>
      </c>
      <c r="J452" s="34">
        <v>68</v>
      </c>
      <c r="K452" s="35" t="s">
        <v>65</v>
      </c>
      <c r="L452" s="34" t="s">
        <v>86</v>
      </c>
      <c r="M452" s="112" t="s">
        <v>67</v>
      </c>
      <c r="N452" s="35" t="s">
        <v>79</v>
      </c>
      <c r="O452" s="35" t="s">
        <v>169</v>
      </c>
      <c r="P452" s="35" t="s">
        <v>112</v>
      </c>
      <c r="Q452" s="112">
        <v>150.05000000000001</v>
      </c>
      <c r="R452" s="112">
        <v>21.71</v>
      </c>
      <c r="S452" s="112">
        <v>79.7</v>
      </c>
      <c r="T452" s="112">
        <v>13.18</v>
      </c>
      <c r="U452" s="112">
        <v>2.5299999999999998</v>
      </c>
      <c r="V452" s="112">
        <v>0.26</v>
      </c>
      <c r="W452" s="112">
        <v>1.3</v>
      </c>
      <c r="X452" s="112">
        <v>0.16</v>
      </c>
      <c r="Y452" s="112"/>
      <c r="Z452" s="112"/>
      <c r="AA452" s="112"/>
      <c r="AB452" s="112"/>
      <c r="AC452" s="112"/>
      <c r="AD452" s="112"/>
      <c r="AE452" s="112"/>
      <c r="AF452" s="112"/>
      <c r="AG452" s="112">
        <v>0.53</v>
      </c>
      <c r="AH452" s="205">
        <v>7.0000000000000007E-2</v>
      </c>
    </row>
    <row r="453" spans="1:34" ht="15.95" customHeight="1" x14ac:dyDescent="0.25">
      <c r="A453" s="115">
        <v>240</v>
      </c>
      <c r="B453" s="112" t="s">
        <v>134</v>
      </c>
      <c r="C453" s="228" t="s">
        <v>87</v>
      </c>
      <c r="D453" s="34">
        <v>2022</v>
      </c>
      <c r="E453" s="112" t="s">
        <v>40</v>
      </c>
      <c r="F453" s="112" t="s">
        <v>68</v>
      </c>
      <c r="G453" s="35" t="s">
        <v>178</v>
      </c>
      <c r="H453" s="112">
        <v>21.9</v>
      </c>
      <c r="I453" s="34">
        <v>4.1900000000000004</v>
      </c>
      <c r="J453" s="34">
        <v>68</v>
      </c>
      <c r="K453" s="35" t="s">
        <v>64</v>
      </c>
      <c r="L453" s="34" t="s">
        <v>86</v>
      </c>
      <c r="M453" s="112" t="s">
        <v>67</v>
      </c>
      <c r="N453" s="35" t="s">
        <v>79</v>
      </c>
      <c r="O453" s="35" t="s">
        <v>169</v>
      </c>
      <c r="P453" s="35" t="s">
        <v>112</v>
      </c>
      <c r="Q453" s="112">
        <v>94.88</v>
      </c>
      <c r="R453" s="112">
        <v>15.23</v>
      </c>
      <c r="S453" s="112">
        <v>59.73</v>
      </c>
      <c r="T453" s="112">
        <v>10.71</v>
      </c>
      <c r="U453" s="112">
        <v>1.57</v>
      </c>
      <c r="V453" s="112">
        <v>0.24</v>
      </c>
      <c r="W453" s="112">
        <v>0.99</v>
      </c>
      <c r="X453" s="112">
        <v>0.15</v>
      </c>
      <c r="Y453" s="112"/>
      <c r="Z453" s="112"/>
      <c r="AA453" s="112"/>
      <c r="AB453" s="112"/>
      <c r="AC453" s="112"/>
      <c r="AD453" s="112"/>
      <c r="AE453" s="112"/>
      <c r="AF453" s="112"/>
      <c r="AG453" s="112">
        <v>0.63</v>
      </c>
      <c r="AH453" s="205">
        <v>0.08</v>
      </c>
    </row>
    <row r="454" spans="1:34" ht="15.95" customHeight="1" x14ac:dyDescent="0.25">
      <c r="A454" s="115">
        <v>240</v>
      </c>
      <c r="B454" s="112" t="s">
        <v>134</v>
      </c>
      <c r="C454" s="228" t="s">
        <v>87</v>
      </c>
      <c r="D454" s="34">
        <v>2022</v>
      </c>
      <c r="E454" s="112" t="s">
        <v>40</v>
      </c>
      <c r="F454" s="112" t="s">
        <v>68</v>
      </c>
      <c r="G454" s="35" t="s">
        <v>178</v>
      </c>
      <c r="H454" s="112">
        <v>21.9</v>
      </c>
      <c r="I454" s="34">
        <v>4.1900000000000004</v>
      </c>
      <c r="J454" s="34">
        <v>68</v>
      </c>
      <c r="K454" s="35" t="s">
        <v>65</v>
      </c>
      <c r="L454" s="34" t="s">
        <v>86</v>
      </c>
      <c r="M454" s="112" t="s">
        <v>67</v>
      </c>
      <c r="N454" s="35" t="s">
        <v>79</v>
      </c>
      <c r="O454" s="35" t="s">
        <v>169</v>
      </c>
      <c r="P454" s="35" t="s">
        <v>112</v>
      </c>
      <c r="Q454" s="112">
        <v>91.45</v>
      </c>
      <c r="R454" s="112">
        <v>12.93</v>
      </c>
      <c r="S454" s="112">
        <v>55.48</v>
      </c>
      <c r="T454" s="112">
        <v>11.02</v>
      </c>
      <c r="U454" s="112">
        <v>1.55</v>
      </c>
      <c r="V454" s="112">
        <v>0.19</v>
      </c>
      <c r="W454" s="112">
        <v>0.91</v>
      </c>
      <c r="X454" s="112">
        <v>0.16</v>
      </c>
      <c r="Y454" s="112"/>
      <c r="Z454" s="112"/>
      <c r="AA454" s="112"/>
      <c r="AB454" s="112"/>
      <c r="AC454" s="112"/>
      <c r="AD454" s="112"/>
      <c r="AE454" s="112"/>
      <c r="AF454" s="112"/>
      <c r="AG454" s="112">
        <v>0.61</v>
      </c>
      <c r="AH454" s="205">
        <v>0.1</v>
      </c>
    </row>
    <row r="455" spans="1:34" ht="15.95" customHeight="1" x14ac:dyDescent="0.25">
      <c r="A455" s="115">
        <v>180</v>
      </c>
      <c r="B455" s="112" t="s">
        <v>134</v>
      </c>
      <c r="C455" s="228" t="s">
        <v>87</v>
      </c>
      <c r="D455" s="34">
        <v>2022</v>
      </c>
      <c r="E455" s="112" t="s">
        <v>40</v>
      </c>
      <c r="F455" s="112" t="s">
        <v>68</v>
      </c>
      <c r="G455" s="35" t="s">
        <v>178</v>
      </c>
      <c r="H455" s="112">
        <v>21.9</v>
      </c>
      <c r="I455" s="34">
        <v>4.1900000000000004</v>
      </c>
      <c r="J455" s="34">
        <v>68</v>
      </c>
      <c r="K455" s="35" t="s">
        <v>64</v>
      </c>
      <c r="L455" s="34" t="s">
        <v>86</v>
      </c>
      <c r="M455" s="112" t="s">
        <v>67</v>
      </c>
      <c r="N455" s="35" t="s">
        <v>79</v>
      </c>
      <c r="O455" s="35" t="s">
        <v>169</v>
      </c>
      <c r="P455" s="35" t="s">
        <v>112</v>
      </c>
      <c r="Q455" s="112">
        <v>113.39</v>
      </c>
      <c r="R455" s="112">
        <v>18.190000000000001</v>
      </c>
      <c r="S455" s="112">
        <v>66.31</v>
      </c>
      <c r="T455" s="112">
        <v>12.41</v>
      </c>
      <c r="U455" s="112">
        <v>1.88</v>
      </c>
      <c r="V455" s="112">
        <v>0.27</v>
      </c>
      <c r="W455" s="112">
        <v>1.0900000000000001</v>
      </c>
      <c r="X455" s="112">
        <v>0.17</v>
      </c>
      <c r="Y455" s="112"/>
      <c r="Z455" s="112"/>
      <c r="AA455" s="112"/>
      <c r="AB455" s="112"/>
      <c r="AC455" s="112"/>
      <c r="AD455" s="112"/>
      <c r="AE455" s="112"/>
      <c r="AF455" s="112"/>
      <c r="AG455" s="112">
        <v>0.57999999999999996</v>
      </c>
      <c r="AH455" s="205">
        <v>0.08</v>
      </c>
    </row>
    <row r="456" spans="1:34" ht="15.95" customHeight="1" x14ac:dyDescent="0.25">
      <c r="A456" s="115">
        <v>180</v>
      </c>
      <c r="B456" s="112" t="s">
        <v>134</v>
      </c>
      <c r="C456" s="228" t="s">
        <v>87</v>
      </c>
      <c r="D456" s="34">
        <v>2022</v>
      </c>
      <c r="E456" s="112" t="s">
        <v>40</v>
      </c>
      <c r="F456" s="112" t="s">
        <v>68</v>
      </c>
      <c r="G456" s="35" t="s">
        <v>178</v>
      </c>
      <c r="H456" s="112">
        <v>21.9</v>
      </c>
      <c r="I456" s="34">
        <v>4.1900000000000004</v>
      </c>
      <c r="J456" s="34">
        <v>68</v>
      </c>
      <c r="K456" s="35" t="s">
        <v>65</v>
      </c>
      <c r="L456" s="34" t="s">
        <v>86</v>
      </c>
      <c r="M456" s="112" t="s">
        <v>67</v>
      </c>
      <c r="N456" s="35" t="s">
        <v>79</v>
      </c>
      <c r="O456" s="35" t="s">
        <v>169</v>
      </c>
      <c r="P456" s="35" t="s">
        <v>112</v>
      </c>
      <c r="Q456" s="112">
        <v>109.92</v>
      </c>
      <c r="R456" s="112">
        <v>15.31</v>
      </c>
      <c r="S456" s="112">
        <v>61.91</v>
      </c>
      <c r="T456" s="112">
        <v>12.15</v>
      </c>
      <c r="U456" s="112">
        <v>1.82</v>
      </c>
      <c r="V456" s="112">
        <v>0.22</v>
      </c>
      <c r="W456" s="112">
        <v>1.01</v>
      </c>
      <c r="X456" s="112">
        <v>0.15</v>
      </c>
      <c r="Y456" s="112"/>
      <c r="Z456" s="112"/>
      <c r="AA456" s="112"/>
      <c r="AB456" s="112"/>
      <c r="AC456" s="112"/>
      <c r="AD456" s="112"/>
      <c r="AE456" s="112"/>
      <c r="AF456" s="112"/>
      <c r="AG456" s="112">
        <v>0.56000000000000005</v>
      </c>
      <c r="AH456" s="205">
        <v>0.09</v>
      </c>
    </row>
    <row r="457" spans="1:34" ht="15.95" customHeight="1" x14ac:dyDescent="0.25">
      <c r="A457" s="115">
        <v>60</v>
      </c>
      <c r="B457" s="112" t="s">
        <v>123</v>
      </c>
      <c r="C457" s="228" t="s">
        <v>55</v>
      </c>
      <c r="D457" s="123">
        <v>2010</v>
      </c>
      <c r="E457" s="104" t="s">
        <v>40</v>
      </c>
      <c r="F457" s="112" t="s">
        <v>68</v>
      </c>
      <c r="G457" s="35" t="s">
        <v>178</v>
      </c>
      <c r="H457" s="112">
        <v>23.6</v>
      </c>
      <c r="I457" s="34">
        <v>4.2</v>
      </c>
      <c r="J457" s="34">
        <v>115</v>
      </c>
      <c r="K457" s="34" t="s">
        <v>93</v>
      </c>
      <c r="L457" s="112" t="s">
        <v>66</v>
      </c>
      <c r="M457" s="112" t="s">
        <v>67</v>
      </c>
      <c r="N457" s="112" t="s">
        <v>59</v>
      </c>
      <c r="O457" s="35" t="s">
        <v>169</v>
      </c>
      <c r="P457" s="35"/>
      <c r="Q457" s="104">
        <v>242</v>
      </c>
      <c r="R457" s="104">
        <v>35.1</v>
      </c>
      <c r="S457" s="104">
        <v>137.9</v>
      </c>
      <c r="T457" s="104">
        <v>24</v>
      </c>
      <c r="U457" s="104"/>
      <c r="V457" s="104"/>
      <c r="W457" s="104"/>
      <c r="X457" s="104"/>
      <c r="Y457" s="112"/>
      <c r="Z457" s="112"/>
      <c r="AA457" s="112"/>
      <c r="AB457" s="112"/>
      <c r="AC457" s="112"/>
      <c r="AD457" s="112"/>
      <c r="AE457" s="112"/>
      <c r="AF457" s="112"/>
      <c r="AG457" s="112"/>
      <c r="AH457" s="205"/>
    </row>
    <row r="458" spans="1:34" ht="15.95" customHeight="1" x14ac:dyDescent="0.25">
      <c r="A458" s="115">
        <v>60</v>
      </c>
      <c r="B458" s="112" t="s">
        <v>123</v>
      </c>
      <c r="C458" s="228" t="s">
        <v>55</v>
      </c>
      <c r="D458" s="123">
        <v>2010</v>
      </c>
      <c r="E458" s="104" t="s">
        <v>40</v>
      </c>
      <c r="F458" s="112" t="s">
        <v>68</v>
      </c>
      <c r="G458" s="35" t="s">
        <v>178</v>
      </c>
      <c r="H458" s="112">
        <v>23.6</v>
      </c>
      <c r="I458" s="34">
        <v>4.2</v>
      </c>
      <c r="J458" s="34">
        <v>115</v>
      </c>
      <c r="K458" s="34" t="s">
        <v>92</v>
      </c>
      <c r="L458" s="112" t="s">
        <v>66</v>
      </c>
      <c r="M458" s="112" t="s">
        <v>67</v>
      </c>
      <c r="N458" s="112" t="s">
        <v>59</v>
      </c>
      <c r="O458" s="35" t="s">
        <v>169</v>
      </c>
      <c r="P458" s="35"/>
      <c r="Q458" s="104">
        <v>235.6</v>
      </c>
      <c r="R458" s="104">
        <v>34.200000000000003</v>
      </c>
      <c r="S458" s="104">
        <v>134.80000000000001</v>
      </c>
      <c r="T458" s="104">
        <v>24.1</v>
      </c>
      <c r="U458" s="104"/>
      <c r="V458" s="104"/>
      <c r="W458" s="104"/>
      <c r="X458" s="104"/>
      <c r="Y458" s="112"/>
      <c r="Z458" s="112"/>
      <c r="AA458" s="112"/>
      <c r="AB458" s="112"/>
      <c r="AC458" s="112"/>
      <c r="AD458" s="112"/>
      <c r="AE458" s="112"/>
      <c r="AF458" s="112"/>
      <c r="AG458" s="112"/>
      <c r="AH458" s="205"/>
    </row>
    <row r="459" spans="1:34" ht="15.95" customHeight="1" x14ac:dyDescent="0.25">
      <c r="A459" s="115">
        <v>60</v>
      </c>
      <c r="B459" s="112" t="s">
        <v>124</v>
      </c>
      <c r="C459" s="228" t="s">
        <v>55</v>
      </c>
      <c r="D459" s="123">
        <v>2010</v>
      </c>
      <c r="E459" s="104" t="s">
        <v>40</v>
      </c>
      <c r="F459" s="112" t="s">
        <v>68</v>
      </c>
      <c r="G459" s="35" t="s">
        <v>178</v>
      </c>
      <c r="H459" s="112">
        <v>23.6</v>
      </c>
      <c r="I459" s="34">
        <v>4.2</v>
      </c>
      <c r="J459" s="34">
        <v>115</v>
      </c>
      <c r="K459" s="34" t="s">
        <v>93</v>
      </c>
      <c r="L459" s="112" t="s">
        <v>66</v>
      </c>
      <c r="M459" s="112" t="s">
        <v>122</v>
      </c>
      <c r="N459" s="112" t="s">
        <v>59</v>
      </c>
      <c r="O459" s="35" t="s">
        <v>169</v>
      </c>
      <c r="P459" s="35"/>
      <c r="Q459" s="104">
        <v>316.3</v>
      </c>
      <c r="R459" s="104">
        <v>57.8</v>
      </c>
      <c r="S459" s="104">
        <v>192.1</v>
      </c>
      <c r="T459" s="104">
        <v>38.5</v>
      </c>
      <c r="U459" s="104"/>
      <c r="V459" s="104"/>
      <c r="W459" s="104"/>
      <c r="X459" s="104"/>
      <c r="Y459" s="112"/>
      <c r="Z459" s="112"/>
      <c r="AA459" s="112"/>
      <c r="AB459" s="112"/>
      <c r="AC459" s="112"/>
      <c r="AD459" s="112"/>
      <c r="AE459" s="112"/>
      <c r="AF459" s="112"/>
      <c r="AG459" s="112"/>
      <c r="AH459" s="205"/>
    </row>
    <row r="460" spans="1:34" ht="15.95" customHeight="1" x14ac:dyDescent="0.25">
      <c r="A460" s="115">
        <v>60</v>
      </c>
      <c r="B460" s="112" t="s">
        <v>124</v>
      </c>
      <c r="C460" s="228" t="s">
        <v>55</v>
      </c>
      <c r="D460" s="123">
        <v>2010</v>
      </c>
      <c r="E460" s="104" t="s">
        <v>40</v>
      </c>
      <c r="F460" s="112" t="s">
        <v>68</v>
      </c>
      <c r="G460" s="35" t="s">
        <v>178</v>
      </c>
      <c r="H460" s="112">
        <v>23.6</v>
      </c>
      <c r="I460" s="34">
        <v>4.2</v>
      </c>
      <c r="J460" s="34">
        <v>115</v>
      </c>
      <c r="K460" s="34" t="s">
        <v>92</v>
      </c>
      <c r="L460" s="112" t="s">
        <v>66</v>
      </c>
      <c r="M460" s="112" t="s">
        <v>122</v>
      </c>
      <c r="N460" s="112" t="s">
        <v>59</v>
      </c>
      <c r="O460" s="35" t="s">
        <v>169</v>
      </c>
      <c r="P460" s="35"/>
      <c r="Q460" s="104">
        <v>305.7</v>
      </c>
      <c r="R460" s="104">
        <v>57.5</v>
      </c>
      <c r="S460" s="104">
        <v>195.2</v>
      </c>
      <c r="T460" s="104">
        <v>46</v>
      </c>
      <c r="U460" s="104"/>
      <c r="V460" s="104"/>
      <c r="W460" s="104"/>
      <c r="X460" s="104"/>
      <c r="Y460" s="112"/>
      <c r="Z460" s="112"/>
      <c r="AA460" s="112"/>
      <c r="AB460" s="112"/>
      <c r="AC460" s="112"/>
      <c r="AD460" s="112"/>
      <c r="AE460" s="112"/>
      <c r="AF460" s="112"/>
      <c r="AG460" s="112"/>
      <c r="AH460" s="205"/>
    </row>
    <row r="461" spans="1:34" ht="15.95" customHeight="1" x14ac:dyDescent="0.25">
      <c r="A461" s="115">
        <v>300</v>
      </c>
      <c r="B461" s="112" t="s">
        <v>123</v>
      </c>
      <c r="C461" s="228" t="s">
        <v>55</v>
      </c>
      <c r="D461" s="112">
        <v>2010</v>
      </c>
      <c r="E461" s="104" t="s">
        <v>40</v>
      </c>
      <c r="F461" s="112" t="s">
        <v>68</v>
      </c>
      <c r="G461" s="35" t="s">
        <v>178</v>
      </c>
      <c r="H461" s="112">
        <v>23.6</v>
      </c>
      <c r="I461" s="34">
        <v>4.2</v>
      </c>
      <c r="J461" s="34">
        <v>115</v>
      </c>
      <c r="K461" s="34" t="s">
        <v>93</v>
      </c>
      <c r="L461" s="112" t="s">
        <v>66</v>
      </c>
      <c r="M461" s="112" t="s">
        <v>67</v>
      </c>
      <c r="N461" s="112" t="s">
        <v>59</v>
      </c>
      <c r="O461" s="35" t="s">
        <v>169</v>
      </c>
      <c r="P461" s="35"/>
      <c r="Q461" s="112">
        <v>136</v>
      </c>
      <c r="R461" s="112">
        <v>19.3</v>
      </c>
      <c r="S461" s="112">
        <v>93.6</v>
      </c>
      <c r="T461" s="112">
        <v>16.100000000000001</v>
      </c>
      <c r="U461" s="112"/>
      <c r="V461" s="112"/>
      <c r="W461" s="112"/>
      <c r="X461" s="112"/>
      <c r="Y461" s="112"/>
      <c r="Z461" s="112"/>
      <c r="AA461" s="112"/>
      <c r="AB461" s="112"/>
      <c r="AC461" s="112"/>
      <c r="AD461" s="112"/>
      <c r="AE461" s="112"/>
      <c r="AF461" s="112"/>
      <c r="AG461" s="112"/>
      <c r="AH461" s="205"/>
    </row>
    <row r="462" spans="1:34" ht="15.95" customHeight="1" x14ac:dyDescent="0.25">
      <c r="A462" s="115">
        <v>300</v>
      </c>
      <c r="B462" s="112" t="s">
        <v>123</v>
      </c>
      <c r="C462" s="228" t="s">
        <v>55</v>
      </c>
      <c r="D462" s="112">
        <v>2010</v>
      </c>
      <c r="E462" s="104" t="s">
        <v>40</v>
      </c>
      <c r="F462" s="112" t="s">
        <v>68</v>
      </c>
      <c r="G462" s="35" t="s">
        <v>178</v>
      </c>
      <c r="H462" s="112">
        <v>23.6</v>
      </c>
      <c r="I462" s="34">
        <v>4.2</v>
      </c>
      <c r="J462" s="34">
        <v>115</v>
      </c>
      <c r="K462" s="34" t="s">
        <v>92</v>
      </c>
      <c r="L462" s="112" t="s">
        <v>66</v>
      </c>
      <c r="M462" s="112" t="s">
        <v>67</v>
      </c>
      <c r="N462" s="112" t="s">
        <v>59</v>
      </c>
      <c r="O462" s="35" t="s">
        <v>169</v>
      </c>
      <c r="P462" s="35"/>
      <c r="Q462" s="112">
        <v>134.9</v>
      </c>
      <c r="R462" s="112">
        <v>18.3</v>
      </c>
      <c r="S462" s="112">
        <v>92</v>
      </c>
      <c r="T462" s="112">
        <v>15.6</v>
      </c>
      <c r="U462" s="112"/>
      <c r="V462" s="112"/>
      <c r="W462" s="112"/>
      <c r="X462" s="112"/>
      <c r="Y462" s="112"/>
      <c r="Z462" s="112"/>
      <c r="AA462" s="112"/>
      <c r="AB462" s="112"/>
      <c r="AC462" s="112"/>
      <c r="AD462" s="112"/>
      <c r="AE462" s="112"/>
      <c r="AF462" s="112"/>
      <c r="AG462" s="112"/>
      <c r="AH462" s="205"/>
    </row>
    <row r="463" spans="1:34" ht="15.95" customHeight="1" x14ac:dyDescent="0.25">
      <c r="A463" s="115">
        <v>180</v>
      </c>
      <c r="B463" s="112" t="s">
        <v>123</v>
      </c>
      <c r="C463" s="228" t="s">
        <v>55</v>
      </c>
      <c r="D463" s="112">
        <v>2008</v>
      </c>
      <c r="E463" s="104" t="s">
        <v>40</v>
      </c>
      <c r="F463" s="112" t="s">
        <v>68</v>
      </c>
      <c r="G463" s="35" t="s">
        <v>178</v>
      </c>
      <c r="H463" s="112">
        <v>23.6</v>
      </c>
      <c r="I463" s="34">
        <v>4.2</v>
      </c>
      <c r="J463" s="34">
        <v>115</v>
      </c>
      <c r="K463" s="34" t="s">
        <v>93</v>
      </c>
      <c r="L463" s="112" t="s">
        <v>66</v>
      </c>
      <c r="M463" s="112" t="s">
        <v>67</v>
      </c>
      <c r="N463" s="112" t="s">
        <v>59</v>
      </c>
      <c r="O463" s="35" t="s">
        <v>169</v>
      </c>
      <c r="P463" s="35"/>
      <c r="Q463" s="112">
        <v>169.3</v>
      </c>
      <c r="R463" s="112">
        <v>25.2</v>
      </c>
      <c r="S463" s="112">
        <v>106.4</v>
      </c>
      <c r="T463" s="112">
        <v>17.100000000000001</v>
      </c>
      <c r="U463" s="112"/>
      <c r="V463" s="112"/>
      <c r="W463" s="112"/>
      <c r="X463" s="112"/>
      <c r="Y463" s="112"/>
      <c r="Z463" s="112"/>
      <c r="AA463" s="112"/>
      <c r="AB463" s="112"/>
      <c r="AC463" s="112"/>
      <c r="AD463" s="112"/>
      <c r="AE463" s="112"/>
      <c r="AF463" s="112"/>
      <c r="AG463" s="112"/>
      <c r="AH463" s="205"/>
    </row>
    <row r="464" spans="1:34" ht="15.95" customHeight="1" x14ac:dyDescent="0.25">
      <c r="A464" s="115">
        <v>180</v>
      </c>
      <c r="B464" s="112" t="s">
        <v>123</v>
      </c>
      <c r="C464" s="228" t="s">
        <v>55</v>
      </c>
      <c r="D464" s="112">
        <v>2008</v>
      </c>
      <c r="E464" s="104" t="s">
        <v>40</v>
      </c>
      <c r="F464" s="112" t="s">
        <v>68</v>
      </c>
      <c r="G464" s="35" t="s">
        <v>178</v>
      </c>
      <c r="H464" s="112">
        <v>23.6</v>
      </c>
      <c r="I464" s="34">
        <v>4.2</v>
      </c>
      <c r="J464" s="34">
        <v>115</v>
      </c>
      <c r="K464" s="34" t="s">
        <v>92</v>
      </c>
      <c r="L464" s="112" t="s">
        <v>66</v>
      </c>
      <c r="M464" s="112" t="s">
        <v>67</v>
      </c>
      <c r="N464" s="112" t="s">
        <v>59</v>
      </c>
      <c r="O464" s="35" t="s">
        <v>169</v>
      </c>
      <c r="P464" s="35"/>
      <c r="Q464" s="112">
        <v>166.5</v>
      </c>
      <c r="R464" s="112">
        <v>24.1</v>
      </c>
      <c r="S464" s="112">
        <v>102.4</v>
      </c>
      <c r="T464" s="112">
        <v>17.3</v>
      </c>
      <c r="U464" s="112"/>
      <c r="V464" s="112"/>
      <c r="W464" s="112"/>
      <c r="X464" s="112"/>
      <c r="Y464" s="112"/>
      <c r="Z464" s="112"/>
      <c r="AA464" s="112"/>
      <c r="AB464" s="112"/>
      <c r="AC464" s="112"/>
      <c r="AD464" s="112"/>
      <c r="AE464" s="112"/>
      <c r="AF464" s="112"/>
      <c r="AG464" s="112"/>
      <c r="AH464" s="205"/>
    </row>
    <row r="465" spans="1:34" ht="15.95" customHeight="1" x14ac:dyDescent="0.25">
      <c r="A465" s="115">
        <v>180</v>
      </c>
      <c r="B465" s="112" t="s">
        <v>124</v>
      </c>
      <c r="C465" s="228" t="s">
        <v>55</v>
      </c>
      <c r="D465" s="112">
        <v>2008</v>
      </c>
      <c r="E465" s="104" t="s">
        <v>40</v>
      </c>
      <c r="F465" s="112" t="s">
        <v>68</v>
      </c>
      <c r="G465" s="35" t="s">
        <v>178</v>
      </c>
      <c r="H465" s="112">
        <v>23.6</v>
      </c>
      <c r="I465" s="34">
        <v>4.2</v>
      </c>
      <c r="J465" s="34">
        <v>115</v>
      </c>
      <c r="K465" s="34" t="s">
        <v>93</v>
      </c>
      <c r="L465" s="112" t="s">
        <v>66</v>
      </c>
      <c r="M465" s="112" t="s">
        <v>122</v>
      </c>
      <c r="N465" s="112" t="s">
        <v>59</v>
      </c>
      <c r="O465" s="35" t="s">
        <v>169</v>
      </c>
      <c r="P465" s="35"/>
      <c r="Q465" s="112">
        <v>292.8</v>
      </c>
      <c r="R465" s="112">
        <v>53.6</v>
      </c>
      <c r="S465" s="112">
        <v>187.7</v>
      </c>
      <c r="T465" s="112">
        <v>38.1</v>
      </c>
      <c r="U465" s="112"/>
      <c r="V465" s="112"/>
      <c r="W465" s="112"/>
      <c r="X465" s="112"/>
      <c r="Y465" s="112"/>
      <c r="Z465" s="112"/>
      <c r="AA465" s="112"/>
      <c r="AB465" s="112"/>
      <c r="AC465" s="112"/>
      <c r="AD465" s="112"/>
      <c r="AE465" s="112"/>
      <c r="AF465" s="112"/>
      <c r="AG465" s="112"/>
      <c r="AH465" s="205"/>
    </row>
    <row r="466" spans="1:34" ht="15.95" customHeight="1" x14ac:dyDescent="0.25">
      <c r="A466" s="115">
        <v>180</v>
      </c>
      <c r="B466" s="112" t="s">
        <v>124</v>
      </c>
      <c r="C466" s="228" t="s">
        <v>55</v>
      </c>
      <c r="D466" s="112">
        <v>2008</v>
      </c>
      <c r="E466" s="104" t="s">
        <v>40</v>
      </c>
      <c r="F466" s="112" t="s">
        <v>68</v>
      </c>
      <c r="G466" s="35" t="s">
        <v>178</v>
      </c>
      <c r="H466" s="112">
        <v>23.6</v>
      </c>
      <c r="I466" s="34">
        <v>4.2</v>
      </c>
      <c r="J466" s="34">
        <v>115</v>
      </c>
      <c r="K466" s="34" t="s">
        <v>92</v>
      </c>
      <c r="L466" s="112" t="s">
        <v>66</v>
      </c>
      <c r="M466" s="112" t="s">
        <v>122</v>
      </c>
      <c r="N466" s="112" t="s">
        <v>59</v>
      </c>
      <c r="O466" s="35" t="s">
        <v>169</v>
      </c>
      <c r="P466" s="35"/>
      <c r="Q466" s="112">
        <v>293</v>
      </c>
      <c r="R466" s="112">
        <v>57.9</v>
      </c>
      <c r="S466" s="112">
        <v>186.8</v>
      </c>
      <c r="T466" s="112">
        <v>41.9</v>
      </c>
      <c r="U466" s="112"/>
      <c r="V466" s="112"/>
      <c r="W466" s="112"/>
      <c r="X466" s="112"/>
      <c r="Y466" s="112"/>
      <c r="Z466" s="112"/>
      <c r="AA466" s="112"/>
      <c r="AB466" s="112"/>
      <c r="AC466" s="112"/>
      <c r="AD466" s="112"/>
      <c r="AE466" s="112"/>
      <c r="AF466" s="112"/>
      <c r="AG466" s="112"/>
      <c r="AH466" s="205"/>
    </row>
    <row r="467" spans="1:34" ht="15.95" customHeight="1" x14ac:dyDescent="0.25">
      <c r="A467" s="115">
        <v>60</v>
      </c>
      <c r="B467" s="112" t="s">
        <v>98</v>
      </c>
      <c r="C467" s="228" t="s">
        <v>41</v>
      </c>
      <c r="D467" s="34">
        <v>2024</v>
      </c>
      <c r="E467" s="104" t="s">
        <v>40</v>
      </c>
      <c r="F467" s="112" t="s">
        <v>95</v>
      </c>
      <c r="G467" s="35" t="s">
        <v>178</v>
      </c>
      <c r="H467" s="112">
        <v>15.7</v>
      </c>
      <c r="I467" s="34">
        <v>0.8</v>
      </c>
      <c r="J467" s="34">
        <v>104</v>
      </c>
      <c r="K467" s="35" t="s">
        <v>96</v>
      </c>
      <c r="L467" s="112" t="s">
        <v>66</v>
      </c>
      <c r="M467" s="112" t="s">
        <v>67</v>
      </c>
      <c r="N467" s="112" t="s">
        <v>59</v>
      </c>
      <c r="O467" s="35" t="s">
        <v>169</v>
      </c>
      <c r="P467" s="35"/>
      <c r="Q467" s="104">
        <v>160.9</v>
      </c>
      <c r="R467" s="104">
        <v>45.5</v>
      </c>
      <c r="S467" s="104">
        <v>95.3</v>
      </c>
      <c r="T467" s="104">
        <v>23.5</v>
      </c>
      <c r="U467" s="104">
        <v>2.52</v>
      </c>
      <c r="V467" s="104">
        <v>0.62</v>
      </c>
      <c r="W467" s="104">
        <v>1.48</v>
      </c>
      <c r="X467" s="104">
        <v>0.3</v>
      </c>
      <c r="Y467" s="112"/>
      <c r="Z467" s="112"/>
      <c r="AA467" s="112"/>
      <c r="AB467" s="112"/>
      <c r="AC467" s="112"/>
      <c r="AD467" s="112"/>
      <c r="AE467" s="112"/>
      <c r="AF467" s="112"/>
      <c r="AG467" s="112"/>
      <c r="AH467" s="205"/>
    </row>
    <row r="468" spans="1:34" ht="15.95" customHeight="1" x14ac:dyDescent="0.25">
      <c r="A468" s="115">
        <v>60</v>
      </c>
      <c r="B468" s="112" t="s">
        <v>99</v>
      </c>
      <c r="C468" s="228" t="s">
        <v>41</v>
      </c>
      <c r="D468" s="34">
        <v>2024</v>
      </c>
      <c r="E468" s="104" t="s">
        <v>40</v>
      </c>
      <c r="F468" s="112" t="s">
        <v>95</v>
      </c>
      <c r="G468" s="35" t="s">
        <v>178</v>
      </c>
      <c r="H468" s="112">
        <v>15.7</v>
      </c>
      <c r="I468" s="34">
        <v>0.8</v>
      </c>
      <c r="J468" s="34">
        <v>104</v>
      </c>
      <c r="K468" s="35" t="s">
        <v>97</v>
      </c>
      <c r="L468" s="112" t="s">
        <v>66</v>
      </c>
      <c r="M468" s="112" t="s">
        <v>67</v>
      </c>
      <c r="N468" s="112" t="s">
        <v>59</v>
      </c>
      <c r="O468" s="35" t="s">
        <v>169</v>
      </c>
      <c r="P468" s="35"/>
      <c r="Q468" s="104">
        <v>162.69999999999999</v>
      </c>
      <c r="R468" s="104">
        <v>44.2</v>
      </c>
      <c r="S468" s="104">
        <v>93.3</v>
      </c>
      <c r="T468" s="104">
        <v>23.5</v>
      </c>
      <c r="U468" s="104">
        <v>2.5499999999999998</v>
      </c>
      <c r="V468" s="104">
        <v>0.62</v>
      </c>
      <c r="W468" s="104">
        <v>1.45</v>
      </c>
      <c r="X468" s="104">
        <v>0.28000000000000003</v>
      </c>
      <c r="Y468" s="112"/>
      <c r="Z468" s="112"/>
      <c r="AA468" s="112"/>
      <c r="AB468" s="112"/>
      <c r="AC468" s="112"/>
      <c r="AD468" s="112"/>
      <c r="AE468" s="112"/>
      <c r="AF468" s="112"/>
      <c r="AG468" s="112"/>
      <c r="AH468" s="205"/>
    </row>
    <row r="469" spans="1:34" ht="15.95" customHeight="1" x14ac:dyDescent="0.25">
      <c r="A469" s="115">
        <v>60</v>
      </c>
      <c r="B469" s="112"/>
      <c r="C469" s="229" t="s">
        <v>42</v>
      </c>
      <c r="D469" s="34">
        <v>2024</v>
      </c>
      <c r="E469" s="104" t="s">
        <v>40</v>
      </c>
      <c r="F469" s="112" t="s">
        <v>95</v>
      </c>
      <c r="G469" s="35" t="s">
        <v>349</v>
      </c>
      <c r="H469" s="112">
        <v>14.53</v>
      </c>
      <c r="I469" s="34">
        <v>0.68</v>
      </c>
      <c r="J469" s="34">
        <v>6</v>
      </c>
      <c r="K469" s="35" t="s">
        <v>178</v>
      </c>
      <c r="L469" s="112" t="s">
        <v>66</v>
      </c>
      <c r="M469" s="112" t="s">
        <v>67</v>
      </c>
      <c r="N469" s="112" t="s">
        <v>59</v>
      </c>
      <c r="O469" s="104"/>
      <c r="P469" s="104" t="s">
        <v>112</v>
      </c>
      <c r="Q469" s="104"/>
      <c r="R469" s="104"/>
      <c r="S469" s="104"/>
      <c r="T469" s="104"/>
      <c r="U469" s="104">
        <v>2.8</v>
      </c>
      <c r="V469" s="104">
        <v>0.63</v>
      </c>
      <c r="W469" s="104">
        <v>1.57</v>
      </c>
      <c r="X469" s="104">
        <v>0.28999999999999998</v>
      </c>
      <c r="Y469" s="104">
        <v>1.79</v>
      </c>
      <c r="Z469" s="104">
        <v>0.37</v>
      </c>
      <c r="AA469" s="104">
        <v>0.99</v>
      </c>
      <c r="AB469" s="104">
        <v>0.28999999999999998</v>
      </c>
      <c r="AC469" s="104">
        <v>7.34</v>
      </c>
      <c r="AD469" s="104">
        <v>1.22</v>
      </c>
      <c r="AE469" s="104">
        <v>4.67</v>
      </c>
      <c r="AF469" s="104">
        <v>1.2</v>
      </c>
      <c r="AG469" s="104">
        <v>0.56999999999999995</v>
      </c>
      <c r="AH469" s="206">
        <v>0.1</v>
      </c>
    </row>
    <row r="470" spans="1:34" ht="15.95" customHeight="1" x14ac:dyDescent="0.25">
      <c r="A470" s="115">
        <v>60</v>
      </c>
      <c r="B470" s="112"/>
      <c r="C470" s="229" t="s">
        <v>42</v>
      </c>
      <c r="D470" s="34">
        <v>2024</v>
      </c>
      <c r="E470" s="104" t="s">
        <v>40</v>
      </c>
      <c r="F470" s="112" t="s">
        <v>95</v>
      </c>
      <c r="G470" s="35" t="s">
        <v>342</v>
      </c>
      <c r="H470" s="112">
        <v>14.27</v>
      </c>
      <c r="I470" s="34">
        <v>0.4</v>
      </c>
      <c r="J470" s="34">
        <v>15</v>
      </c>
      <c r="K470" s="35" t="s">
        <v>178</v>
      </c>
      <c r="L470" s="112" t="s">
        <v>66</v>
      </c>
      <c r="M470" s="112" t="s">
        <v>67</v>
      </c>
      <c r="N470" s="112" t="s">
        <v>59</v>
      </c>
      <c r="O470" s="104"/>
      <c r="P470" s="104" t="s">
        <v>112</v>
      </c>
      <c r="Q470" s="104"/>
      <c r="R470" s="104"/>
      <c r="S470" s="104"/>
      <c r="T470" s="104"/>
      <c r="U470" s="104">
        <v>2.78</v>
      </c>
      <c r="V470" s="104">
        <v>0.34</v>
      </c>
      <c r="W470" s="104">
        <v>1.54</v>
      </c>
      <c r="X470" s="104">
        <v>0.32</v>
      </c>
      <c r="Y470" s="104">
        <v>1.83</v>
      </c>
      <c r="Z470" s="104">
        <v>0.25</v>
      </c>
      <c r="AA470" s="104">
        <v>1.05</v>
      </c>
      <c r="AB470" s="104">
        <v>0.24</v>
      </c>
      <c r="AC470" s="104">
        <v>8.44</v>
      </c>
      <c r="AD470" s="104">
        <v>1.1399999999999999</v>
      </c>
      <c r="AE470" s="104">
        <v>5.34</v>
      </c>
      <c r="AF470" s="104">
        <v>1.27</v>
      </c>
      <c r="AG470" s="104">
        <v>0.55000000000000004</v>
      </c>
      <c r="AH470" s="206">
        <v>0.09</v>
      </c>
    </row>
    <row r="471" spans="1:34" ht="15.95" customHeight="1" x14ac:dyDescent="0.25">
      <c r="A471" s="115">
        <v>60</v>
      </c>
      <c r="B471" s="112"/>
      <c r="C471" s="229" t="s">
        <v>42</v>
      </c>
      <c r="D471" s="34">
        <v>2024</v>
      </c>
      <c r="E471" s="104" t="s">
        <v>40</v>
      </c>
      <c r="F471" s="112" t="s">
        <v>95</v>
      </c>
      <c r="G471" s="35" t="s">
        <v>343</v>
      </c>
      <c r="H471" s="112">
        <v>14.41</v>
      </c>
      <c r="I471" s="34">
        <v>0.53</v>
      </c>
      <c r="J471" s="34">
        <v>17</v>
      </c>
      <c r="K471" s="35" t="s">
        <v>178</v>
      </c>
      <c r="L471" s="112" t="s">
        <v>66</v>
      </c>
      <c r="M471" s="112" t="s">
        <v>67</v>
      </c>
      <c r="N471" s="112" t="s">
        <v>59</v>
      </c>
      <c r="O471" s="104"/>
      <c r="P471" s="104" t="s">
        <v>112</v>
      </c>
      <c r="Q471" s="104"/>
      <c r="R471" s="104"/>
      <c r="S471" s="104"/>
      <c r="T471" s="104"/>
      <c r="U471" s="104">
        <v>2.56</v>
      </c>
      <c r="V471" s="104">
        <v>0.43</v>
      </c>
      <c r="W471" s="104">
        <v>1.5</v>
      </c>
      <c r="X471" s="104">
        <v>0.26</v>
      </c>
      <c r="Y471" s="104">
        <v>1.7</v>
      </c>
      <c r="Z471" s="104">
        <v>0.35</v>
      </c>
      <c r="AA471" s="104">
        <v>1.02</v>
      </c>
      <c r="AB471" s="104">
        <v>0.21</v>
      </c>
      <c r="AC471" s="104">
        <v>7.91</v>
      </c>
      <c r="AD471" s="104">
        <v>1.98</v>
      </c>
      <c r="AE471" s="104">
        <v>5.07</v>
      </c>
      <c r="AF471" s="104">
        <v>1.1599999999999999</v>
      </c>
      <c r="AG471" s="104">
        <v>0.59</v>
      </c>
      <c r="AH471" s="206">
        <v>0.09</v>
      </c>
    </row>
    <row r="472" spans="1:34" ht="15.95" customHeight="1" x14ac:dyDescent="0.25">
      <c r="A472" s="115">
        <v>60</v>
      </c>
      <c r="B472" s="112"/>
      <c r="C472" s="229" t="s">
        <v>42</v>
      </c>
      <c r="D472" s="34">
        <v>2024</v>
      </c>
      <c r="E472" s="104" t="s">
        <v>40</v>
      </c>
      <c r="F472" s="112" t="s">
        <v>95</v>
      </c>
      <c r="G472" s="35" t="s">
        <v>350</v>
      </c>
      <c r="H472" s="112">
        <v>14.42</v>
      </c>
      <c r="I472" s="34">
        <v>0.61</v>
      </c>
      <c r="J472" s="34">
        <v>11</v>
      </c>
      <c r="K472" s="35" t="s">
        <v>178</v>
      </c>
      <c r="L472" s="112" t="s">
        <v>66</v>
      </c>
      <c r="M472" s="112" t="s">
        <v>67</v>
      </c>
      <c r="N472" s="112" t="s">
        <v>59</v>
      </c>
      <c r="O472" s="104"/>
      <c r="P472" s="104" t="s">
        <v>112</v>
      </c>
      <c r="Q472" s="104"/>
      <c r="R472" s="104"/>
      <c r="S472" s="104"/>
      <c r="T472" s="104"/>
      <c r="U472" s="104">
        <v>2.7</v>
      </c>
      <c r="V472" s="104">
        <v>0.26</v>
      </c>
      <c r="W472" s="104">
        <v>1.62</v>
      </c>
      <c r="X472" s="104">
        <v>0.12</v>
      </c>
      <c r="Y472" s="104">
        <v>1.77</v>
      </c>
      <c r="Z472" s="104">
        <v>0.21</v>
      </c>
      <c r="AA472" s="104">
        <v>1.1000000000000001</v>
      </c>
      <c r="AB472" s="104">
        <v>0.13</v>
      </c>
      <c r="AC472" s="104">
        <v>8.2200000000000006</v>
      </c>
      <c r="AD472" s="104">
        <v>1.1599999999999999</v>
      </c>
      <c r="AE472" s="104">
        <v>5.74</v>
      </c>
      <c r="AF472" s="104">
        <v>0.75</v>
      </c>
      <c r="AG472" s="104">
        <v>0.61</v>
      </c>
      <c r="AH472" s="206">
        <v>0.08</v>
      </c>
    </row>
    <row r="473" spans="1:34" ht="15.95" customHeight="1" x14ac:dyDescent="0.25">
      <c r="A473" s="115">
        <v>300</v>
      </c>
      <c r="B473" s="112"/>
      <c r="C473" s="229" t="s">
        <v>42</v>
      </c>
      <c r="D473" s="34">
        <v>2024</v>
      </c>
      <c r="E473" s="104" t="s">
        <v>40</v>
      </c>
      <c r="F473" s="112" t="s">
        <v>95</v>
      </c>
      <c r="G473" s="35" t="s">
        <v>349</v>
      </c>
      <c r="H473" s="112">
        <v>14.53</v>
      </c>
      <c r="I473" s="34">
        <v>0.68</v>
      </c>
      <c r="J473" s="34">
        <v>6</v>
      </c>
      <c r="K473" s="35" t="s">
        <v>178</v>
      </c>
      <c r="L473" s="112" t="s">
        <v>66</v>
      </c>
      <c r="M473" s="112" t="s">
        <v>67</v>
      </c>
      <c r="N473" s="112" t="s">
        <v>59</v>
      </c>
      <c r="O473" s="104"/>
      <c r="P473" s="104" t="s">
        <v>112</v>
      </c>
      <c r="Q473" s="104"/>
      <c r="R473" s="104"/>
      <c r="S473" s="104"/>
      <c r="T473" s="104"/>
      <c r="U473" s="104">
        <v>1.41</v>
      </c>
      <c r="V473" s="104">
        <v>0.18</v>
      </c>
      <c r="W473" s="104">
        <v>0.84</v>
      </c>
      <c r="X473" s="104">
        <v>0.15</v>
      </c>
      <c r="Y473" s="104">
        <v>3.28</v>
      </c>
      <c r="Z473" s="104">
        <v>0.55000000000000004</v>
      </c>
      <c r="AA473" s="104">
        <v>1.18</v>
      </c>
      <c r="AB473" s="104">
        <v>0.6</v>
      </c>
      <c r="AC473" s="104">
        <v>4.2300000000000004</v>
      </c>
      <c r="AD473" s="104">
        <v>0.72</v>
      </c>
      <c r="AE473" s="104">
        <v>1.71</v>
      </c>
      <c r="AF473" s="104">
        <v>0.84</v>
      </c>
      <c r="AG473" s="104">
        <v>0.61</v>
      </c>
      <c r="AH473" s="206">
        <v>0.14000000000000001</v>
      </c>
    </row>
    <row r="474" spans="1:34" ht="15.95" customHeight="1" x14ac:dyDescent="0.25">
      <c r="A474" s="115">
        <v>300</v>
      </c>
      <c r="B474" s="112"/>
      <c r="C474" s="229" t="s">
        <v>42</v>
      </c>
      <c r="D474" s="34">
        <v>2024</v>
      </c>
      <c r="E474" s="104" t="s">
        <v>40</v>
      </c>
      <c r="F474" s="112" t="s">
        <v>95</v>
      </c>
      <c r="G474" s="35" t="s">
        <v>342</v>
      </c>
      <c r="H474" s="112">
        <v>14.27</v>
      </c>
      <c r="I474" s="34">
        <v>0.4</v>
      </c>
      <c r="J474" s="34">
        <v>15</v>
      </c>
      <c r="K474" s="35" t="s">
        <v>178</v>
      </c>
      <c r="L474" s="112" t="s">
        <v>66</v>
      </c>
      <c r="M474" s="112" t="s">
        <v>67</v>
      </c>
      <c r="N474" s="112" t="s">
        <v>59</v>
      </c>
      <c r="O474" s="104"/>
      <c r="P474" s="104" t="s">
        <v>112</v>
      </c>
      <c r="Q474" s="104"/>
      <c r="R474" s="104"/>
      <c r="S474" s="104"/>
      <c r="T474" s="104"/>
      <c r="U474" s="104">
        <v>1.5</v>
      </c>
      <c r="V474" s="104">
        <v>0.16</v>
      </c>
      <c r="W474" s="104">
        <v>0.92</v>
      </c>
      <c r="X474" s="104">
        <v>0.13</v>
      </c>
      <c r="Y474" s="104">
        <v>3.86</v>
      </c>
      <c r="Z474" s="104">
        <v>0.48</v>
      </c>
      <c r="AA474" s="104">
        <v>1.79</v>
      </c>
      <c r="AB474" s="104">
        <v>0.49</v>
      </c>
      <c r="AC474" s="104">
        <v>5.05</v>
      </c>
      <c r="AD474" s="104">
        <v>0.59</v>
      </c>
      <c r="AE474" s="104">
        <v>2.65</v>
      </c>
      <c r="AF474" s="104">
        <v>0.66</v>
      </c>
      <c r="AG474" s="104">
        <v>0.62</v>
      </c>
      <c r="AH474" s="206">
        <v>0.06</v>
      </c>
    </row>
    <row r="475" spans="1:34" ht="15.95" customHeight="1" x14ac:dyDescent="0.25">
      <c r="A475" s="115">
        <v>300</v>
      </c>
      <c r="B475" s="112"/>
      <c r="C475" s="229" t="s">
        <v>42</v>
      </c>
      <c r="D475" s="34">
        <v>2024</v>
      </c>
      <c r="E475" s="104" t="s">
        <v>40</v>
      </c>
      <c r="F475" s="112" t="s">
        <v>95</v>
      </c>
      <c r="G475" s="35" t="s">
        <v>343</v>
      </c>
      <c r="H475" s="112">
        <v>14.41</v>
      </c>
      <c r="I475" s="34">
        <v>0.53</v>
      </c>
      <c r="J475" s="34">
        <v>17</v>
      </c>
      <c r="K475" s="35" t="s">
        <v>178</v>
      </c>
      <c r="L475" s="112" t="s">
        <v>66</v>
      </c>
      <c r="M475" s="112" t="s">
        <v>67</v>
      </c>
      <c r="N475" s="112" t="s">
        <v>59</v>
      </c>
      <c r="O475" s="104"/>
      <c r="P475" s="104" t="s">
        <v>112</v>
      </c>
      <c r="Q475" s="104"/>
      <c r="R475" s="104"/>
      <c r="S475" s="104"/>
      <c r="T475" s="104"/>
      <c r="U475" s="104">
        <v>1.43</v>
      </c>
      <c r="V475" s="104">
        <v>0.21</v>
      </c>
      <c r="W475" s="104">
        <v>0.96</v>
      </c>
      <c r="X475" s="104">
        <v>0.11</v>
      </c>
      <c r="Y475" s="104">
        <v>3.74</v>
      </c>
      <c r="Z475" s="104">
        <v>0.86</v>
      </c>
      <c r="AA475" s="104">
        <v>1.81</v>
      </c>
      <c r="AB475" s="104">
        <v>0.67</v>
      </c>
      <c r="AC475" s="104">
        <v>5.16</v>
      </c>
      <c r="AD475" s="104">
        <v>1.27</v>
      </c>
      <c r="AE475" s="104">
        <v>2.79</v>
      </c>
      <c r="AF475" s="104">
        <v>1.02</v>
      </c>
      <c r="AG475" s="104">
        <v>0.68</v>
      </c>
      <c r="AH475" s="206">
        <v>0.1</v>
      </c>
    </row>
    <row r="476" spans="1:34" ht="15.95" customHeight="1" x14ac:dyDescent="0.25">
      <c r="A476" s="115">
        <v>300</v>
      </c>
      <c r="B476" s="112"/>
      <c r="C476" s="229" t="s">
        <v>42</v>
      </c>
      <c r="D476" s="34">
        <v>2024</v>
      </c>
      <c r="E476" s="104" t="s">
        <v>40</v>
      </c>
      <c r="F476" s="112" t="s">
        <v>95</v>
      </c>
      <c r="G476" s="35" t="s">
        <v>350</v>
      </c>
      <c r="H476" s="112">
        <v>14.42</v>
      </c>
      <c r="I476" s="34">
        <v>0.61</v>
      </c>
      <c r="J476" s="34">
        <v>11</v>
      </c>
      <c r="K476" s="35" t="s">
        <v>178</v>
      </c>
      <c r="L476" s="112" t="s">
        <v>66</v>
      </c>
      <c r="M476" s="112" t="s">
        <v>67</v>
      </c>
      <c r="N476" s="112" t="s">
        <v>59</v>
      </c>
      <c r="O476" s="104"/>
      <c r="P476" s="104" t="s">
        <v>112</v>
      </c>
      <c r="Q476" s="104"/>
      <c r="R476" s="104"/>
      <c r="S476" s="104"/>
      <c r="T476" s="104"/>
      <c r="U476" s="104">
        <v>1.47</v>
      </c>
      <c r="V476" s="104">
        <v>0.22</v>
      </c>
      <c r="W476" s="104">
        <v>0.96</v>
      </c>
      <c r="X476" s="104">
        <v>0.21</v>
      </c>
      <c r="Y476" s="104">
        <v>3.86</v>
      </c>
      <c r="Z476" s="104">
        <v>0.75</v>
      </c>
      <c r="AA476" s="104">
        <v>1.84</v>
      </c>
      <c r="AB476" s="104">
        <v>0.56999999999999995</v>
      </c>
      <c r="AC476" s="104">
        <v>5.29</v>
      </c>
      <c r="AD476" s="104">
        <v>0.88</v>
      </c>
      <c r="AE476" s="104">
        <v>2.77</v>
      </c>
      <c r="AF476" s="104">
        <v>0.81</v>
      </c>
      <c r="AG476" s="104">
        <v>0.66</v>
      </c>
      <c r="AH476" s="206">
        <v>0.12</v>
      </c>
    </row>
    <row r="477" spans="1:34" ht="15.95" customHeight="1" x14ac:dyDescent="0.25">
      <c r="A477" s="115">
        <v>180</v>
      </c>
      <c r="B477" s="112"/>
      <c r="C477" s="229" t="s">
        <v>42</v>
      </c>
      <c r="D477" s="34">
        <v>2024</v>
      </c>
      <c r="E477" s="104" t="s">
        <v>40</v>
      </c>
      <c r="F477" s="112" t="s">
        <v>95</v>
      </c>
      <c r="G477" s="35" t="s">
        <v>349</v>
      </c>
      <c r="H477" s="112">
        <v>14.53</v>
      </c>
      <c r="I477" s="34">
        <v>0.68</v>
      </c>
      <c r="J477" s="34">
        <v>6</v>
      </c>
      <c r="K477" s="35" t="s">
        <v>178</v>
      </c>
      <c r="L477" s="112" t="s">
        <v>66</v>
      </c>
      <c r="M477" s="112" t="s">
        <v>67</v>
      </c>
      <c r="N477" s="112" t="s">
        <v>59</v>
      </c>
      <c r="O477" s="104"/>
      <c r="P477" s="104" t="s">
        <v>112</v>
      </c>
      <c r="Q477" s="104"/>
      <c r="R477" s="104"/>
      <c r="S477" s="104"/>
      <c r="T477" s="104"/>
      <c r="U477" s="104">
        <v>1.91</v>
      </c>
      <c r="V477" s="104">
        <v>0.34</v>
      </c>
      <c r="W477" s="104">
        <v>0.99</v>
      </c>
      <c r="X477" s="104">
        <v>0.18</v>
      </c>
      <c r="Y477" s="104">
        <v>3.36</v>
      </c>
      <c r="Z477" s="112">
        <v>0.71</v>
      </c>
      <c r="AA477" s="112">
        <v>1.63</v>
      </c>
      <c r="AB477" s="112">
        <v>0.53</v>
      </c>
      <c r="AC477" s="112">
        <v>6.05</v>
      </c>
      <c r="AD477" s="112">
        <v>1.1200000000000001</v>
      </c>
      <c r="AE477" s="112">
        <v>3.05</v>
      </c>
      <c r="AF477" s="112">
        <v>0.97</v>
      </c>
      <c r="AG477" s="112">
        <v>0.52</v>
      </c>
      <c r="AH477" s="205">
        <v>0.06</v>
      </c>
    </row>
    <row r="478" spans="1:34" ht="15.95" customHeight="1" x14ac:dyDescent="0.25">
      <c r="A478" s="115">
        <v>180</v>
      </c>
      <c r="B478" s="112"/>
      <c r="C478" s="229" t="s">
        <v>42</v>
      </c>
      <c r="D478" s="34">
        <v>2024</v>
      </c>
      <c r="E478" s="104" t="s">
        <v>40</v>
      </c>
      <c r="F478" s="112" t="s">
        <v>95</v>
      </c>
      <c r="G478" s="35" t="s">
        <v>342</v>
      </c>
      <c r="H478" s="112">
        <v>14.27</v>
      </c>
      <c r="I478" s="34">
        <v>0.4</v>
      </c>
      <c r="J478" s="34">
        <v>15</v>
      </c>
      <c r="K478" s="35" t="s">
        <v>178</v>
      </c>
      <c r="L478" s="112" t="s">
        <v>66</v>
      </c>
      <c r="M478" s="112" t="s">
        <v>67</v>
      </c>
      <c r="N478" s="112" t="s">
        <v>59</v>
      </c>
      <c r="O478" s="104"/>
      <c r="P478" s="104" t="s">
        <v>112</v>
      </c>
      <c r="Q478" s="104"/>
      <c r="R478" s="104"/>
      <c r="S478" s="104"/>
      <c r="T478" s="104"/>
      <c r="U478" s="104">
        <v>2.0099999999999998</v>
      </c>
      <c r="V478" s="104">
        <v>0.16</v>
      </c>
      <c r="W478" s="104">
        <v>0.99</v>
      </c>
      <c r="X478" s="104">
        <v>0.18</v>
      </c>
      <c r="Y478" s="104">
        <v>3.73</v>
      </c>
      <c r="Z478" s="104">
        <v>0.44</v>
      </c>
      <c r="AA478" s="104">
        <v>2.0299999999999998</v>
      </c>
      <c r="AB478" s="104">
        <v>0.31</v>
      </c>
      <c r="AC478" s="104">
        <v>6.89</v>
      </c>
      <c r="AD478" s="104">
        <v>0.98</v>
      </c>
      <c r="AE478" s="104">
        <v>4.1500000000000004</v>
      </c>
      <c r="AF478" s="104">
        <v>0.64</v>
      </c>
      <c r="AG478" s="104">
        <v>0.56000000000000005</v>
      </c>
      <c r="AH478" s="206">
        <v>0.06</v>
      </c>
    </row>
    <row r="479" spans="1:34" ht="15.95" customHeight="1" x14ac:dyDescent="0.25">
      <c r="A479" s="115">
        <v>180</v>
      </c>
      <c r="B479" s="112"/>
      <c r="C479" s="229" t="s">
        <v>42</v>
      </c>
      <c r="D479" s="34">
        <v>2024</v>
      </c>
      <c r="E479" s="104" t="s">
        <v>40</v>
      </c>
      <c r="F479" s="112" t="s">
        <v>95</v>
      </c>
      <c r="G479" s="35" t="s">
        <v>343</v>
      </c>
      <c r="H479" s="112">
        <v>14.41</v>
      </c>
      <c r="I479" s="34">
        <v>0.53</v>
      </c>
      <c r="J479" s="34">
        <v>17</v>
      </c>
      <c r="K479" s="35" t="s">
        <v>178</v>
      </c>
      <c r="L479" s="112" t="s">
        <v>66</v>
      </c>
      <c r="M479" s="112" t="s">
        <v>67</v>
      </c>
      <c r="N479" s="112" t="s">
        <v>59</v>
      </c>
      <c r="O479" s="104"/>
      <c r="P479" s="104" t="s">
        <v>112</v>
      </c>
      <c r="Q479" s="104"/>
      <c r="R479" s="104"/>
      <c r="S479" s="104"/>
      <c r="T479" s="104"/>
      <c r="U479" s="104">
        <v>1.91</v>
      </c>
      <c r="V479" s="104">
        <v>0.31</v>
      </c>
      <c r="W479" s="104">
        <v>1.1599999999999999</v>
      </c>
      <c r="X479" s="104">
        <v>0.18</v>
      </c>
      <c r="Y479" s="104">
        <v>3.59</v>
      </c>
      <c r="Z479" s="104">
        <v>0.59</v>
      </c>
      <c r="AA479" s="104">
        <v>2.02</v>
      </c>
      <c r="AB479" s="104">
        <v>0.44</v>
      </c>
      <c r="AC479" s="104">
        <v>6.81</v>
      </c>
      <c r="AD479" s="104">
        <v>1.42</v>
      </c>
      <c r="AE479" s="104">
        <v>4.29</v>
      </c>
      <c r="AF479" s="104">
        <v>1.1599999999999999</v>
      </c>
      <c r="AG479" s="104">
        <v>0.62</v>
      </c>
      <c r="AH479" s="206">
        <v>0.11</v>
      </c>
    </row>
    <row r="480" spans="1:34" ht="15.95" customHeight="1" x14ac:dyDescent="0.25">
      <c r="A480" s="115">
        <v>180</v>
      </c>
      <c r="B480" s="112"/>
      <c r="C480" s="229" t="s">
        <v>42</v>
      </c>
      <c r="D480" s="34">
        <v>2024</v>
      </c>
      <c r="E480" s="104" t="s">
        <v>40</v>
      </c>
      <c r="F480" s="112" t="s">
        <v>95</v>
      </c>
      <c r="G480" s="35" t="s">
        <v>350</v>
      </c>
      <c r="H480" s="112">
        <v>14.42</v>
      </c>
      <c r="I480" s="34">
        <v>0.61</v>
      </c>
      <c r="J480" s="34">
        <v>11</v>
      </c>
      <c r="K480" s="35" t="s">
        <v>178</v>
      </c>
      <c r="L480" s="112" t="s">
        <v>66</v>
      </c>
      <c r="M480" s="112" t="s">
        <v>67</v>
      </c>
      <c r="N480" s="112" t="s">
        <v>59</v>
      </c>
      <c r="O480" s="104"/>
      <c r="P480" s="104" t="s">
        <v>112</v>
      </c>
      <c r="Q480" s="104"/>
      <c r="R480" s="104"/>
      <c r="S480" s="104"/>
      <c r="T480" s="104"/>
      <c r="U480" s="104">
        <v>1.96</v>
      </c>
      <c r="V480" s="104">
        <v>0.2</v>
      </c>
      <c r="W480" s="104">
        <v>1.1499999999999999</v>
      </c>
      <c r="X480" s="104">
        <v>0.13</v>
      </c>
      <c r="Y480" s="104">
        <v>3.67</v>
      </c>
      <c r="Z480" s="104">
        <v>0.38</v>
      </c>
      <c r="AA480" s="104">
        <v>2.1</v>
      </c>
      <c r="AB480" s="104">
        <v>0.33</v>
      </c>
      <c r="AC480" s="104">
        <v>7.04</v>
      </c>
      <c r="AD480" s="104">
        <v>0.8</v>
      </c>
      <c r="AE480" s="104">
        <v>4.6900000000000004</v>
      </c>
      <c r="AF480" s="104">
        <v>1.1299999999999999</v>
      </c>
      <c r="AG480" s="104">
        <v>0.59</v>
      </c>
      <c r="AH480" s="206">
        <v>0.05</v>
      </c>
    </row>
    <row r="481" spans="1:34" ht="15.95" customHeight="1" x14ac:dyDescent="0.25">
      <c r="A481" s="115">
        <v>60</v>
      </c>
      <c r="B481" s="118" t="s">
        <v>103</v>
      </c>
      <c r="C481" s="228" t="s">
        <v>48</v>
      </c>
      <c r="D481" s="34">
        <v>2010</v>
      </c>
      <c r="E481" s="35" t="s">
        <v>40</v>
      </c>
      <c r="F481" s="112" t="s">
        <v>68</v>
      </c>
      <c r="G481" s="35" t="s">
        <v>178</v>
      </c>
      <c r="H481" s="35">
        <v>22.6</v>
      </c>
      <c r="I481" s="35">
        <v>5.2</v>
      </c>
      <c r="J481" s="35">
        <v>36</v>
      </c>
      <c r="K481" s="35" t="s">
        <v>64</v>
      </c>
      <c r="L481" s="112" t="s">
        <v>66</v>
      </c>
      <c r="M481" s="35" t="s">
        <v>67</v>
      </c>
      <c r="N481" s="35" t="s">
        <v>59</v>
      </c>
      <c r="O481" s="35" t="s">
        <v>169</v>
      </c>
      <c r="P481" s="104" t="s">
        <v>112</v>
      </c>
      <c r="Q481" s="112">
        <v>263</v>
      </c>
      <c r="R481" s="112">
        <v>37</v>
      </c>
      <c r="S481" s="112">
        <v>162</v>
      </c>
      <c r="T481" s="112">
        <v>35</v>
      </c>
      <c r="U481" s="112">
        <v>3.52</v>
      </c>
      <c r="V481" s="112">
        <v>0.65</v>
      </c>
      <c r="W481" s="112">
        <v>2.17</v>
      </c>
      <c r="X481" s="112">
        <v>0.55000000000000004</v>
      </c>
      <c r="Y481" s="112"/>
      <c r="Z481" s="112"/>
      <c r="AA481" s="112"/>
      <c r="AB481" s="112"/>
      <c r="AC481" s="112"/>
      <c r="AD481" s="112"/>
      <c r="AE481" s="112"/>
      <c r="AF481" s="112"/>
      <c r="AG481" s="112">
        <v>0.62</v>
      </c>
      <c r="AH481" s="205">
        <v>0.11</v>
      </c>
    </row>
    <row r="482" spans="1:34" ht="15.95" customHeight="1" x14ac:dyDescent="0.25">
      <c r="A482" s="115">
        <v>60</v>
      </c>
      <c r="B482" s="118" t="s">
        <v>103</v>
      </c>
      <c r="C482" s="228" t="s">
        <v>48</v>
      </c>
      <c r="D482" s="34">
        <v>2010</v>
      </c>
      <c r="E482" s="35" t="s">
        <v>40</v>
      </c>
      <c r="F482" s="112" t="s">
        <v>68</v>
      </c>
      <c r="G482" s="35" t="s">
        <v>178</v>
      </c>
      <c r="H482" s="35">
        <v>22.6</v>
      </c>
      <c r="I482" s="35">
        <v>5.2</v>
      </c>
      <c r="J482" s="35">
        <v>36</v>
      </c>
      <c r="K482" s="35" t="s">
        <v>65</v>
      </c>
      <c r="L482" s="112" t="s">
        <v>66</v>
      </c>
      <c r="M482" s="35" t="s">
        <v>67</v>
      </c>
      <c r="N482" s="35" t="s">
        <v>59</v>
      </c>
      <c r="O482" s="35" t="s">
        <v>169</v>
      </c>
      <c r="P482" s="104" t="s">
        <v>112</v>
      </c>
      <c r="Q482" s="112">
        <v>262</v>
      </c>
      <c r="R482" s="112">
        <v>46</v>
      </c>
      <c r="S482" s="112">
        <v>151</v>
      </c>
      <c r="T482" s="112">
        <v>27</v>
      </c>
      <c r="U482" s="112">
        <v>3.49</v>
      </c>
      <c r="V482" s="112">
        <v>0.69</v>
      </c>
      <c r="W482" s="112">
        <v>2.0299999999999998</v>
      </c>
      <c r="X482" s="112">
        <v>0.41</v>
      </c>
      <c r="Y482" s="112"/>
      <c r="Z482" s="112"/>
      <c r="AA482" s="112"/>
      <c r="AB482" s="112"/>
      <c r="AC482" s="112"/>
      <c r="AD482" s="112"/>
      <c r="AE482" s="112"/>
      <c r="AF482" s="112"/>
      <c r="AG482" s="112">
        <v>0.57999999999999996</v>
      </c>
      <c r="AH482" s="205">
        <v>7.0000000000000007E-2</v>
      </c>
    </row>
    <row r="483" spans="1:34" ht="15.95" customHeight="1" x14ac:dyDescent="0.25">
      <c r="A483" s="115">
        <v>60</v>
      </c>
      <c r="B483" s="112" t="s">
        <v>129</v>
      </c>
      <c r="C483" s="228" t="s">
        <v>48</v>
      </c>
      <c r="D483" s="122">
        <v>2010</v>
      </c>
      <c r="E483" s="104" t="s">
        <v>40</v>
      </c>
      <c r="F483" s="112" t="s">
        <v>68</v>
      </c>
      <c r="G483" s="35" t="s">
        <v>178</v>
      </c>
      <c r="H483" s="112">
        <v>22.6</v>
      </c>
      <c r="I483" s="34">
        <v>5.2</v>
      </c>
      <c r="J483" s="34">
        <v>36</v>
      </c>
      <c r="K483" s="35" t="s">
        <v>64</v>
      </c>
      <c r="L483" s="112" t="s">
        <v>66</v>
      </c>
      <c r="M483" s="112" t="s">
        <v>67</v>
      </c>
      <c r="N483" s="112" t="s">
        <v>59</v>
      </c>
      <c r="O483" s="35" t="s">
        <v>169</v>
      </c>
      <c r="P483" s="104" t="s">
        <v>112</v>
      </c>
      <c r="Q483" s="112">
        <v>263</v>
      </c>
      <c r="R483" s="112">
        <v>37</v>
      </c>
      <c r="S483" s="112">
        <v>162</v>
      </c>
      <c r="T483" s="112">
        <v>35</v>
      </c>
      <c r="U483" s="112">
        <v>3.52</v>
      </c>
      <c r="V483" s="112">
        <v>0.65</v>
      </c>
      <c r="W483" s="112">
        <v>2.17</v>
      </c>
      <c r="X483" s="112">
        <v>0.55000000000000004</v>
      </c>
      <c r="Y483" s="112"/>
      <c r="Z483" s="112"/>
      <c r="AA483" s="112"/>
      <c r="AB483" s="112"/>
      <c r="AC483" s="112"/>
      <c r="AD483" s="112"/>
      <c r="AE483" s="112"/>
      <c r="AF483" s="112"/>
      <c r="AG483" s="112">
        <v>0.62</v>
      </c>
      <c r="AH483" s="205">
        <v>0.11</v>
      </c>
    </row>
    <row r="484" spans="1:34" ht="15.95" customHeight="1" x14ac:dyDescent="0.25">
      <c r="A484" s="115">
        <v>60</v>
      </c>
      <c r="B484" s="112" t="s">
        <v>129</v>
      </c>
      <c r="C484" s="228" t="s">
        <v>48</v>
      </c>
      <c r="D484" s="122">
        <v>2010</v>
      </c>
      <c r="E484" s="104" t="s">
        <v>40</v>
      </c>
      <c r="F484" s="112" t="s">
        <v>68</v>
      </c>
      <c r="G484" s="35" t="s">
        <v>178</v>
      </c>
      <c r="H484" s="112">
        <v>22.6</v>
      </c>
      <c r="I484" s="34">
        <v>5.2</v>
      </c>
      <c r="J484" s="34">
        <v>36</v>
      </c>
      <c r="K484" s="35" t="s">
        <v>65</v>
      </c>
      <c r="L484" s="112" t="s">
        <v>66</v>
      </c>
      <c r="M484" s="112" t="s">
        <v>67</v>
      </c>
      <c r="N484" s="112" t="s">
        <v>59</v>
      </c>
      <c r="O484" s="35" t="s">
        <v>169</v>
      </c>
      <c r="P484" s="104" t="s">
        <v>112</v>
      </c>
      <c r="Q484" s="112">
        <v>262</v>
      </c>
      <c r="R484" s="112">
        <v>46</v>
      </c>
      <c r="S484" s="112">
        <v>151</v>
      </c>
      <c r="T484" s="112">
        <v>27</v>
      </c>
      <c r="U484" s="112">
        <v>3.49</v>
      </c>
      <c r="V484" s="112">
        <v>0.62</v>
      </c>
      <c r="W484" s="112">
        <v>2.0299999999999998</v>
      </c>
      <c r="X484" s="112">
        <v>0.41</v>
      </c>
      <c r="Y484" s="112"/>
      <c r="Z484" s="112"/>
      <c r="AA484" s="112"/>
      <c r="AB484" s="112"/>
      <c r="AC484" s="112"/>
      <c r="AD484" s="112"/>
      <c r="AE484" s="112"/>
      <c r="AF484" s="112"/>
      <c r="AG484" s="112">
        <v>0.57999999999999996</v>
      </c>
      <c r="AH484" s="205">
        <v>7.0000000000000007E-2</v>
      </c>
    </row>
    <row r="485" spans="1:34" ht="15.95" customHeight="1" x14ac:dyDescent="0.25">
      <c r="A485" s="115">
        <v>300</v>
      </c>
      <c r="B485" s="118"/>
      <c r="C485" s="228" t="s">
        <v>48</v>
      </c>
      <c r="D485" s="34">
        <v>2010</v>
      </c>
      <c r="E485" s="35" t="s">
        <v>40</v>
      </c>
      <c r="F485" s="112" t="s">
        <v>68</v>
      </c>
      <c r="G485" s="35" t="s">
        <v>178</v>
      </c>
      <c r="H485" s="35">
        <v>22.6</v>
      </c>
      <c r="I485" s="35">
        <v>5.2</v>
      </c>
      <c r="J485" s="35">
        <v>36</v>
      </c>
      <c r="K485" s="35" t="s">
        <v>64</v>
      </c>
      <c r="L485" s="112" t="s">
        <v>66</v>
      </c>
      <c r="M485" s="35" t="s">
        <v>67</v>
      </c>
      <c r="N485" s="35" t="s">
        <v>59</v>
      </c>
      <c r="O485" s="35" t="s">
        <v>169</v>
      </c>
      <c r="P485" s="104" t="s">
        <v>112</v>
      </c>
      <c r="Q485" s="112">
        <v>157</v>
      </c>
      <c r="R485" s="112">
        <v>23</v>
      </c>
      <c r="S485" s="112">
        <v>104</v>
      </c>
      <c r="T485" s="112">
        <v>21</v>
      </c>
      <c r="U485" s="112">
        <v>2.11</v>
      </c>
      <c r="V485" s="112">
        <v>0.43</v>
      </c>
      <c r="W485" s="112">
        <v>1.39</v>
      </c>
      <c r="X485" s="112">
        <v>0.35</v>
      </c>
      <c r="Y485" s="112"/>
      <c r="Z485" s="112"/>
      <c r="AA485" s="112"/>
      <c r="AB485" s="112"/>
      <c r="AC485" s="112"/>
      <c r="AD485" s="112"/>
      <c r="AE485" s="112"/>
      <c r="AF485" s="112"/>
      <c r="AG485" s="112">
        <v>0.66</v>
      </c>
      <c r="AH485" s="205">
        <v>0.09</v>
      </c>
    </row>
    <row r="486" spans="1:34" ht="15.95" customHeight="1" x14ac:dyDescent="0.25">
      <c r="A486" s="115">
        <v>300</v>
      </c>
      <c r="B486" s="118"/>
      <c r="C486" s="228" t="s">
        <v>48</v>
      </c>
      <c r="D486" s="34">
        <v>2010</v>
      </c>
      <c r="E486" s="35" t="s">
        <v>40</v>
      </c>
      <c r="F486" s="112" t="s">
        <v>68</v>
      </c>
      <c r="G486" s="35" t="s">
        <v>178</v>
      </c>
      <c r="H486" s="35">
        <v>22.6</v>
      </c>
      <c r="I486" s="35">
        <v>5.2</v>
      </c>
      <c r="J486" s="35">
        <v>36</v>
      </c>
      <c r="K486" s="35" t="s">
        <v>65</v>
      </c>
      <c r="L486" s="112" t="s">
        <v>66</v>
      </c>
      <c r="M486" s="35" t="s">
        <v>67</v>
      </c>
      <c r="N486" s="35" t="s">
        <v>59</v>
      </c>
      <c r="O486" s="35" t="s">
        <v>169</v>
      </c>
      <c r="P486" s="104" t="s">
        <v>112</v>
      </c>
      <c r="Q486" s="112">
        <v>149</v>
      </c>
      <c r="R486" s="112">
        <v>24</v>
      </c>
      <c r="S486" s="112">
        <v>99</v>
      </c>
      <c r="T486" s="112">
        <v>21</v>
      </c>
      <c r="U486" s="112">
        <v>2.13</v>
      </c>
      <c r="V486" s="112">
        <v>0.42</v>
      </c>
      <c r="W486" s="112">
        <v>1.33</v>
      </c>
      <c r="X486" s="112">
        <v>0.32</v>
      </c>
      <c r="Y486" s="112"/>
      <c r="Z486" s="112"/>
      <c r="AA486" s="112"/>
      <c r="AB486" s="112"/>
      <c r="AC486" s="112"/>
      <c r="AD486" s="112"/>
      <c r="AE486" s="112"/>
      <c r="AF486" s="112"/>
      <c r="AG486" s="112">
        <v>0.62</v>
      </c>
      <c r="AH486" s="205">
        <v>0.1</v>
      </c>
    </row>
    <row r="487" spans="1:34" ht="15.95" customHeight="1" x14ac:dyDescent="0.25">
      <c r="A487" s="115">
        <v>300</v>
      </c>
      <c r="B487" s="112" t="s">
        <v>129</v>
      </c>
      <c r="C487" s="229" t="s">
        <v>48</v>
      </c>
      <c r="D487" s="112">
        <v>2009</v>
      </c>
      <c r="E487" s="104" t="s">
        <v>40</v>
      </c>
      <c r="F487" s="112" t="s">
        <v>68</v>
      </c>
      <c r="G487" s="35" t="s">
        <v>178</v>
      </c>
      <c r="H487" s="112">
        <v>22.6</v>
      </c>
      <c r="I487" s="34">
        <v>5.2</v>
      </c>
      <c r="J487" s="34">
        <v>36</v>
      </c>
      <c r="K487" s="35" t="s">
        <v>65</v>
      </c>
      <c r="L487" s="112" t="s">
        <v>66</v>
      </c>
      <c r="M487" s="112" t="s">
        <v>67</v>
      </c>
      <c r="N487" s="112" t="s">
        <v>59</v>
      </c>
      <c r="O487" s="35" t="s">
        <v>169</v>
      </c>
      <c r="P487" s="104" t="s">
        <v>112</v>
      </c>
      <c r="Q487" s="112">
        <v>157</v>
      </c>
      <c r="R487" s="112">
        <v>23</v>
      </c>
      <c r="S487" s="112">
        <v>104</v>
      </c>
      <c r="T487" s="112">
        <v>21</v>
      </c>
      <c r="U487" s="112">
        <v>2.11</v>
      </c>
      <c r="V487" s="112">
        <v>0.43</v>
      </c>
      <c r="W487" s="112">
        <v>1.39</v>
      </c>
      <c r="X487" s="112">
        <v>0.35</v>
      </c>
      <c r="Y487" s="112"/>
      <c r="Z487" s="112"/>
      <c r="AA487" s="112"/>
      <c r="AB487" s="112"/>
      <c r="AC487" s="112"/>
      <c r="AD487" s="112"/>
      <c r="AE487" s="112"/>
      <c r="AF487" s="112"/>
      <c r="AG487" s="112">
        <v>0.66</v>
      </c>
      <c r="AH487" s="205">
        <v>0.09</v>
      </c>
    </row>
    <row r="488" spans="1:34" ht="15.95" customHeight="1" x14ac:dyDescent="0.25">
      <c r="A488" s="115">
        <v>300</v>
      </c>
      <c r="B488" s="112" t="s">
        <v>129</v>
      </c>
      <c r="C488" s="229" t="s">
        <v>48</v>
      </c>
      <c r="D488" s="112">
        <v>2009</v>
      </c>
      <c r="E488" s="104" t="s">
        <v>40</v>
      </c>
      <c r="F488" s="112" t="s">
        <v>68</v>
      </c>
      <c r="G488" s="35" t="s">
        <v>178</v>
      </c>
      <c r="H488" s="112">
        <v>22.6</v>
      </c>
      <c r="I488" s="34">
        <v>5.2</v>
      </c>
      <c r="J488" s="34">
        <v>36</v>
      </c>
      <c r="K488" s="35" t="s">
        <v>65</v>
      </c>
      <c r="L488" s="112" t="s">
        <v>66</v>
      </c>
      <c r="M488" s="112" t="s">
        <v>67</v>
      </c>
      <c r="N488" s="112" t="s">
        <v>59</v>
      </c>
      <c r="O488" s="35" t="s">
        <v>169</v>
      </c>
      <c r="P488" s="104" t="s">
        <v>112</v>
      </c>
      <c r="Q488" s="112">
        <v>159</v>
      </c>
      <c r="R488" s="112">
        <v>24</v>
      </c>
      <c r="S488" s="112">
        <v>99</v>
      </c>
      <c r="T488" s="112">
        <v>21</v>
      </c>
      <c r="U488" s="112">
        <v>2.13</v>
      </c>
      <c r="V488" s="112">
        <v>0.42</v>
      </c>
      <c r="W488" s="112">
        <v>1.33</v>
      </c>
      <c r="X488" s="112">
        <v>0.32</v>
      </c>
      <c r="Y488" s="112"/>
      <c r="Z488" s="112"/>
      <c r="AA488" s="112"/>
      <c r="AB488" s="112"/>
      <c r="AC488" s="112"/>
      <c r="AD488" s="112"/>
      <c r="AE488" s="112"/>
      <c r="AF488" s="112"/>
      <c r="AG488" s="112">
        <v>0.62</v>
      </c>
      <c r="AH488" s="205">
        <v>0.1</v>
      </c>
    </row>
    <row r="489" spans="1:34" ht="15.95" customHeight="1" x14ac:dyDescent="0.25">
      <c r="A489" s="115">
        <v>180</v>
      </c>
      <c r="B489" s="118"/>
      <c r="C489" s="229" t="s">
        <v>48</v>
      </c>
      <c r="D489" s="34">
        <v>2010</v>
      </c>
      <c r="E489" s="35" t="s">
        <v>40</v>
      </c>
      <c r="F489" s="112" t="s">
        <v>68</v>
      </c>
      <c r="G489" s="35" t="s">
        <v>178</v>
      </c>
      <c r="H489" s="35">
        <v>22.6</v>
      </c>
      <c r="I489" s="35">
        <v>5.2</v>
      </c>
      <c r="J489" s="35">
        <v>36</v>
      </c>
      <c r="K489" s="35" t="s">
        <v>64</v>
      </c>
      <c r="L489" s="112" t="s">
        <v>66</v>
      </c>
      <c r="M489" s="35" t="s">
        <v>67</v>
      </c>
      <c r="N489" s="35" t="s">
        <v>59</v>
      </c>
      <c r="O489" s="35" t="s">
        <v>169</v>
      </c>
      <c r="P489" s="104" t="s">
        <v>112</v>
      </c>
      <c r="Q489" s="112">
        <v>193</v>
      </c>
      <c r="R489" s="112">
        <v>28</v>
      </c>
      <c r="S489" s="112">
        <v>121</v>
      </c>
      <c r="T489" s="112">
        <v>25</v>
      </c>
      <c r="U489" s="112">
        <v>2.59</v>
      </c>
      <c r="V489" s="112">
        <v>0.52</v>
      </c>
      <c r="W489" s="112">
        <v>1.62</v>
      </c>
      <c r="X489" s="112">
        <v>0.35</v>
      </c>
      <c r="Y489" s="112"/>
      <c r="Z489" s="112"/>
      <c r="AA489" s="112"/>
      <c r="AB489" s="112"/>
      <c r="AC489" s="112"/>
      <c r="AD489" s="112"/>
      <c r="AE489" s="112"/>
      <c r="AF489" s="112"/>
      <c r="AG489" s="112">
        <v>0.63</v>
      </c>
      <c r="AH489" s="205">
        <v>0.1</v>
      </c>
    </row>
    <row r="490" spans="1:34" ht="15.95" customHeight="1" x14ac:dyDescent="0.25">
      <c r="A490" s="136">
        <v>180</v>
      </c>
      <c r="B490" s="118"/>
      <c r="C490" s="229" t="s">
        <v>48</v>
      </c>
      <c r="D490" s="34">
        <v>2010</v>
      </c>
      <c r="E490" s="129" t="s">
        <v>40</v>
      </c>
      <c r="F490" s="128" t="s">
        <v>68</v>
      </c>
      <c r="G490" s="129" t="s">
        <v>178</v>
      </c>
      <c r="H490" s="35">
        <v>22.6</v>
      </c>
      <c r="I490" s="35">
        <v>5.2</v>
      </c>
      <c r="J490" s="35">
        <v>36</v>
      </c>
      <c r="K490" s="35" t="s">
        <v>65</v>
      </c>
      <c r="L490" s="112" t="s">
        <v>66</v>
      </c>
      <c r="M490" s="35" t="s">
        <v>67</v>
      </c>
      <c r="N490" s="35" t="s">
        <v>59</v>
      </c>
      <c r="O490" s="35" t="s">
        <v>169</v>
      </c>
      <c r="P490" s="104" t="s">
        <v>112</v>
      </c>
      <c r="Q490" s="112">
        <v>201</v>
      </c>
      <c r="R490" s="112">
        <v>30</v>
      </c>
      <c r="S490" s="112">
        <v>125</v>
      </c>
      <c r="T490" s="112">
        <v>21</v>
      </c>
      <c r="U490" s="112">
        <v>2.69</v>
      </c>
      <c r="V490" s="112">
        <v>0.55000000000000004</v>
      </c>
      <c r="W490" s="112">
        <v>1.68</v>
      </c>
      <c r="X490" s="112">
        <v>0.35</v>
      </c>
      <c r="Y490" s="112"/>
      <c r="Z490" s="112"/>
      <c r="AA490" s="112"/>
      <c r="AB490" s="112"/>
      <c r="AC490" s="112"/>
      <c r="AD490" s="112"/>
      <c r="AE490" s="112"/>
      <c r="AF490" s="112"/>
      <c r="AG490" s="112">
        <v>0.63</v>
      </c>
      <c r="AH490" s="205">
        <v>0.11</v>
      </c>
    </row>
    <row r="491" spans="1:34" ht="15.95" customHeight="1" x14ac:dyDescent="0.25">
      <c r="A491" s="136">
        <v>180</v>
      </c>
      <c r="B491" s="112" t="s">
        <v>129</v>
      </c>
      <c r="C491" s="229" t="s">
        <v>48</v>
      </c>
      <c r="D491" s="34">
        <v>2010</v>
      </c>
      <c r="E491" s="127" t="s">
        <v>40</v>
      </c>
      <c r="F491" s="128" t="s">
        <v>68</v>
      </c>
      <c r="G491" s="129" t="s">
        <v>178</v>
      </c>
      <c r="H491" s="112">
        <v>22.6</v>
      </c>
      <c r="I491" s="34">
        <v>5.2</v>
      </c>
      <c r="J491" s="34">
        <v>36</v>
      </c>
      <c r="K491" s="35" t="s">
        <v>64</v>
      </c>
      <c r="L491" s="112" t="s">
        <v>66</v>
      </c>
      <c r="M491" s="112" t="s">
        <v>67</v>
      </c>
      <c r="N491" s="112" t="s">
        <v>59</v>
      </c>
      <c r="O491" s="35" t="s">
        <v>169</v>
      </c>
      <c r="P491" s="104" t="s">
        <v>112</v>
      </c>
      <c r="Q491" s="112">
        <v>193</v>
      </c>
      <c r="R491" s="112">
        <v>28</v>
      </c>
      <c r="S491" s="112">
        <v>121</v>
      </c>
      <c r="T491" s="112">
        <v>25</v>
      </c>
      <c r="U491" s="112">
        <v>2.59</v>
      </c>
      <c r="V491" s="112">
        <v>0.52</v>
      </c>
      <c r="W491" s="112">
        <v>1.62</v>
      </c>
      <c r="X491" s="112">
        <v>0.35</v>
      </c>
      <c r="Y491" s="112"/>
      <c r="Z491" s="112"/>
      <c r="AA491" s="112"/>
      <c r="AB491" s="112"/>
      <c r="AC491" s="112"/>
      <c r="AD491" s="112"/>
      <c r="AE491" s="112"/>
      <c r="AF491" s="112"/>
      <c r="AG491" s="112">
        <v>0.63</v>
      </c>
      <c r="AH491" s="205">
        <v>0.1</v>
      </c>
    </row>
    <row r="492" spans="1:34" ht="15.95" customHeight="1" x14ac:dyDescent="0.25">
      <c r="A492" s="136">
        <v>180</v>
      </c>
      <c r="B492" s="112" t="s">
        <v>129</v>
      </c>
      <c r="C492" s="229" t="s">
        <v>48</v>
      </c>
      <c r="D492" s="130">
        <v>2010</v>
      </c>
      <c r="E492" s="127" t="s">
        <v>40</v>
      </c>
      <c r="F492" s="128" t="s">
        <v>68</v>
      </c>
      <c r="G492" s="129" t="s">
        <v>178</v>
      </c>
      <c r="H492" s="112">
        <v>22.6</v>
      </c>
      <c r="I492" s="34">
        <v>5.2</v>
      </c>
      <c r="J492" s="34">
        <v>36</v>
      </c>
      <c r="K492" s="35" t="s">
        <v>65</v>
      </c>
      <c r="L492" s="112" t="s">
        <v>66</v>
      </c>
      <c r="M492" s="112" t="s">
        <v>67</v>
      </c>
      <c r="N492" s="112" t="s">
        <v>59</v>
      </c>
      <c r="O492" s="35" t="s">
        <v>169</v>
      </c>
      <c r="P492" s="104" t="s">
        <v>112</v>
      </c>
      <c r="Q492" s="112">
        <v>201</v>
      </c>
      <c r="R492" s="112">
        <v>30</v>
      </c>
      <c r="S492" s="112">
        <v>125</v>
      </c>
      <c r="T492" s="112">
        <v>21</v>
      </c>
      <c r="U492" s="112">
        <v>2.69</v>
      </c>
      <c r="V492" s="112">
        <v>0.55000000000000004</v>
      </c>
      <c r="W492" s="112">
        <v>1.68</v>
      </c>
      <c r="X492" s="112">
        <v>0.35</v>
      </c>
      <c r="Y492" s="112"/>
      <c r="Z492" s="112"/>
      <c r="AA492" s="112"/>
      <c r="AB492" s="112"/>
      <c r="AC492" s="112"/>
      <c r="AD492" s="112"/>
      <c r="AE492" s="112"/>
      <c r="AF492" s="112"/>
      <c r="AG492" s="112">
        <v>0.63</v>
      </c>
      <c r="AH492" s="205">
        <v>0.11</v>
      </c>
    </row>
    <row r="493" spans="1:34" ht="15.95" customHeight="1" x14ac:dyDescent="0.25">
      <c r="A493" s="136">
        <v>300</v>
      </c>
      <c r="B493" s="112" t="s">
        <v>147</v>
      </c>
      <c r="C493" s="228" t="s">
        <v>409</v>
      </c>
      <c r="D493" s="130">
        <v>1988</v>
      </c>
      <c r="E493" s="128" t="s">
        <v>80</v>
      </c>
      <c r="F493" s="131" t="s">
        <v>60</v>
      </c>
      <c r="G493" s="130" t="s">
        <v>427</v>
      </c>
      <c r="H493" s="112"/>
      <c r="I493" s="34"/>
      <c r="J493" s="34">
        <v>14</v>
      </c>
      <c r="K493" s="35" t="s">
        <v>93</v>
      </c>
      <c r="L493" s="112" t="s">
        <v>66</v>
      </c>
      <c r="M493" s="112" t="s">
        <v>67</v>
      </c>
      <c r="N493" s="112" t="s">
        <v>58</v>
      </c>
      <c r="O493" s="35" t="s">
        <v>169</v>
      </c>
      <c r="P493" s="104" t="s">
        <v>112</v>
      </c>
      <c r="Q493" s="112">
        <v>143.1</v>
      </c>
      <c r="R493" s="112">
        <v>6.1</v>
      </c>
      <c r="S493" s="112">
        <v>122.7</v>
      </c>
      <c r="T493" s="112">
        <v>5.2</v>
      </c>
      <c r="U493" s="112">
        <v>1.76</v>
      </c>
      <c r="V493" s="112">
        <v>0.06</v>
      </c>
      <c r="W493" s="112">
        <v>1.51</v>
      </c>
      <c r="X493" s="112">
        <v>0.05</v>
      </c>
      <c r="Y493" s="112"/>
      <c r="Z493" s="112"/>
      <c r="AA493" s="112"/>
      <c r="AB493" s="112"/>
      <c r="AC493" s="112"/>
      <c r="AD493" s="112"/>
      <c r="AE493" s="112"/>
      <c r="AF493" s="112"/>
      <c r="AG493" s="112">
        <v>0.89</v>
      </c>
      <c r="AH493" s="205"/>
    </row>
    <row r="494" spans="1:34" ht="15.95" customHeight="1" x14ac:dyDescent="0.25">
      <c r="A494" s="136">
        <v>300</v>
      </c>
      <c r="B494" s="112" t="s">
        <v>147</v>
      </c>
      <c r="C494" s="228" t="s">
        <v>409</v>
      </c>
      <c r="D494" s="130">
        <v>1988</v>
      </c>
      <c r="E494" s="128" t="s">
        <v>80</v>
      </c>
      <c r="F494" s="125" t="s">
        <v>60</v>
      </c>
      <c r="G494" s="130" t="s">
        <v>427</v>
      </c>
      <c r="H494" s="112"/>
      <c r="I494" s="34"/>
      <c r="J494" s="34">
        <v>14</v>
      </c>
      <c r="K494" s="35" t="s">
        <v>92</v>
      </c>
      <c r="L494" s="112" t="s">
        <v>66</v>
      </c>
      <c r="M494" s="112" t="s">
        <v>67</v>
      </c>
      <c r="N494" s="112" t="s">
        <v>58</v>
      </c>
      <c r="O494" s="35" t="s">
        <v>169</v>
      </c>
      <c r="P494" s="104" t="s">
        <v>112</v>
      </c>
      <c r="Q494" s="112">
        <v>142.4</v>
      </c>
      <c r="R494" s="112">
        <v>5.3</v>
      </c>
      <c r="S494" s="112">
        <v>121.6</v>
      </c>
      <c r="T494" s="112">
        <v>5.0999999999999996</v>
      </c>
      <c r="U494" s="112">
        <v>1.75</v>
      </c>
      <c r="V494" s="112">
        <v>0.05</v>
      </c>
      <c r="W494" s="112">
        <v>1.5</v>
      </c>
      <c r="X494" s="112">
        <v>0.04</v>
      </c>
      <c r="Y494" s="112"/>
      <c r="Z494" s="112"/>
      <c r="AA494" s="112"/>
      <c r="AB494" s="112"/>
      <c r="AC494" s="112"/>
      <c r="AD494" s="112"/>
      <c r="AE494" s="112"/>
      <c r="AF494" s="112"/>
      <c r="AG494" s="112">
        <v>0.88</v>
      </c>
      <c r="AH494" s="205"/>
    </row>
    <row r="495" spans="1:34" ht="15.95" customHeight="1" x14ac:dyDescent="0.25">
      <c r="A495" s="136">
        <v>300</v>
      </c>
      <c r="B495" s="112" t="s">
        <v>146</v>
      </c>
      <c r="C495" s="228" t="s">
        <v>409</v>
      </c>
      <c r="D495" s="130">
        <v>1988</v>
      </c>
      <c r="E495" s="128" t="s">
        <v>80</v>
      </c>
      <c r="F495" s="125" t="s">
        <v>60</v>
      </c>
      <c r="G495" s="128" t="s">
        <v>422</v>
      </c>
      <c r="H495" s="112"/>
      <c r="I495" s="34"/>
      <c r="J495" s="34">
        <v>13</v>
      </c>
      <c r="K495" s="35" t="s">
        <v>93</v>
      </c>
      <c r="L495" s="112" t="s">
        <v>66</v>
      </c>
      <c r="M495" s="112" t="s">
        <v>67</v>
      </c>
      <c r="N495" s="112" t="s">
        <v>58</v>
      </c>
      <c r="O495" s="35" t="s">
        <v>169</v>
      </c>
      <c r="P495" s="104" t="s">
        <v>112</v>
      </c>
      <c r="Q495" s="112">
        <v>148.4</v>
      </c>
      <c r="R495" s="112">
        <v>3.9</v>
      </c>
      <c r="S495" s="112">
        <v>135.5</v>
      </c>
      <c r="T495" s="112">
        <v>5.5</v>
      </c>
      <c r="U495" s="112">
        <v>1.35</v>
      </c>
      <c r="V495" s="112">
        <v>0.06</v>
      </c>
      <c r="W495" s="112">
        <v>1.23</v>
      </c>
      <c r="X495" s="112">
        <v>0.06</v>
      </c>
      <c r="Y495" s="112"/>
      <c r="Z495" s="112"/>
      <c r="AA495" s="112"/>
      <c r="AB495" s="112"/>
      <c r="AC495" s="112"/>
      <c r="AD495" s="112"/>
      <c r="AE495" s="112"/>
      <c r="AF495" s="112"/>
      <c r="AG495" s="112">
        <v>0.89</v>
      </c>
      <c r="AH495" s="205"/>
    </row>
    <row r="496" spans="1:34" ht="15.95" customHeight="1" x14ac:dyDescent="0.25">
      <c r="A496" s="136">
        <v>300</v>
      </c>
      <c r="B496" s="112" t="s">
        <v>146</v>
      </c>
      <c r="C496" s="228" t="s">
        <v>409</v>
      </c>
      <c r="D496" s="130">
        <v>1988</v>
      </c>
      <c r="E496" s="112" t="s">
        <v>80</v>
      </c>
      <c r="F496" s="131" t="s">
        <v>60</v>
      </c>
      <c r="G496" s="128" t="s">
        <v>422</v>
      </c>
      <c r="H496" s="112"/>
      <c r="I496" s="34"/>
      <c r="J496" s="34">
        <v>13</v>
      </c>
      <c r="K496" s="35" t="s">
        <v>92</v>
      </c>
      <c r="L496" s="112" t="s">
        <v>66</v>
      </c>
      <c r="M496" s="112" t="s">
        <v>67</v>
      </c>
      <c r="N496" s="112" t="s">
        <v>58</v>
      </c>
      <c r="O496" s="35" t="s">
        <v>169</v>
      </c>
      <c r="P496" s="104" t="s">
        <v>112</v>
      </c>
      <c r="Q496" s="112">
        <v>155.9</v>
      </c>
      <c r="R496" s="112">
        <v>4.2</v>
      </c>
      <c r="S496" s="112">
        <v>140</v>
      </c>
      <c r="T496" s="112">
        <v>3.8</v>
      </c>
      <c r="U496" s="112">
        <v>1.42</v>
      </c>
      <c r="V496" s="112">
        <v>0.04</v>
      </c>
      <c r="W496" s="112">
        <v>1.27</v>
      </c>
      <c r="X496" s="112">
        <v>0.04</v>
      </c>
      <c r="Y496" s="112"/>
      <c r="Z496" s="112"/>
      <c r="AA496" s="112"/>
      <c r="AB496" s="112"/>
      <c r="AC496" s="112"/>
      <c r="AD496" s="112"/>
      <c r="AE496" s="112"/>
      <c r="AF496" s="112"/>
      <c r="AG496" s="112">
        <v>0.88</v>
      </c>
      <c r="AH496" s="205"/>
    </row>
    <row r="497" spans="1:34" ht="15.95" customHeight="1" x14ac:dyDescent="0.25">
      <c r="A497" s="136">
        <v>300</v>
      </c>
      <c r="B497" s="112" t="s">
        <v>146</v>
      </c>
      <c r="C497" s="228" t="s">
        <v>409</v>
      </c>
      <c r="D497" s="130">
        <v>1988</v>
      </c>
      <c r="E497" s="112" t="s">
        <v>80</v>
      </c>
      <c r="F497" s="131" t="s">
        <v>60</v>
      </c>
      <c r="G497" s="128" t="s">
        <v>420</v>
      </c>
      <c r="H497" s="112"/>
      <c r="I497" s="34"/>
      <c r="J497" s="34">
        <v>14</v>
      </c>
      <c r="K497" s="35" t="s">
        <v>93</v>
      </c>
      <c r="L497" s="112" t="s">
        <v>66</v>
      </c>
      <c r="M497" s="112" t="s">
        <v>67</v>
      </c>
      <c r="N497" s="112" t="s">
        <v>58</v>
      </c>
      <c r="O497" s="35" t="s">
        <v>169</v>
      </c>
      <c r="P497" s="104" t="s">
        <v>112</v>
      </c>
      <c r="Q497" s="112">
        <v>148.4</v>
      </c>
      <c r="R497" s="112">
        <v>4.5</v>
      </c>
      <c r="S497" s="34">
        <v>130.30000000000001</v>
      </c>
      <c r="T497" s="34">
        <v>4.8</v>
      </c>
      <c r="U497" s="112">
        <v>1.48</v>
      </c>
      <c r="V497" s="112">
        <v>0.04</v>
      </c>
      <c r="W497" s="112">
        <v>1.3</v>
      </c>
      <c r="X497" s="112">
        <v>0.04</v>
      </c>
      <c r="Y497" s="112"/>
      <c r="Z497" s="112"/>
      <c r="AA497" s="112"/>
      <c r="AB497" s="112"/>
      <c r="AC497" s="112"/>
      <c r="AD497" s="112"/>
      <c r="AE497" s="112"/>
      <c r="AF497" s="112"/>
      <c r="AG497" s="112">
        <v>0.91</v>
      </c>
      <c r="AH497" s="205"/>
    </row>
    <row r="498" spans="1:34" ht="15.95" customHeight="1" x14ac:dyDescent="0.25">
      <c r="A498" s="136">
        <v>300</v>
      </c>
      <c r="B498" s="112" t="s">
        <v>146</v>
      </c>
      <c r="C498" s="228" t="s">
        <v>409</v>
      </c>
      <c r="D498" s="130">
        <v>1988</v>
      </c>
      <c r="E498" s="128" t="s">
        <v>80</v>
      </c>
      <c r="F498" s="125" t="s">
        <v>60</v>
      </c>
      <c r="G498" s="128" t="s">
        <v>420</v>
      </c>
      <c r="H498" s="112"/>
      <c r="I498" s="34"/>
      <c r="J498" s="34">
        <v>14</v>
      </c>
      <c r="K498" s="35" t="s">
        <v>92</v>
      </c>
      <c r="L498" s="112" t="s">
        <v>66</v>
      </c>
      <c r="M498" s="112" t="s">
        <v>67</v>
      </c>
      <c r="N498" s="112" t="s">
        <v>58</v>
      </c>
      <c r="O498" s="35" t="s">
        <v>169</v>
      </c>
      <c r="P498" s="104" t="s">
        <v>112</v>
      </c>
      <c r="Q498" s="112">
        <v>156.9</v>
      </c>
      <c r="R498" s="112">
        <v>3.7</v>
      </c>
      <c r="S498" s="34">
        <v>138</v>
      </c>
      <c r="T498" s="34">
        <v>3.9</v>
      </c>
      <c r="U498" s="112">
        <v>1.57</v>
      </c>
      <c r="V498" s="112">
        <v>0.04</v>
      </c>
      <c r="W498" s="112">
        <v>1.38</v>
      </c>
      <c r="X498" s="112">
        <v>0.05</v>
      </c>
      <c r="Y498" s="112"/>
      <c r="Z498" s="112"/>
      <c r="AA498" s="112"/>
      <c r="AB498" s="112"/>
      <c r="AC498" s="112"/>
      <c r="AD498" s="112"/>
      <c r="AE498" s="112"/>
      <c r="AF498" s="112"/>
      <c r="AG498" s="112">
        <v>0.9</v>
      </c>
      <c r="AH498" s="205"/>
    </row>
    <row r="499" spans="1:34" ht="15.95" customHeight="1" x14ac:dyDescent="0.25">
      <c r="A499" s="136">
        <v>300</v>
      </c>
      <c r="B499" s="112" t="s">
        <v>146</v>
      </c>
      <c r="C499" s="228" t="s">
        <v>409</v>
      </c>
      <c r="D499" s="130">
        <v>1988</v>
      </c>
      <c r="E499" s="128" t="s">
        <v>80</v>
      </c>
      <c r="F499" s="125" t="s">
        <v>60</v>
      </c>
      <c r="G499" s="128" t="s">
        <v>420</v>
      </c>
      <c r="H499" s="112"/>
      <c r="I499" s="34"/>
      <c r="J499" s="34">
        <v>14</v>
      </c>
      <c r="K499" s="35" t="s">
        <v>93</v>
      </c>
      <c r="L499" s="112" t="s">
        <v>66</v>
      </c>
      <c r="M499" s="112" t="s">
        <v>67</v>
      </c>
      <c r="N499" s="112" t="s">
        <v>58</v>
      </c>
      <c r="O499" s="35" t="s">
        <v>169</v>
      </c>
      <c r="P499" s="104" t="s">
        <v>112</v>
      </c>
      <c r="Q499" s="112">
        <v>139.69999999999999</v>
      </c>
      <c r="R499" s="112">
        <v>4.8</v>
      </c>
      <c r="S499" s="34">
        <v>125.2</v>
      </c>
      <c r="T499" s="34">
        <v>3.7</v>
      </c>
      <c r="U499" s="112">
        <v>1.68</v>
      </c>
      <c r="V499" s="112">
        <v>0.05</v>
      </c>
      <c r="W499" s="112">
        <v>1.51</v>
      </c>
      <c r="X499" s="112">
        <v>0.04</v>
      </c>
      <c r="Y499" s="112"/>
      <c r="Z499" s="112"/>
      <c r="AA499" s="112"/>
      <c r="AB499" s="112"/>
      <c r="AC499" s="112"/>
      <c r="AD499" s="112"/>
      <c r="AE499" s="112"/>
      <c r="AF499" s="112"/>
      <c r="AG499" s="112">
        <v>0.85</v>
      </c>
      <c r="AH499" s="205"/>
    </row>
    <row r="500" spans="1:34" ht="15.95" customHeight="1" x14ac:dyDescent="0.25">
      <c r="A500" s="136">
        <v>300</v>
      </c>
      <c r="B500" s="112" t="s">
        <v>146</v>
      </c>
      <c r="C500" s="228" t="s">
        <v>409</v>
      </c>
      <c r="D500" s="34">
        <v>1988</v>
      </c>
      <c r="E500" s="128" t="s">
        <v>80</v>
      </c>
      <c r="F500" s="131" t="s">
        <v>60</v>
      </c>
      <c r="G500" s="112" t="s">
        <v>420</v>
      </c>
      <c r="H500" s="112"/>
      <c r="I500" s="34"/>
      <c r="J500" s="34">
        <v>14</v>
      </c>
      <c r="K500" s="35" t="s">
        <v>92</v>
      </c>
      <c r="L500" s="112" t="s">
        <v>66</v>
      </c>
      <c r="M500" s="112" t="s">
        <v>67</v>
      </c>
      <c r="N500" s="112" t="s">
        <v>58</v>
      </c>
      <c r="O500" s="35" t="s">
        <v>169</v>
      </c>
      <c r="P500" s="104" t="s">
        <v>112</v>
      </c>
      <c r="Q500" s="112">
        <v>138.69999999999999</v>
      </c>
      <c r="R500" s="112">
        <v>4.0999999999999996</v>
      </c>
      <c r="S500" s="34">
        <v>122.4</v>
      </c>
      <c r="T500" s="34">
        <v>3.4</v>
      </c>
      <c r="U500" s="112">
        <v>1.67</v>
      </c>
      <c r="V500" s="112">
        <v>0.05</v>
      </c>
      <c r="W500" s="112">
        <v>1.48</v>
      </c>
      <c r="X500" s="112">
        <v>0.04</v>
      </c>
      <c r="Y500" s="112"/>
      <c r="Z500" s="112"/>
      <c r="AA500" s="112"/>
      <c r="AB500" s="112"/>
      <c r="AC500" s="112"/>
      <c r="AD500" s="112"/>
      <c r="AE500" s="112"/>
      <c r="AF500" s="112"/>
      <c r="AG500" s="112">
        <v>0.85</v>
      </c>
      <c r="AH500" s="205"/>
    </row>
    <row r="501" spans="1:34" ht="15.95" customHeight="1" x14ac:dyDescent="0.25">
      <c r="A501" s="136">
        <v>180</v>
      </c>
      <c r="B501" s="112" t="s">
        <v>147</v>
      </c>
      <c r="C501" s="228" t="s">
        <v>409</v>
      </c>
      <c r="D501" s="34">
        <v>1988</v>
      </c>
      <c r="E501" s="128" t="s">
        <v>80</v>
      </c>
      <c r="F501" s="131" t="s">
        <v>60</v>
      </c>
      <c r="G501" s="34" t="s">
        <v>427</v>
      </c>
      <c r="H501" s="112"/>
      <c r="I501" s="34"/>
      <c r="J501" s="34">
        <v>14</v>
      </c>
      <c r="K501" s="35" t="s">
        <v>93</v>
      </c>
      <c r="L501" s="112" t="s">
        <v>66</v>
      </c>
      <c r="M501" s="112" t="s">
        <v>67</v>
      </c>
      <c r="N501" s="112" t="s">
        <v>58</v>
      </c>
      <c r="O501" s="35" t="s">
        <v>169</v>
      </c>
      <c r="P501" s="104" t="s">
        <v>112</v>
      </c>
      <c r="Q501" s="112">
        <v>195.1</v>
      </c>
      <c r="R501" s="112">
        <v>5.4</v>
      </c>
      <c r="S501" s="112">
        <v>150.80000000000001</v>
      </c>
      <c r="T501" s="112">
        <v>6.3</v>
      </c>
      <c r="U501" s="112">
        <v>2.4</v>
      </c>
      <c r="V501" s="112">
        <v>0.06</v>
      </c>
      <c r="W501" s="112">
        <v>1.86</v>
      </c>
      <c r="X501" s="112">
        <v>0.05</v>
      </c>
      <c r="Y501" s="112"/>
      <c r="Z501" s="112"/>
      <c r="AA501" s="112"/>
      <c r="AB501" s="112"/>
      <c r="AC501" s="112"/>
      <c r="AD501" s="112"/>
      <c r="AE501" s="112"/>
      <c r="AF501" s="112"/>
      <c r="AG501" s="112">
        <v>0.77</v>
      </c>
      <c r="AH501" s="205"/>
    </row>
    <row r="502" spans="1:34" ht="15.95" customHeight="1" x14ac:dyDescent="0.25">
      <c r="A502" s="136">
        <v>180</v>
      </c>
      <c r="B502" s="112" t="s">
        <v>147</v>
      </c>
      <c r="C502" s="228" t="s">
        <v>409</v>
      </c>
      <c r="D502" s="34">
        <v>1988</v>
      </c>
      <c r="E502" s="128" t="s">
        <v>80</v>
      </c>
      <c r="F502" s="131" t="s">
        <v>60</v>
      </c>
      <c r="G502" s="34" t="s">
        <v>427</v>
      </c>
      <c r="H502" s="112"/>
      <c r="I502" s="34"/>
      <c r="J502" s="34">
        <v>14</v>
      </c>
      <c r="K502" s="35" t="s">
        <v>92</v>
      </c>
      <c r="L502" s="112" t="s">
        <v>66</v>
      </c>
      <c r="M502" s="112" t="s">
        <v>67</v>
      </c>
      <c r="N502" s="112" t="s">
        <v>58</v>
      </c>
      <c r="O502" s="35" t="s">
        <v>169</v>
      </c>
      <c r="P502" s="104" t="s">
        <v>112</v>
      </c>
      <c r="Q502" s="112">
        <v>193</v>
      </c>
      <c r="R502" s="112">
        <v>6.4</v>
      </c>
      <c r="S502" s="112">
        <v>146.4</v>
      </c>
      <c r="T502" s="112">
        <v>6</v>
      </c>
      <c r="U502" s="112">
        <v>2.38</v>
      </c>
      <c r="V502" s="112">
        <v>0.06</v>
      </c>
      <c r="W502" s="112">
        <v>1.8</v>
      </c>
      <c r="X502" s="112">
        <v>0.05</v>
      </c>
      <c r="Y502" s="112"/>
      <c r="Z502" s="112"/>
      <c r="AA502" s="112"/>
      <c r="AB502" s="112"/>
      <c r="AC502" s="112"/>
      <c r="AD502" s="112"/>
      <c r="AE502" s="112"/>
      <c r="AF502" s="112"/>
      <c r="AG502" s="112">
        <v>0.76</v>
      </c>
      <c r="AH502" s="205"/>
    </row>
    <row r="503" spans="1:34" ht="15.95" customHeight="1" x14ac:dyDescent="0.25">
      <c r="A503" s="136">
        <v>180</v>
      </c>
      <c r="B503" s="112" t="s">
        <v>146</v>
      </c>
      <c r="C503" s="228" t="s">
        <v>409</v>
      </c>
      <c r="D503" s="34">
        <v>1988</v>
      </c>
      <c r="E503" s="128" t="s">
        <v>80</v>
      </c>
      <c r="F503" s="131" t="s">
        <v>60</v>
      </c>
      <c r="G503" s="112" t="s">
        <v>422</v>
      </c>
      <c r="H503" s="112"/>
      <c r="I503" s="34"/>
      <c r="J503" s="34">
        <v>13</v>
      </c>
      <c r="K503" s="35" t="s">
        <v>93</v>
      </c>
      <c r="L503" s="112" t="s">
        <v>66</v>
      </c>
      <c r="M503" s="112" t="s">
        <v>67</v>
      </c>
      <c r="N503" s="112" t="s">
        <v>58</v>
      </c>
      <c r="O503" s="35" t="s">
        <v>169</v>
      </c>
      <c r="P503" s="104" t="s">
        <v>112</v>
      </c>
      <c r="Q503" s="112">
        <v>206.5</v>
      </c>
      <c r="R503" s="112">
        <v>6.7</v>
      </c>
      <c r="S503" s="112">
        <v>163.30000000000001</v>
      </c>
      <c r="T503" s="112">
        <v>4.8</v>
      </c>
      <c r="U503" s="112">
        <v>1.87</v>
      </c>
      <c r="V503" s="112">
        <v>7.0000000000000007E-2</v>
      </c>
      <c r="W503" s="112">
        <v>1.48</v>
      </c>
      <c r="X503" s="112">
        <v>0.05</v>
      </c>
      <c r="Y503" s="112"/>
      <c r="Z503" s="112"/>
      <c r="AA503" s="112"/>
      <c r="AB503" s="112"/>
      <c r="AC503" s="112"/>
      <c r="AD503" s="112"/>
      <c r="AE503" s="112"/>
      <c r="AF503" s="112"/>
      <c r="AG503" s="112">
        <v>0.8</v>
      </c>
      <c r="AH503" s="205"/>
    </row>
    <row r="504" spans="1:34" ht="15.95" customHeight="1" x14ac:dyDescent="0.25">
      <c r="A504" s="136">
        <v>180</v>
      </c>
      <c r="B504" s="112" t="s">
        <v>146</v>
      </c>
      <c r="C504" s="228" t="s">
        <v>409</v>
      </c>
      <c r="D504" s="130">
        <v>1988</v>
      </c>
      <c r="E504" s="128" t="s">
        <v>80</v>
      </c>
      <c r="F504" s="125" t="s">
        <v>60</v>
      </c>
      <c r="G504" s="128" t="s">
        <v>422</v>
      </c>
      <c r="H504" s="112"/>
      <c r="I504" s="34"/>
      <c r="J504" s="34">
        <v>13</v>
      </c>
      <c r="K504" s="35" t="s">
        <v>92</v>
      </c>
      <c r="L504" s="112" t="s">
        <v>66</v>
      </c>
      <c r="M504" s="112" t="s">
        <v>67</v>
      </c>
      <c r="N504" s="112" t="s">
        <v>58</v>
      </c>
      <c r="O504" s="35" t="s">
        <v>169</v>
      </c>
      <c r="P504" s="104" t="s">
        <v>112</v>
      </c>
      <c r="Q504" s="112">
        <v>209.2</v>
      </c>
      <c r="R504" s="112">
        <v>8</v>
      </c>
      <c r="S504" s="112">
        <v>166.8</v>
      </c>
      <c r="T504" s="112">
        <v>6.6</v>
      </c>
      <c r="U504" s="112">
        <v>1.9</v>
      </c>
      <c r="V504" s="112">
        <v>0.06</v>
      </c>
      <c r="W504" s="112">
        <v>1.51</v>
      </c>
      <c r="X504" s="112">
        <v>0.06</v>
      </c>
      <c r="Y504" s="112"/>
      <c r="Z504" s="112"/>
      <c r="AA504" s="112"/>
      <c r="AB504" s="112"/>
      <c r="AC504" s="112"/>
      <c r="AD504" s="112"/>
      <c r="AE504" s="112"/>
      <c r="AF504" s="112"/>
      <c r="AG504" s="112">
        <v>0.8</v>
      </c>
      <c r="AH504" s="205"/>
    </row>
    <row r="505" spans="1:34" ht="15.95" customHeight="1" x14ac:dyDescent="0.25">
      <c r="A505" s="136">
        <v>180</v>
      </c>
      <c r="B505" s="112" t="s">
        <v>146</v>
      </c>
      <c r="C505" s="228" t="s">
        <v>409</v>
      </c>
      <c r="D505" s="130">
        <v>1988</v>
      </c>
      <c r="E505" s="128" t="s">
        <v>80</v>
      </c>
      <c r="F505" s="125" t="s">
        <v>60</v>
      </c>
      <c r="G505" s="131" t="s">
        <v>82</v>
      </c>
      <c r="H505" s="112"/>
      <c r="I505" s="34"/>
      <c r="J505" s="34">
        <v>13</v>
      </c>
      <c r="K505" s="35" t="s">
        <v>93</v>
      </c>
      <c r="L505" s="112" t="s">
        <v>66</v>
      </c>
      <c r="M505" s="112" t="s">
        <v>67</v>
      </c>
      <c r="N505" s="112" t="s">
        <v>58</v>
      </c>
      <c r="O505" s="35" t="s">
        <v>169</v>
      </c>
      <c r="P505" s="104" t="s">
        <v>112</v>
      </c>
      <c r="Q505" s="112">
        <v>204.7</v>
      </c>
      <c r="R505" s="112">
        <v>4.3</v>
      </c>
      <c r="S505" s="112">
        <v>163.4</v>
      </c>
      <c r="T505" s="112">
        <v>3.9</v>
      </c>
      <c r="U505" s="112">
        <v>2.0499999999999998</v>
      </c>
      <c r="V505" s="112">
        <v>0.04</v>
      </c>
      <c r="W505" s="112">
        <v>1.63</v>
      </c>
      <c r="X505" s="112">
        <v>0.03</v>
      </c>
      <c r="Y505" s="112"/>
      <c r="Z505" s="112"/>
      <c r="AA505" s="112"/>
      <c r="AB505" s="112"/>
      <c r="AC505" s="112"/>
      <c r="AD505" s="112"/>
      <c r="AE505" s="112"/>
      <c r="AF505" s="112"/>
      <c r="AG505" s="112">
        <v>0.8</v>
      </c>
      <c r="AH505" s="205"/>
    </row>
    <row r="506" spans="1:34" ht="15.95" customHeight="1" x14ac:dyDescent="0.25">
      <c r="A506" s="136">
        <v>180</v>
      </c>
      <c r="B506" s="112" t="s">
        <v>146</v>
      </c>
      <c r="C506" s="228" t="s">
        <v>409</v>
      </c>
      <c r="D506" s="130">
        <v>1988</v>
      </c>
      <c r="E506" s="128" t="s">
        <v>80</v>
      </c>
      <c r="F506" s="131" t="s">
        <v>60</v>
      </c>
      <c r="G506" s="128" t="s">
        <v>428</v>
      </c>
      <c r="H506" s="112"/>
      <c r="I506" s="34"/>
      <c r="J506" s="34">
        <v>14</v>
      </c>
      <c r="K506" s="35" t="s">
        <v>92</v>
      </c>
      <c r="L506" s="112" t="s">
        <v>66</v>
      </c>
      <c r="M506" s="112" t="s">
        <v>67</v>
      </c>
      <c r="N506" s="112" t="s">
        <v>58</v>
      </c>
      <c r="O506" s="35" t="s">
        <v>169</v>
      </c>
      <c r="P506" s="104" t="s">
        <v>112</v>
      </c>
      <c r="Q506" s="112">
        <v>212.5</v>
      </c>
      <c r="R506" s="112">
        <v>3.6</v>
      </c>
      <c r="S506" s="112">
        <v>157.69999999999999</v>
      </c>
      <c r="T506" s="112">
        <v>4.5999999999999996</v>
      </c>
      <c r="U506" s="112">
        <v>2.12</v>
      </c>
      <c r="V506" s="112">
        <v>0.04</v>
      </c>
      <c r="W506" s="112">
        <v>1.58</v>
      </c>
      <c r="X506" s="112">
        <v>0.04</v>
      </c>
      <c r="Y506" s="112"/>
      <c r="Z506" s="112"/>
      <c r="AA506" s="112"/>
      <c r="AB506" s="112"/>
      <c r="AC506" s="112"/>
      <c r="AD506" s="112"/>
      <c r="AE506" s="112"/>
      <c r="AF506" s="112"/>
      <c r="AG506" s="112">
        <v>0.8</v>
      </c>
      <c r="AH506" s="205"/>
    </row>
    <row r="507" spans="1:34" ht="15.95" customHeight="1" x14ac:dyDescent="0.25">
      <c r="A507" s="136">
        <v>180</v>
      </c>
      <c r="B507" s="112" t="s">
        <v>146</v>
      </c>
      <c r="C507" s="228" t="s">
        <v>409</v>
      </c>
      <c r="D507" s="34">
        <v>1988</v>
      </c>
      <c r="E507" s="128" t="s">
        <v>80</v>
      </c>
      <c r="F507" s="131" t="s">
        <v>60</v>
      </c>
      <c r="G507" s="128" t="s">
        <v>428</v>
      </c>
      <c r="H507" s="112"/>
      <c r="I507" s="34"/>
      <c r="J507" s="34">
        <v>14</v>
      </c>
      <c r="K507" s="35" t="s">
        <v>93</v>
      </c>
      <c r="L507" s="112" t="s">
        <v>66</v>
      </c>
      <c r="M507" s="112" t="s">
        <v>67</v>
      </c>
      <c r="N507" s="112" t="s">
        <v>58</v>
      </c>
      <c r="O507" s="35" t="s">
        <v>169</v>
      </c>
      <c r="P507" s="104" t="s">
        <v>112</v>
      </c>
      <c r="Q507" s="112">
        <v>195.4</v>
      </c>
      <c r="R507" s="112">
        <v>6.4</v>
      </c>
      <c r="S507" s="112">
        <v>148.9</v>
      </c>
      <c r="T507" s="112">
        <v>5.5</v>
      </c>
      <c r="U507" s="112">
        <v>2.35</v>
      </c>
      <c r="V507" s="112">
        <v>0.06</v>
      </c>
      <c r="W507" s="112">
        <v>1.79</v>
      </c>
      <c r="X507" s="112">
        <v>0.06</v>
      </c>
      <c r="Y507" s="112"/>
      <c r="Z507" s="112"/>
      <c r="AA507" s="112"/>
      <c r="AB507" s="112"/>
      <c r="AC507" s="112"/>
      <c r="AD507" s="112"/>
      <c r="AE507" s="112"/>
      <c r="AF507" s="112"/>
      <c r="AG507" s="112">
        <v>0.76</v>
      </c>
      <c r="AH507" s="205"/>
    </row>
    <row r="508" spans="1:34" ht="15.95" customHeight="1" x14ac:dyDescent="0.25">
      <c r="A508" s="136">
        <v>180</v>
      </c>
      <c r="B508" s="112" t="s">
        <v>146</v>
      </c>
      <c r="C508" s="228" t="s">
        <v>409</v>
      </c>
      <c r="D508" s="34">
        <v>1988</v>
      </c>
      <c r="E508" s="112" t="s">
        <v>80</v>
      </c>
      <c r="F508" s="125" t="s">
        <v>60</v>
      </c>
      <c r="G508" s="112" t="s">
        <v>420</v>
      </c>
      <c r="H508" s="112"/>
      <c r="I508" s="34"/>
      <c r="J508" s="34">
        <v>14</v>
      </c>
      <c r="K508" s="35" t="s">
        <v>92</v>
      </c>
      <c r="L508" s="112" t="s">
        <v>66</v>
      </c>
      <c r="M508" s="112" t="s">
        <v>67</v>
      </c>
      <c r="N508" s="112" t="s">
        <v>58</v>
      </c>
      <c r="O508" s="35" t="s">
        <v>169</v>
      </c>
      <c r="P508" s="104" t="s">
        <v>112</v>
      </c>
      <c r="Q508" s="112">
        <v>187.7</v>
      </c>
      <c r="R508" s="112">
        <v>4.4000000000000004</v>
      </c>
      <c r="S508" s="112">
        <v>137.19999999999999</v>
      </c>
      <c r="T508" s="112">
        <v>4.7</v>
      </c>
      <c r="U508" s="112">
        <v>2.2599999999999998</v>
      </c>
      <c r="V508" s="112">
        <v>0.04</v>
      </c>
      <c r="W508" s="112">
        <v>1.65</v>
      </c>
      <c r="X508" s="112">
        <v>0.05</v>
      </c>
      <c r="Y508" s="112"/>
      <c r="Z508" s="112"/>
      <c r="AA508" s="112"/>
      <c r="AB508" s="112"/>
      <c r="AC508" s="112"/>
      <c r="AD508" s="112"/>
      <c r="AE508" s="112"/>
      <c r="AF508" s="112"/>
      <c r="AG508" s="112">
        <v>0.73</v>
      </c>
      <c r="AH508" s="205"/>
    </row>
    <row r="509" spans="1:34" ht="15.95" customHeight="1" x14ac:dyDescent="0.25">
      <c r="A509" s="136">
        <v>60</v>
      </c>
      <c r="B509" s="112" t="s">
        <v>90</v>
      </c>
      <c r="C509" s="229" t="s">
        <v>39</v>
      </c>
      <c r="D509" s="34">
        <v>2022</v>
      </c>
      <c r="E509" s="104" t="s">
        <v>40</v>
      </c>
      <c r="F509" s="112" t="s">
        <v>68</v>
      </c>
      <c r="G509" s="35" t="s">
        <v>178</v>
      </c>
      <c r="H509" s="112">
        <v>24.5</v>
      </c>
      <c r="I509" s="34">
        <v>3.9</v>
      </c>
      <c r="J509" s="34">
        <v>21</v>
      </c>
      <c r="K509" s="35" t="s">
        <v>92</v>
      </c>
      <c r="L509" s="112" t="s">
        <v>66</v>
      </c>
      <c r="M509" s="112" t="s">
        <v>67</v>
      </c>
      <c r="N509" s="35" t="s">
        <v>59</v>
      </c>
      <c r="O509" s="35" t="s">
        <v>169</v>
      </c>
      <c r="P509" s="35"/>
      <c r="Q509" s="112">
        <v>245</v>
      </c>
      <c r="R509" s="112">
        <v>26.9</v>
      </c>
      <c r="S509" s="112">
        <v>144.4</v>
      </c>
      <c r="T509" s="112">
        <v>19</v>
      </c>
      <c r="U509" s="112"/>
      <c r="V509" s="112"/>
      <c r="W509" s="112"/>
      <c r="X509" s="112"/>
      <c r="Y509" s="112"/>
      <c r="Z509" s="112"/>
      <c r="AA509" s="112"/>
      <c r="AB509" s="112"/>
      <c r="AC509" s="112"/>
      <c r="AD509" s="112"/>
      <c r="AE509" s="112"/>
      <c r="AF509" s="112"/>
      <c r="AG509" s="112"/>
      <c r="AH509" s="205"/>
    </row>
    <row r="510" spans="1:34" ht="15.95" customHeight="1" x14ac:dyDescent="0.25">
      <c r="A510" s="136">
        <v>60</v>
      </c>
      <c r="B510" s="112" t="s">
        <v>90</v>
      </c>
      <c r="C510" s="229" t="s">
        <v>39</v>
      </c>
      <c r="D510" s="34">
        <v>2022</v>
      </c>
      <c r="E510" s="104" t="s">
        <v>40</v>
      </c>
      <c r="F510" s="112" t="s">
        <v>68</v>
      </c>
      <c r="G510" s="35" t="s">
        <v>178</v>
      </c>
      <c r="H510" s="112">
        <v>24.5</v>
      </c>
      <c r="I510" s="34">
        <v>3.9</v>
      </c>
      <c r="J510" s="34">
        <v>21</v>
      </c>
      <c r="K510" s="35" t="s">
        <v>93</v>
      </c>
      <c r="L510" s="112" t="s">
        <v>66</v>
      </c>
      <c r="M510" s="112" t="s">
        <v>67</v>
      </c>
      <c r="N510" s="35" t="s">
        <v>59</v>
      </c>
      <c r="O510" s="35" t="s">
        <v>169</v>
      </c>
      <c r="P510" s="35"/>
      <c r="Q510" s="112">
        <v>250.1</v>
      </c>
      <c r="R510" s="112">
        <v>25.5</v>
      </c>
      <c r="S510" s="112">
        <v>151.9</v>
      </c>
      <c r="T510" s="112">
        <v>29</v>
      </c>
      <c r="U510" s="112"/>
      <c r="V510" s="112"/>
      <c r="W510" s="112"/>
      <c r="X510" s="112"/>
      <c r="Y510" s="112"/>
      <c r="Z510" s="112"/>
      <c r="AA510" s="112"/>
      <c r="AB510" s="112"/>
      <c r="AC510" s="112"/>
      <c r="AD510" s="112"/>
      <c r="AE510" s="112"/>
      <c r="AF510" s="112"/>
      <c r="AG510" s="112"/>
      <c r="AH510" s="205"/>
    </row>
    <row r="511" spans="1:34" ht="15.95" customHeight="1" x14ac:dyDescent="0.25">
      <c r="A511" s="136">
        <v>300</v>
      </c>
      <c r="B511" s="112" t="s">
        <v>90</v>
      </c>
      <c r="C511" s="230" t="s">
        <v>39</v>
      </c>
      <c r="D511" s="34">
        <v>2022</v>
      </c>
      <c r="E511" s="104" t="s">
        <v>40</v>
      </c>
      <c r="F511" s="112" t="s">
        <v>68</v>
      </c>
      <c r="G511" s="35" t="s">
        <v>178</v>
      </c>
      <c r="H511" s="112">
        <v>24.5</v>
      </c>
      <c r="I511" s="34">
        <v>3.9</v>
      </c>
      <c r="J511" s="34">
        <v>21</v>
      </c>
      <c r="K511" s="35" t="s">
        <v>92</v>
      </c>
      <c r="L511" s="112" t="s">
        <v>66</v>
      </c>
      <c r="M511" s="112" t="s">
        <v>67</v>
      </c>
      <c r="N511" s="35" t="s">
        <v>59</v>
      </c>
      <c r="O511" s="35" t="s">
        <v>169</v>
      </c>
      <c r="P511" s="35"/>
      <c r="Q511" s="112">
        <v>138</v>
      </c>
      <c r="R511" s="112">
        <v>16.899999999999999</v>
      </c>
      <c r="S511" s="112">
        <v>87.1</v>
      </c>
      <c r="T511" s="112">
        <v>89</v>
      </c>
      <c r="U511" s="112"/>
      <c r="V511" s="112"/>
      <c r="W511" s="112"/>
      <c r="X511" s="112"/>
      <c r="Y511" s="112">
        <v>276.89999999999998</v>
      </c>
      <c r="Z511" s="112">
        <v>41.6</v>
      </c>
      <c r="AA511" s="112">
        <v>165.6</v>
      </c>
      <c r="AB511" s="112">
        <v>38.299999999999997</v>
      </c>
      <c r="AC511" s="112"/>
      <c r="AD511" s="112"/>
      <c r="AE511" s="112"/>
      <c r="AF511" s="112"/>
      <c r="AG511" s="112"/>
      <c r="AH511" s="205"/>
    </row>
    <row r="512" spans="1:34" ht="15.95" customHeight="1" x14ac:dyDescent="0.25">
      <c r="A512" s="136">
        <v>300</v>
      </c>
      <c r="B512" s="112" t="s">
        <v>90</v>
      </c>
      <c r="C512" s="230" t="s">
        <v>39</v>
      </c>
      <c r="D512" s="34">
        <v>2022</v>
      </c>
      <c r="E512" s="104" t="s">
        <v>40</v>
      </c>
      <c r="F512" s="112" t="s">
        <v>68</v>
      </c>
      <c r="G512" s="35" t="s">
        <v>178</v>
      </c>
      <c r="H512" s="112">
        <v>24.5</v>
      </c>
      <c r="I512" s="34">
        <v>3.9</v>
      </c>
      <c r="J512" s="34">
        <v>21</v>
      </c>
      <c r="K512" s="35" t="s">
        <v>93</v>
      </c>
      <c r="L512" s="112" t="s">
        <v>66</v>
      </c>
      <c r="M512" s="112" t="s">
        <v>67</v>
      </c>
      <c r="N512" s="35" t="s">
        <v>59</v>
      </c>
      <c r="O512" s="35" t="s">
        <v>169</v>
      </c>
      <c r="P512" s="35"/>
      <c r="Q512" s="112">
        <v>132.80000000000001</v>
      </c>
      <c r="R512" s="112">
        <v>13.6</v>
      </c>
      <c r="S512" s="112">
        <v>89</v>
      </c>
      <c r="T512" s="112">
        <v>18.2</v>
      </c>
      <c r="U512" s="112"/>
      <c r="V512" s="112"/>
      <c r="W512" s="112"/>
      <c r="X512" s="112"/>
      <c r="Y512" s="112">
        <v>266.2</v>
      </c>
      <c r="Z512" s="112">
        <v>36</v>
      </c>
      <c r="AA512" s="112">
        <v>161.6</v>
      </c>
      <c r="AB512" s="112">
        <v>44.1</v>
      </c>
      <c r="AC512" s="112"/>
      <c r="AD512" s="112"/>
      <c r="AE512" s="112"/>
      <c r="AF512" s="112"/>
      <c r="AG512" s="112"/>
      <c r="AH512" s="205"/>
    </row>
    <row r="513" spans="1:34" ht="15.95" customHeight="1" x14ac:dyDescent="0.25">
      <c r="A513" s="136">
        <v>180</v>
      </c>
      <c r="B513" s="112" t="s">
        <v>90</v>
      </c>
      <c r="C513" s="229" t="s">
        <v>39</v>
      </c>
      <c r="D513" s="130">
        <v>2022</v>
      </c>
      <c r="E513" s="104" t="s">
        <v>40</v>
      </c>
      <c r="F513" s="112" t="s">
        <v>68</v>
      </c>
      <c r="G513" s="35" t="s">
        <v>178</v>
      </c>
      <c r="H513" s="112">
        <v>24.5</v>
      </c>
      <c r="I513" s="34">
        <v>3.9</v>
      </c>
      <c r="J513" s="34">
        <v>21</v>
      </c>
      <c r="K513" s="35" t="s">
        <v>92</v>
      </c>
      <c r="L513" s="112" t="s">
        <v>66</v>
      </c>
      <c r="M513" s="112" t="s">
        <v>67</v>
      </c>
      <c r="N513" s="35" t="s">
        <v>59</v>
      </c>
      <c r="O513" s="35" t="s">
        <v>169</v>
      </c>
      <c r="P513" s="35"/>
      <c r="Q513" s="112">
        <v>176.1</v>
      </c>
      <c r="R513" s="112">
        <v>15.9</v>
      </c>
      <c r="S513" s="112">
        <v>110.8</v>
      </c>
      <c r="T513" s="112">
        <v>15.6</v>
      </c>
      <c r="U513" s="34"/>
      <c r="V513" s="34"/>
      <c r="W513" s="34"/>
      <c r="X513" s="34"/>
      <c r="Y513" s="112">
        <v>284.60000000000002</v>
      </c>
      <c r="Z513" s="112">
        <v>29.5</v>
      </c>
      <c r="AA513" s="112">
        <v>178.7</v>
      </c>
      <c r="AB513" s="112">
        <v>30.8</v>
      </c>
      <c r="AC513" s="112"/>
      <c r="AD513" s="112"/>
      <c r="AE513" s="112"/>
      <c r="AF513" s="112"/>
      <c r="AG513" s="112"/>
      <c r="AH513" s="205"/>
    </row>
    <row r="514" spans="1:34" ht="15.95" customHeight="1" x14ac:dyDescent="0.25">
      <c r="A514" s="136">
        <v>180</v>
      </c>
      <c r="B514" s="112" t="s">
        <v>90</v>
      </c>
      <c r="C514" s="229" t="s">
        <v>39</v>
      </c>
      <c r="D514" s="130">
        <v>2022</v>
      </c>
      <c r="E514" s="104" t="s">
        <v>40</v>
      </c>
      <c r="F514" s="112" t="s">
        <v>68</v>
      </c>
      <c r="G514" s="35" t="s">
        <v>178</v>
      </c>
      <c r="H514" s="112">
        <v>24.5</v>
      </c>
      <c r="I514" s="34">
        <v>3.9</v>
      </c>
      <c r="J514" s="34">
        <v>21</v>
      </c>
      <c r="K514" s="35" t="s">
        <v>93</v>
      </c>
      <c r="L514" s="112" t="s">
        <v>66</v>
      </c>
      <c r="M514" s="112" t="s">
        <v>67</v>
      </c>
      <c r="N514" s="35" t="s">
        <v>59</v>
      </c>
      <c r="O514" s="35" t="s">
        <v>169</v>
      </c>
      <c r="P514" s="35"/>
      <c r="Q514" s="112">
        <v>172</v>
      </c>
      <c r="R514" s="112">
        <v>13.3</v>
      </c>
      <c r="S514" s="112">
        <v>113.5</v>
      </c>
      <c r="T514" s="112">
        <v>18.5</v>
      </c>
      <c r="U514" s="34"/>
      <c r="V514" s="34"/>
      <c r="W514" s="34"/>
      <c r="X514" s="34"/>
      <c r="Y514" s="112">
        <v>275.89999999999998</v>
      </c>
      <c r="Z514" s="112">
        <v>31.2</v>
      </c>
      <c r="AA514" s="112">
        <v>182.9</v>
      </c>
      <c r="AB514" s="112">
        <v>32.9</v>
      </c>
      <c r="AC514" s="112"/>
      <c r="AD514" s="112"/>
      <c r="AE514" s="112"/>
      <c r="AF514" s="112"/>
      <c r="AG514" s="112"/>
      <c r="AH514" s="205"/>
    </row>
    <row r="515" spans="1:34" ht="15.95" customHeight="1" x14ac:dyDescent="0.25">
      <c r="A515" s="136">
        <v>60</v>
      </c>
      <c r="B515" s="112"/>
      <c r="C515" s="228" t="s">
        <v>49</v>
      </c>
      <c r="D515" s="130">
        <v>2011</v>
      </c>
      <c r="E515" s="34" t="s">
        <v>44</v>
      </c>
      <c r="F515" s="112" t="s">
        <v>130</v>
      </c>
      <c r="G515" s="35" t="s">
        <v>178</v>
      </c>
      <c r="H515" s="35">
        <v>19.059999999999999</v>
      </c>
      <c r="I515" s="35">
        <v>1.86</v>
      </c>
      <c r="J515" s="35">
        <v>438</v>
      </c>
      <c r="K515" s="35" t="s">
        <v>178</v>
      </c>
      <c r="L515" s="112" t="s">
        <v>66</v>
      </c>
      <c r="M515" s="112" t="s">
        <v>67</v>
      </c>
      <c r="N515" s="35" t="s">
        <v>58</v>
      </c>
      <c r="O515" s="35" t="s">
        <v>169</v>
      </c>
      <c r="P515" s="104" t="s">
        <v>112</v>
      </c>
      <c r="Q515" s="34">
        <v>235.9</v>
      </c>
      <c r="R515" s="35">
        <v>34.4</v>
      </c>
      <c r="S515" s="34">
        <v>158.5</v>
      </c>
      <c r="T515" s="35">
        <v>26.1</v>
      </c>
      <c r="U515" s="34">
        <v>3.31</v>
      </c>
      <c r="V515" s="35">
        <v>0.36</v>
      </c>
      <c r="W515" s="34">
        <v>2.23</v>
      </c>
      <c r="X515" s="35">
        <v>0.28999999999999998</v>
      </c>
      <c r="Y515" s="35"/>
      <c r="Z515" s="35"/>
      <c r="AA515" s="35"/>
      <c r="AB515" s="35"/>
      <c r="AC515" s="35"/>
      <c r="AD515" s="35"/>
      <c r="AE515" s="35"/>
      <c r="AF515" s="35"/>
      <c r="AG515" s="35">
        <v>0.67600000000000005</v>
      </c>
      <c r="AH515" s="204"/>
    </row>
    <row r="516" spans="1:34" ht="15.95" customHeight="1" x14ac:dyDescent="0.25">
      <c r="A516" s="137">
        <v>60</v>
      </c>
      <c r="B516" s="112" t="s">
        <v>78</v>
      </c>
      <c r="C516" s="228" t="s">
        <v>35</v>
      </c>
      <c r="D516" s="130">
        <v>2020</v>
      </c>
      <c r="E516" s="35" t="s">
        <v>37</v>
      </c>
      <c r="F516" s="112" t="s">
        <v>130</v>
      </c>
      <c r="G516" s="35" t="s">
        <v>178</v>
      </c>
      <c r="H516" s="35">
        <v>21.8</v>
      </c>
      <c r="I516" s="35">
        <v>2.2000000000000002</v>
      </c>
      <c r="J516" s="35">
        <v>21</v>
      </c>
      <c r="K516" s="35" t="s">
        <v>64</v>
      </c>
      <c r="L516" s="112" t="s">
        <v>66</v>
      </c>
      <c r="M516" s="112" t="s">
        <v>67</v>
      </c>
      <c r="N516" s="35" t="s">
        <v>79</v>
      </c>
      <c r="O516" s="35" t="s">
        <v>169</v>
      </c>
      <c r="P516" s="104" t="s">
        <v>112</v>
      </c>
      <c r="Q516" s="35">
        <v>240.4</v>
      </c>
      <c r="R516" s="35">
        <v>39.700000000000003</v>
      </c>
      <c r="S516" s="35">
        <v>134.80000000000001</v>
      </c>
      <c r="T516" s="35">
        <v>24.2</v>
      </c>
      <c r="U516" s="35">
        <v>2.6</v>
      </c>
      <c r="V516" s="35">
        <v>0.4</v>
      </c>
      <c r="W516" s="35">
        <v>1.4</v>
      </c>
      <c r="X516" s="35">
        <v>0.3</v>
      </c>
      <c r="Y516" s="112">
        <v>151.9</v>
      </c>
      <c r="Z516" s="112">
        <v>31.4</v>
      </c>
      <c r="AA516" s="112">
        <v>89.2</v>
      </c>
      <c r="AB516" s="112">
        <v>19.5</v>
      </c>
      <c r="AC516" s="112">
        <v>189.4</v>
      </c>
      <c r="AD516" s="112">
        <v>40.9</v>
      </c>
      <c r="AE516" s="112">
        <v>118.1</v>
      </c>
      <c r="AF516" s="112">
        <v>26.2</v>
      </c>
      <c r="AG516" s="112">
        <v>54.9</v>
      </c>
      <c r="AH516" s="205">
        <v>8.1999999999999993</v>
      </c>
    </row>
    <row r="517" spans="1:34" ht="15.95" customHeight="1" x14ac:dyDescent="0.25">
      <c r="A517" s="136">
        <v>60</v>
      </c>
      <c r="B517" s="112" t="s">
        <v>78</v>
      </c>
      <c r="C517" s="228" t="s">
        <v>35</v>
      </c>
      <c r="D517" s="130">
        <v>2020</v>
      </c>
      <c r="E517" s="35" t="s">
        <v>37</v>
      </c>
      <c r="F517" s="112" t="s">
        <v>130</v>
      </c>
      <c r="G517" s="35" t="s">
        <v>178</v>
      </c>
      <c r="H517" s="35">
        <v>21.8</v>
      </c>
      <c r="I517" s="35">
        <v>2.2000000000000002</v>
      </c>
      <c r="J517" s="35">
        <v>21</v>
      </c>
      <c r="K517" s="35" t="s">
        <v>65</v>
      </c>
      <c r="L517" s="112" t="s">
        <v>66</v>
      </c>
      <c r="M517" s="112" t="s">
        <v>67</v>
      </c>
      <c r="N517" s="35" t="s">
        <v>79</v>
      </c>
      <c r="O517" s="35" t="s">
        <v>169</v>
      </c>
      <c r="P517" s="104" t="s">
        <v>112</v>
      </c>
      <c r="Q517" s="35">
        <v>229.4</v>
      </c>
      <c r="R517" s="35">
        <v>38.799999999999997</v>
      </c>
      <c r="S517" s="35">
        <v>136.1</v>
      </c>
      <c r="T517" s="35">
        <v>23.3</v>
      </c>
      <c r="U517" s="35">
        <v>2.5</v>
      </c>
      <c r="V517" s="35">
        <v>0.4</v>
      </c>
      <c r="W517" s="35">
        <v>1.5</v>
      </c>
      <c r="X517" s="35">
        <v>0.2</v>
      </c>
      <c r="Y517" s="112">
        <v>140.1</v>
      </c>
      <c r="Z517" s="112">
        <v>41.7</v>
      </c>
      <c r="AA517" s="112">
        <v>94.9</v>
      </c>
      <c r="AB517" s="112">
        <v>20.100000000000001</v>
      </c>
      <c r="AC517" s="112">
        <v>185.8</v>
      </c>
      <c r="AD517" s="112">
        <v>35.700000000000003</v>
      </c>
      <c r="AE517" s="112">
        <v>125.2</v>
      </c>
      <c r="AF517" s="112">
        <v>23</v>
      </c>
      <c r="AG517" s="112">
        <v>59.3</v>
      </c>
      <c r="AH517" s="205">
        <v>10</v>
      </c>
    </row>
    <row r="518" spans="1:34" ht="15.95" customHeight="1" x14ac:dyDescent="0.25">
      <c r="A518" s="136">
        <v>300</v>
      </c>
      <c r="B518" s="112" t="s">
        <v>78</v>
      </c>
      <c r="C518" s="228" t="s">
        <v>35</v>
      </c>
      <c r="D518" s="130">
        <v>2020</v>
      </c>
      <c r="E518" s="35" t="s">
        <v>37</v>
      </c>
      <c r="F518" s="104" t="s">
        <v>130</v>
      </c>
      <c r="G518" s="35" t="s">
        <v>178</v>
      </c>
      <c r="H518" s="35">
        <v>21.8</v>
      </c>
      <c r="I518" s="35">
        <v>2.2000000000000002</v>
      </c>
      <c r="J518" s="35">
        <v>21</v>
      </c>
      <c r="K518" s="35" t="s">
        <v>64</v>
      </c>
      <c r="L518" s="112" t="s">
        <v>66</v>
      </c>
      <c r="M518" s="112" t="s">
        <v>67</v>
      </c>
      <c r="N518" s="35" t="s">
        <v>79</v>
      </c>
      <c r="O518" s="35" t="s">
        <v>169</v>
      </c>
      <c r="P518" s="104" t="s">
        <v>112</v>
      </c>
      <c r="Q518" s="112">
        <v>147.19999999999999</v>
      </c>
      <c r="R518" s="112">
        <v>24.5</v>
      </c>
      <c r="S518" s="112">
        <v>109</v>
      </c>
      <c r="T518" s="112">
        <v>26.6</v>
      </c>
      <c r="U518" s="112">
        <v>1.4</v>
      </c>
      <c r="V518" s="112">
        <v>0.2</v>
      </c>
      <c r="W518" s="112">
        <v>1.4</v>
      </c>
      <c r="X518" s="112">
        <v>0.2</v>
      </c>
      <c r="Y518" s="112">
        <v>230.8</v>
      </c>
      <c r="Z518" s="112">
        <v>51.9</v>
      </c>
      <c r="AA518" s="112">
        <v>156.80000000000001</v>
      </c>
      <c r="AB518" s="112">
        <v>36.1</v>
      </c>
      <c r="AC518" s="112">
        <v>87.8</v>
      </c>
      <c r="AD518" s="112">
        <v>15.3</v>
      </c>
      <c r="AE518" s="112">
        <v>66.7</v>
      </c>
      <c r="AF518" s="112">
        <v>12.5</v>
      </c>
      <c r="AG518" s="112">
        <v>74</v>
      </c>
      <c r="AH518" s="205">
        <v>17.899999999999999</v>
      </c>
    </row>
    <row r="519" spans="1:34" ht="15.95" customHeight="1" x14ac:dyDescent="0.25">
      <c r="A519" s="115">
        <v>300</v>
      </c>
      <c r="B519" s="112" t="s">
        <v>78</v>
      </c>
      <c r="C519" s="228" t="s">
        <v>35</v>
      </c>
      <c r="D519" s="130">
        <v>2020</v>
      </c>
      <c r="E519" s="35" t="s">
        <v>37</v>
      </c>
      <c r="F519" s="104" t="s">
        <v>130</v>
      </c>
      <c r="G519" s="35" t="s">
        <v>178</v>
      </c>
      <c r="H519" s="35">
        <v>21.8</v>
      </c>
      <c r="I519" s="35">
        <v>2.2000000000000002</v>
      </c>
      <c r="J519" s="35">
        <v>21</v>
      </c>
      <c r="K519" s="35" t="s">
        <v>65</v>
      </c>
      <c r="L519" s="112" t="s">
        <v>66</v>
      </c>
      <c r="M519" s="112" t="s">
        <v>67</v>
      </c>
      <c r="N519" s="35" t="s">
        <v>79</v>
      </c>
      <c r="O519" s="35" t="s">
        <v>169</v>
      </c>
      <c r="P519" s="104" t="s">
        <v>112</v>
      </c>
      <c r="Q519" s="112">
        <v>150.6</v>
      </c>
      <c r="R519" s="112">
        <v>20.8</v>
      </c>
      <c r="S519" s="112">
        <v>108.5</v>
      </c>
      <c r="T519" s="112">
        <v>22.6</v>
      </c>
      <c r="U519" s="112">
        <v>1.4</v>
      </c>
      <c r="V519" s="112">
        <v>0.2</v>
      </c>
      <c r="W519" s="112">
        <v>1.4</v>
      </c>
      <c r="X519" s="112">
        <v>0.2</v>
      </c>
      <c r="Y519" s="112">
        <v>224.1</v>
      </c>
      <c r="Z519" s="112">
        <v>37.700000000000003</v>
      </c>
      <c r="AA519" s="112">
        <v>163.69999999999999</v>
      </c>
      <c r="AB519" s="112">
        <v>36.700000000000003</v>
      </c>
      <c r="AC519" s="112">
        <v>88.5</v>
      </c>
      <c r="AD519" s="112">
        <v>11.7</v>
      </c>
      <c r="AE519" s="112">
        <v>67.900000000000006</v>
      </c>
      <c r="AF519" s="112">
        <v>12.1</v>
      </c>
      <c r="AG519" s="112">
        <v>72.099999999999994</v>
      </c>
      <c r="AH519" s="205">
        <v>11.4</v>
      </c>
    </row>
    <row r="520" spans="1:34" ht="15.95" customHeight="1" x14ac:dyDescent="0.25">
      <c r="A520" s="115">
        <v>180</v>
      </c>
      <c r="B520" s="112" t="s">
        <v>78</v>
      </c>
      <c r="C520" s="228" t="s">
        <v>35</v>
      </c>
      <c r="D520" s="130">
        <v>2020</v>
      </c>
      <c r="E520" s="35" t="s">
        <v>37</v>
      </c>
      <c r="F520" s="104" t="s">
        <v>130</v>
      </c>
      <c r="G520" s="35" t="s">
        <v>178</v>
      </c>
      <c r="H520" s="35">
        <v>21.8</v>
      </c>
      <c r="I520" s="35">
        <v>2.2000000000000002</v>
      </c>
      <c r="J520" s="35">
        <v>21</v>
      </c>
      <c r="K520" s="35" t="s">
        <v>64</v>
      </c>
      <c r="L520" s="112" t="s">
        <v>66</v>
      </c>
      <c r="M520" s="112" t="s">
        <v>67</v>
      </c>
      <c r="N520" s="35" t="s">
        <v>79</v>
      </c>
      <c r="O520" s="35" t="s">
        <v>169</v>
      </c>
      <c r="P520" s="104" t="s">
        <v>112</v>
      </c>
      <c r="Q520" s="112">
        <v>179.3</v>
      </c>
      <c r="R520" s="112">
        <v>24.9</v>
      </c>
      <c r="S520" s="112">
        <v>120.8</v>
      </c>
      <c r="T520" s="112">
        <v>21.4</v>
      </c>
      <c r="U520" s="112">
        <v>1.9</v>
      </c>
      <c r="V520" s="112">
        <v>0.2</v>
      </c>
      <c r="W520" s="112">
        <v>1.2</v>
      </c>
      <c r="X520" s="112">
        <v>0.2</v>
      </c>
      <c r="Y520" s="112">
        <v>256.10000000000002</v>
      </c>
      <c r="Z520" s="112">
        <v>36.799999999999997</v>
      </c>
      <c r="AA520" s="112">
        <v>167</v>
      </c>
      <c r="AB520" s="112">
        <v>30.8</v>
      </c>
      <c r="AC520" s="112">
        <v>133.80000000000001</v>
      </c>
      <c r="AD520" s="112">
        <v>17.100000000000001</v>
      </c>
      <c r="AE520" s="112">
        <v>92.3</v>
      </c>
      <c r="AF520" s="112">
        <v>13.2</v>
      </c>
      <c r="AG520" s="112">
        <v>66.900000000000006</v>
      </c>
      <c r="AH520" s="205">
        <v>9.3000000000000007</v>
      </c>
    </row>
    <row r="521" spans="1:34" ht="15.95" customHeight="1" x14ac:dyDescent="0.25">
      <c r="A521" s="136">
        <v>180</v>
      </c>
      <c r="B521" s="112" t="s">
        <v>78</v>
      </c>
      <c r="C521" s="228" t="s">
        <v>35</v>
      </c>
      <c r="D521" s="130">
        <v>2020</v>
      </c>
      <c r="E521" s="35" t="s">
        <v>37</v>
      </c>
      <c r="F521" s="104" t="s">
        <v>130</v>
      </c>
      <c r="G521" s="35" t="s">
        <v>178</v>
      </c>
      <c r="H521" s="35">
        <v>21.8</v>
      </c>
      <c r="I521" s="35">
        <v>2.2000000000000002</v>
      </c>
      <c r="J521" s="35">
        <v>21</v>
      </c>
      <c r="K521" s="35" t="s">
        <v>65</v>
      </c>
      <c r="L521" s="112" t="s">
        <v>66</v>
      </c>
      <c r="M521" s="112" t="s">
        <v>67</v>
      </c>
      <c r="N521" s="35" t="s">
        <v>79</v>
      </c>
      <c r="O521" s="35" t="s">
        <v>169</v>
      </c>
      <c r="P521" s="104" t="s">
        <v>112</v>
      </c>
      <c r="Q521" s="112">
        <v>173.3</v>
      </c>
      <c r="R521" s="112">
        <v>25.2</v>
      </c>
      <c r="S521" s="112">
        <v>122.2</v>
      </c>
      <c r="T521" s="112">
        <v>21.2</v>
      </c>
      <c r="U521" s="112">
        <v>1.8</v>
      </c>
      <c r="V521" s="112">
        <v>0.2</v>
      </c>
      <c r="W521" s="112">
        <v>1.2</v>
      </c>
      <c r="X521" s="112">
        <v>0.2</v>
      </c>
      <c r="Y521" s="112">
        <v>240.4</v>
      </c>
      <c r="Z521" s="112">
        <v>40.799999999999997</v>
      </c>
      <c r="AA521" s="112">
        <v>172.5</v>
      </c>
      <c r="AB521" s="112">
        <v>38</v>
      </c>
      <c r="AC521" s="112">
        <v>130.1</v>
      </c>
      <c r="AD521" s="112">
        <v>20.399999999999999</v>
      </c>
      <c r="AE521" s="112">
        <v>96.3</v>
      </c>
      <c r="AF521" s="112">
        <v>18.100000000000001</v>
      </c>
      <c r="AG521" s="112">
        <v>71.3</v>
      </c>
      <c r="AH521" s="205">
        <v>9.1</v>
      </c>
    </row>
    <row r="522" spans="1:34" ht="15.95" customHeight="1" x14ac:dyDescent="0.25">
      <c r="A522" s="136">
        <v>180</v>
      </c>
      <c r="B522" s="112" t="s">
        <v>128</v>
      </c>
      <c r="C522" s="246" t="s">
        <v>56</v>
      </c>
      <c r="D522" s="130">
        <v>2004</v>
      </c>
      <c r="E522" s="35" t="s">
        <v>38</v>
      </c>
      <c r="F522" s="112" t="s">
        <v>95</v>
      </c>
      <c r="G522" s="35" t="s">
        <v>178</v>
      </c>
      <c r="H522" s="112">
        <v>14.97</v>
      </c>
      <c r="I522" s="34">
        <v>1.36</v>
      </c>
      <c r="J522" s="34">
        <v>23</v>
      </c>
      <c r="K522" s="35" t="s">
        <v>178</v>
      </c>
      <c r="L522" s="112" t="s">
        <v>66</v>
      </c>
      <c r="M522" s="112" t="s">
        <v>67</v>
      </c>
      <c r="N522" s="112" t="s">
        <v>59</v>
      </c>
      <c r="O522" s="112" t="s">
        <v>126</v>
      </c>
      <c r="P522" s="112"/>
      <c r="Q522" s="112">
        <v>113.91</v>
      </c>
      <c r="R522" s="112">
        <v>35.340000000000003</v>
      </c>
      <c r="S522" s="112">
        <v>67.650000000000006</v>
      </c>
      <c r="T522" s="112">
        <v>20.61</v>
      </c>
      <c r="U522" s="34"/>
      <c r="V522" s="34"/>
      <c r="W522" s="34"/>
      <c r="X522" s="34"/>
      <c r="Y522" s="112">
        <v>227.86</v>
      </c>
      <c r="Z522" s="112">
        <v>64.44</v>
      </c>
      <c r="AA522" s="112">
        <v>138.55000000000001</v>
      </c>
      <c r="AB522" s="112">
        <v>39.369999999999997</v>
      </c>
      <c r="AC522" s="112">
        <v>39.46</v>
      </c>
      <c r="AD522" s="112"/>
      <c r="AE522" s="112"/>
      <c r="AF522" s="112"/>
      <c r="AG522" s="112"/>
      <c r="AH522" s="205"/>
    </row>
    <row r="523" spans="1:34" ht="15.95" customHeight="1" x14ac:dyDescent="0.25">
      <c r="A523" s="136">
        <v>180</v>
      </c>
      <c r="B523" s="112" t="s">
        <v>128</v>
      </c>
      <c r="C523" s="246" t="s">
        <v>56</v>
      </c>
      <c r="D523" s="130">
        <v>2004</v>
      </c>
      <c r="E523" s="35" t="s">
        <v>38</v>
      </c>
      <c r="F523" s="128" t="s">
        <v>95</v>
      </c>
      <c r="G523" s="35" t="s">
        <v>178</v>
      </c>
      <c r="H523" s="112">
        <v>14.97</v>
      </c>
      <c r="I523" s="34">
        <v>1.36</v>
      </c>
      <c r="J523" s="34">
        <v>10</v>
      </c>
      <c r="K523" s="35" t="s">
        <v>178</v>
      </c>
      <c r="L523" s="112" t="s">
        <v>86</v>
      </c>
      <c r="M523" s="112" t="s">
        <v>67</v>
      </c>
      <c r="N523" s="112" t="s">
        <v>59</v>
      </c>
      <c r="O523" s="112" t="s">
        <v>126</v>
      </c>
      <c r="P523" s="112"/>
      <c r="Q523" s="112">
        <v>86.89</v>
      </c>
      <c r="R523" s="112">
        <v>7.53</v>
      </c>
      <c r="S523" s="112">
        <v>47.4</v>
      </c>
      <c r="T523" s="112">
        <v>13.45</v>
      </c>
      <c r="U523" s="34"/>
      <c r="V523" s="34"/>
      <c r="W523" s="34"/>
      <c r="X523" s="34"/>
      <c r="Y523" s="112">
        <v>171.84</v>
      </c>
      <c r="Z523" s="112">
        <v>29.61</v>
      </c>
      <c r="AA523" s="112">
        <v>100.54</v>
      </c>
      <c r="AB523" s="112">
        <v>25.36</v>
      </c>
      <c r="AC523" s="112">
        <v>39.369999999999997</v>
      </c>
      <c r="AD523" s="112"/>
      <c r="AE523" s="112"/>
      <c r="AF523" s="112"/>
      <c r="AG523" s="112"/>
      <c r="AH523" s="205"/>
    </row>
    <row r="524" spans="1:34" ht="15.95" customHeight="1" x14ac:dyDescent="0.25">
      <c r="A524" s="136">
        <v>180</v>
      </c>
      <c r="B524" s="112" t="s">
        <v>127</v>
      </c>
      <c r="C524" s="246" t="s">
        <v>56</v>
      </c>
      <c r="D524" s="130">
        <v>2004</v>
      </c>
      <c r="E524" s="35" t="s">
        <v>38</v>
      </c>
      <c r="F524" s="128" t="s">
        <v>95</v>
      </c>
      <c r="G524" s="35" t="s">
        <v>178</v>
      </c>
      <c r="H524" s="112">
        <v>14.97</v>
      </c>
      <c r="I524" s="34">
        <v>1.36</v>
      </c>
      <c r="J524" s="34">
        <v>33</v>
      </c>
      <c r="K524" s="35" t="s">
        <v>178</v>
      </c>
      <c r="L524" s="112" t="s">
        <v>46</v>
      </c>
      <c r="M524" s="112" t="s">
        <v>67</v>
      </c>
      <c r="N524" s="112" t="s">
        <v>59</v>
      </c>
      <c r="O524" s="112" t="s">
        <v>126</v>
      </c>
      <c r="P524" s="112"/>
      <c r="Q524" s="112">
        <v>105.47</v>
      </c>
      <c r="R524" s="112">
        <v>33.590000000000003</v>
      </c>
      <c r="S524" s="112">
        <v>61.32</v>
      </c>
      <c r="T524" s="112">
        <v>20.76</v>
      </c>
      <c r="U524" s="34"/>
      <c r="V524" s="34"/>
      <c r="W524" s="34"/>
      <c r="X524" s="34"/>
      <c r="Y524" s="112">
        <v>210.36</v>
      </c>
      <c r="Z524" s="112">
        <v>61.36</v>
      </c>
      <c r="AA524" s="112">
        <v>126.68</v>
      </c>
      <c r="AB524" s="112">
        <v>39.46</v>
      </c>
      <c r="AC524" s="112">
        <v>25.36</v>
      </c>
      <c r="AD524" s="112"/>
      <c r="AE524" s="112"/>
      <c r="AF524" s="112"/>
      <c r="AG524" s="112"/>
      <c r="AH524" s="205"/>
    </row>
    <row r="525" spans="1:34" ht="15.95" customHeight="1" x14ac:dyDescent="0.25">
      <c r="A525" s="136">
        <v>60</v>
      </c>
      <c r="B525" s="34" t="s">
        <v>61</v>
      </c>
      <c r="C525" s="228" t="s">
        <v>62</v>
      </c>
      <c r="D525" s="133">
        <v>2014</v>
      </c>
      <c r="E525" s="112" t="s">
        <v>63</v>
      </c>
      <c r="F525" s="132" t="s">
        <v>60</v>
      </c>
      <c r="G525" s="35" t="s">
        <v>178</v>
      </c>
      <c r="H525" s="112">
        <v>27.68</v>
      </c>
      <c r="I525" s="34">
        <v>4.12</v>
      </c>
      <c r="J525" s="34">
        <v>12</v>
      </c>
      <c r="K525" s="35" t="s">
        <v>64</v>
      </c>
      <c r="L525" s="112" t="s">
        <v>66</v>
      </c>
      <c r="M525" s="112" t="s">
        <v>67</v>
      </c>
      <c r="N525" s="112" t="s">
        <v>59</v>
      </c>
      <c r="O525" s="112" t="s">
        <v>169</v>
      </c>
      <c r="P525" s="104" t="s">
        <v>112</v>
      </c>
      <c r="Q525" s="112">
        <v>267.60000000000002</v>
      </c>
      <c r="R525" s="112">
        <v>46.4</v>
      </c>
      <c r="S525" s="112">
        <v>166</v>
      </c>
      <c r="T525" s="112">
        <v>44.4</v>
      </c>
      <c r="U525" s="112">
        <v>2.91</v>
      </c>
      <c r="V525" s="112">
        <v>0.53</v>
      </c>
      <c r="W525" s="112">
        <v>1.76</v>
      </c>
      <c r="X525" s="112">
        <v>0.28999999999999998</v>
      </c>
      <c r="Y525" s="112"/>
      <c r="Z525" s="112"/>
      <c r="AA525" s="112"/>
      <c r="AB525" s="112"/>
      <c r="AC525" s="112"/>
      <c r="AD525" s="112"/>
      <c r="AE525" s="112"/>
      <c r="AF525" s="112"/>
      <c r="AG525" s="112"/>
      <c r="AH525" s="205"/>
    </row>
    <row r="526" spans="1:34" ht="15.95" customHeight="1" x14ac:dyDescent="0.25">
      <c r="A526" s="136">
        <v>60</v>
      </c>
      <c r="B526" s="34" t="s">
        <v>61</v>
      </c>
      <c r="C526" s="228" t="s">
        <v>62</v>
      </c>
      <c r="D526" s="133">
        <v>2014</v>
      </c>
      <c r="E526" s="112" t="s">
        <v>63</v>
      </c>
      <c r="F526" s="55" t="s">
        <v>60</v>
      </c>
      <c r="G526" s="35" t="s">
        <v>178</v>
      </c>
      <c r="H526" s="112">
        <v>27.68</v>
      </c>
      <c r="I526" s="34">
        <v>4.12</v>
      </c>
      <c r="J526" s="34">
        <v>12</v>
      </c>
      <c r="K526" s="35" t="s">
        <v>65</v>
      </c>
      <c r="L526" s="112" t="s">
        <v>66</v>
      </c>
      <c r="M526" s="112" t="s">
        <v>67</v>
      </c>
      <c r="N526" s="112" t="s">
        <v>59</v>
      </c>
      <c r="O526" s="112" t="s">
        <v>169</v>
      </c>
      <c r="P526" s="104" t="s">
        <v>112</v>
      </c>
      <c r="Q526" s="112">
        <v>247.2</v>
      </c>
      <c r="R526" s="112">
        <v>27.4</v>
      </c>
      <c r="S526" s="112">
        <v>160.4</v>
      </c>
      <c r="T526" s="112">
        <v>41.1</v>
      </c>
      <c r="U526" s="112">
        <v>2.7</v>
      </c>
      <c r="V526" s="112">
        <v>0.47</v>
      </c>
      <c r="W526" s="112">
        <v>1.72</v>
      </c>
      <c r="X526" s="112">
        <v>0.39</v>
      </c>
      <c r="Y526" s="112"/>
      <c r="Z526" s="112"/>
      <c r="AA526" s="112"/>
      <c r="AB526" s="112"/>
      <c r="AC526" s="112"/>
      <c r="AD526" s="112"/>
      <c r="AE526" s="112"/>
      <c r="AF526" s="112"/>
      <c r="AG526" s="112"/>
      <c r="AH526" s="205"/>
    </row>
    <row r="527" spans="1:34" ht="15.95" customHeight="1" x14ac:dyDescent="0.25">
      <c r="A527" s="115">
        <v>180</v>
      </c>
      <c r="B527" s="34" t="s">
        <v>61</v>
      </c>
      <c r="C527" s="229" t="s">
        <v>62</v>
      </c>
      <c r="D527" s="130">
        <v>2014</v>
      </c>
      <c r="E527" s="112" t="s">
        <v>63</v>
      </c>
      <c r="F527" s="55" t="s">
        <v>60</v>
      </c>
      <c r="G527" s="35" t="s">
        <v>178</v>
      </c>
      <c r="H527" s="112">
        <v>27.68</v>
      </c>
      <c r="I527" s="34">
        <v>4.12</v>
      </c>
      <c r="J527" s="34">
        <v>12</v>
      </c>
      <c r="K527" s="35" t="s">
        <v>64</v>
      </c>
      <c r="L527" s="112" t="s">
        <v>66</v>
      </c>
      <c r="M527" s="112" t="s">
        <v>67</v>
      </c>
      <c r="N527" s="112" t="s">
        <v>59</v>
      </c>
      <c r="O527" s="112" t="s">
        <v>169</v>
      </c>
      <c r="P527" s="104" t="s">
        <v>112</v>
      </c>
      <c r="Q527" s="112">
        <v>176.4</v>
      </c>
      <c r="R527" s="112">
        <v>29.6</v>
      </c>
      <c r="S527" s="112">
        <v>122.4</v>
      </c>
      <c r="T527" s="112">
        <v>33.9</v>
      </c>
      <c r="U527" s="112">
        <v>1.9</v>
      </c>
      <c r="V527" s="112">
        <v>0.31</v>
      </c>
      <c r="W527" s="112">
        <v>1.3</v>
      </c>
      <c r="X527" s="112">
        <v>0.23</v>
      </c>
      <c r="Y527" s="112"/>
      <c r="Z527" s="112"/>
      <c r="AA527" s="112"/>
      <c r="AB527" s="112"/>
      <c r="AC527" s="112"/>
      <c r="AD527" s="112"/>
      <c r="AE527" s="112"/>
      <c r="AF527" s="112"/>
      <c r="AG527" s="112"/>
      <c r="AH527" s="205"/>
    </row>
    <row r="528" spans="1:34" ht="15.95" customHeight="1" x14ac:dyDescent="0.25">
      <c r="A528" s="115">
        <v>180</v>
      </c>
      <c r="B528" s="34" t="s">
        <v>61</v>
      </c>
      <c r="C528" s="229" t="s">
        <v>62</v>
      </c>
      <c r="D528" s="130">
        <v>2014</v>
      </c>
      <c r="E528" s="112" t="s">
        <v>63</v>
      </c>
      <c r="F528" s="55" t="s">
        <v>60</v>
      </c>
      <c r="G528" s="35" t="s">
        <v>178</v>
      </c>
      <c r="H528" s="112">
        <v>27.68</v>
      </c>
      <c r="I528" s="34">
        <v>4.12</v>
      </c>
      <c r="J528" s="34">
        <v>12</v>
      </c>
      <c r="K528" s="35" t="s">
        <v>65</v>
      </c>
      <c r="L528" s="112" t="s">
        <v>66</v>
      </c>
      <c r="M528" s="112" t="s">
        <v>67</v>
      </c>
      <c r="N528" s="112" t="s">
        <v>59</v>
      </c>
      <c r="O528" s="112" t="s">
        <v>169</v>
      </c>
      <c r="P528" s="104" t="s">
        <v>112</v>
      </c>
      <c r="Q528" s="112">
        <v>168.2</v>
      </c>
      <c r="R528" s="112">
        <v>16.899999999999999</v>
      </c>
      <c r="S528" s="112">
        <v>119.1</v>
      </c>
      <c r="T528" s="112">
        <v>38.200000000000003</v>
      </c>
      <c r="U528" s="112">
        <v>1.83</v>
      </c>
      <c r="V528" s="112">
        <v>0.28999999999999998</v>
      </c>
      <c r="W528" s="112">
        <v>1.27</v>
      </c>
      <c r="X528" s="112">
        <v>0.35</v>
      </c>
      <c r="Y528" s="112"/>
      <c r="Z528" s="112"/>
      <c r="AA528" s="112"/>
      <c r="AB528" s="112"/>
      <c r="AC528" s="112"/>
      <c r="AD528" s="112"/>
      <c r="AE528" s="112"/>
      <c r="AF528" s="112"/>
      <c r="AG528" s="112"/>
      <c r="AH528" s="205"/>
    </row>
    <row r="529" spans="1:34" ht="15.95" customHeight="1" x14ac:dyDescent="0.25">
      <c r="A529" s="136">
        <v>60</v>
      </c>
      <c r="B529" s="112"/>
      <c r="C529" s="229" t="s">
        <v>43</v>
      </c>
      <c r="D529" s="128">
        <v>2021</v>
      </c>
      <c r="E529" s="35" t="s">
        <v>47</v>
      </c>
      <c r="F529" s="104" t="s">
        <v>130</v>
      </c>
      <c r="G529" s="35" t="s">
        <v>178</v>
      </c>
      <c r="H529" s="112">
        <v>24.7</v>
      </c>
      <c r="I529" s="34" t="s">
        <v>178</v>
      </c>
      <c r="J529" s="34">
        <v>65</v>
      </c>
      <c r="K529" s="35" t="s">
        <v>100</v>
      </c>
      <c r="L529" s="112" t="s">
        <v>66</v>
      </c>
      <c r="M529" s="112" t="s">
        <v>67</v>
      </c>
      <c r="N529" s="112" t="s">
        <v>59</v>
      </c>
      <c r="O529" s="35" t="s">
        <v>169</v>
      </c>
      <c r="P529" s="104" t="s">
        <v>112</v>
      </c>
      <c r="Q529" s="35">
        <v>175.9</v>
      </c>
      <c r="R529" s="35">
        <v>51.2</v>
      </c>
      <c r="S529" s="35">
        <v>120.9</v>
      </c>
      <c r="T529" s="34">
        <v>31.5</v>
      </c>
      <c r="U529" s="35">
        <v>2.31</v>
      </c>
      <c r="V529" s="35">
        <v>0.52</v>
      </c>
      <c r="W529" s="112">
        <v>1.61</v>
      </c>
      <c r="X529" s="112">
        <v>0.33</v>
      </c>
      <c r="Y529" s="112"/>
      <c r="Z529" s="112"/>
      <c r="AA529" s="112"/>
      <c r="AB529" s="112"/>
      <c r="AC529" s="112"/>
      <c r="AD529" s="112"/>
      <c r="AE529" s="112"/>
      <c r="AF529" s="112"/>
      <c r="AG529" s="112"/>
      <c r="AH529" s="205"/>
    </row>
    <row r="530" spans="1:34" ht="15.95" customHeight="1" x14ac:dyDescent="0.25">
      <c r="A530" s="136">
        <v>60</v>
      </c>
      <c r="B530" s="112"/>
      <c r="C530" s="229" t="s">
        <v>43</v>
      </c>
      <c r="D530" s="128">
        <v>2021</v>
      </c>
      <c r="E530" s="35" t="s">
        <v>47</v>
      </c>
      <c r="F530" s="127" t="s">
        <v>130</v>
      </c>
      <c r="G530" s="35" t="s">
        <v>178</v>
      </c>
      <c r="H530" s="112">
        <v>24.7</v>
      </c>
      <c r="I530" s="34" t="s">
        <v>178</v>
      </c>
      <c r="J530" s="34">
        <v>65</v>
      </c>
      <c r="K530" s="35" t="s">
        <v>101</v>
      </c>
      <c r="L530" s="112" t="s">
        <v>66</v>
      </c>
      <c r="M530" s="112" t="s">
        <v>67</v>
      </c>
      <c r="N530" s="112" t="s">
        <v>59</v>
      </c>
      <c r="O530" s="35" t="s">
        <v>169</v>
      </c>
      <c r="P530" s="104" t="s">
        <v>112</v>
      </c>
      <c r="Q530" s="35">
        <v>237</v>
      </c>
      <c r="R530" s="35">
        <v>56.2</v>
      </c>
      <c r="S530" s="35">
        <v>132.6</v>
      </c>
      <c r="T530" s="35">
        <v>31.7</v>
      </c>
      <c r="U530" s="35">
        <v>3.11</v>
      </c>
      <c r="V530" s="35">
        <v>0.52</v>
      </c>
      <c r="W530" s="112">
        <v>1.76</v>
      </c>
      <c r="X530" s="112">
        <v>0.32</v>
      </c>
      <c r="Y530" s="112"/>
      <c r="Z530" s="112"/>
      <c r="AA530" s="112"/>
      <c r="AB530" s="112"/>
      <c r="AC530" s="112"/>
      <c r="AD530" s="112"/>
      <c r="AE530" s="112"/>
      <c r="AF530" s="112"/>
      <c r="AG530" s="112"/>
      <c r="AH530" s="205"/>
    </row>
    <row r="531" spans="1:34" ht="15.95" customHeight="1" x14ac:dyDescent="0.25">
      <c r="A531" s="136">
        <v>60</v>
      </c>
      <c r="B531" s="112" t="s">
        <v>115</v>
      </c>
      <c r="C531" s="229" t="s">
        <v>50</v>
      </c>
      <c r="D531" s="245">
        <v>2018</v>
      </c>
      <c r="E531" s="112" t="s">
        <v>63</v>
      </c>
      <c r="F531" s="128" t="s">
        <v>60</v>
      </c>
      <c r="G531" s="35" t="s">
        <v>178</v>
      </c>
      <c r="H531" s="112">
        <v>20.9</v>
      </c>
      <c r="I531" s="34">
        <v>2.7</v>
      </c>
      <c r="J531" s="35">
        <v>150</v>
      </c>
      <c r="K531" s="35" t="s">
        <v>64</v>
      </c>
      <c r="L531" s="112" t="s">
        <v>86</v>
      </c>
      <c r="M531" s="112" t="s">
        <v>67</v>
      </c>
      <c r="N531" s="35" t="s">
        <v>347</v>
      </c>
      <c r="O531" s="35" t="s">
        <v>169</v>
      </c>
      <c r="P531" s="104" t="s">
        <v>112</v>
      </c>
      <c r="Q531" s="35">
        <v>166.3</v>
      </c>
      <c r="R531" s="35">
        <v>24.4</v>
      </c>
      <c r="S531" s="34">
        <v>95.4</v>
      </c>
      <c r="T531" s="35">
        <v>14.1</v>
      </c>
      <c r="U531" s="35">
        <v>2.42</v>
      </c>
      <c r="V531" s="35">
        <v>0.32</v>
      </c>
      <c r="W531" s="35">
        <v>1.39</v>
      </c>
      <c r="X531" s="35">
        <v>0.17</v>
      </c>
      <c r="Y531" s="35"/>
      <c r="Z531" s="35"/>
      <c r="AA531" s="35"/>
      <c r="AB531" s="35"/>
      <c r="AC531" s="35"/>
      <c r="AD531" s="35"/>
      <c r="AE531" s="35"/>
      <c r="AF531" s="35"/>
      <c r="AG531" s="35">
        <v>0.57799999999999996</v>
      </c>
      <c r="AH531" s="204">
        <v>0.72</v>
      </c>
    </row>
    <row r="532" spans="1:34" ht="15.95" customHeight="1" x14ac:dyDescent="0.25">
      <c r="A532" s="136">
        <v>60</v>
      </c>
      <c r="B532" s="112" t="s">
        <v>115</v>
      </c>
      <c r="C532" s="229" t="s">
        <v>50</v>
      </c>
      <c r="D532" s="245">
        <v>2018</v>
      </c>
      <c r="E532" s="112" t="s">
        <v>63</v>
      </c>
      <c r="F532" s="128" t="s">
        <v>60</v>
      </c>
      <c r="G532" s="35" t="s">
        <v>178</v>
      </c>
      <c r="H532" s="112">
        <v>20.9</v>
      </c>
      <c r="I532" s="34" t="s">
        <v>178</v>
      </c>
      <c r="J532" s="35">
        <v>150</v>
      </c>
      <c r="K532" s="35" t="s">
        <v>65</v>
      </c>
      <c r="L532" s="112" t="s">
        <v>86</v>
      </c>
      <c r="M532" s="112" t="s">
        <v>67</v>
      </c>
      <c r="N532" s="35" t="s">
        <v>347</v>
      </c>
      <c r="O532" s="35" t="s">
        <v>169</v>
      </c>
      <c r="P532" s="104" t="s">
        <v>112</v>
      </c>
      <c r="Q532" s="35">
        <v>165.6</v>
      </c>
      <c r="R532" s="35">
        <v>22.3</v>
      </c>
      <c r="S532" s="34">
        <v>93</v>
      </c>
      <c r="T532" s="35">
        <v>12.6</v>
      </c>
      <c r="U532" s="35">
        <v>2.41</v>
      </c>
      <c r="V532" s="35">
        <v>0.28999999999999998</v>
      </c>
      <c r="W532" s="35">
        <v>1.35</v>
      </c>
      <c r="X532" s="35">
        <v>0.15</v>
      </c>
      <c r="Y532" s="35"/>
      <c r="Z532" s="35"/>
      <c r="AA532" s="35"/>
      <c r="AB532" s="35"/>
      <c r="AC532" s="35"/>
      <c r="AD532" s="35"/>
      <c r="AE532" s="35"/>
      <c r="AF532" s="35"/>
      <c r="AG532" s="35">
        <v>0.56599999999999995</v>
      </c>
      <c r="AH532" s="204">
        <v>0.69</v>
      </c>
    </row>
    <row r="533" spans="1:34" ht="15.95" customHeight="1" x14ac:dyDescent="0.25">
      <c r="A533" s="136">
        <v>60</v>
      </c>
      <c r="B533" s="112" t="s">
        <v>115</v>
      </c>
      <c r="C533" s="229" t="s">
        <v>50</v>
      </c>
      <c r="D533" s="245">
        <v>2018</v>
      </c>
      <c r="E533" s="112" t="s">
        <v>80</v>
      </c>
      <c r="F533" s="128" t="s">
        <v>60</v>
      </c>
      <c r="G533" s="129" t="s">
        <v>178</v>
      </c>
      <c r="H533" s="112">
        <v>20.9</v>
      </c>
      <c r="I533" s="34" t="s">
        <v>178</v>
      </c>
      <c r="J533" s="35">
        <v>200</v>
      </c>
      <c r="K533" s="35" t="s">
        <v>64</v>
      </c>
      <c r="L533" s="112" t="s">
        <v>86</v>
      </c>
      <c r="M533" s="112" t="s">
        <v>67</v>
      </c>
      <c r="N533" s="35" t="s">
        <v>347</v>
      </c>
      <c r="O533" s="35" t="s">
        <v>169</v>
      </c>
      <c r="P533" s="104" t="s">
        <v>112</v>
      </c>
      <c r="Q533" s="35">
        <v>147.69999999999999</v>
      </c>
      <c r="R533" s="35">
        <v>23.5</v>
      </c>
      <c r="S533" s="34">
        <v>87.4</v>
      </c>
      <c r="T533" s="35">
        <v>13.6</v>
      </c>
      <c r="U533" s="35">
        <v>2.33</v>
      </c>
      <c r="V533" s="35">
        <v>0.35</v>
      </c>
      <c r="W533" s="35">
        <v>1.38</v>
      </c>
      <c r="X533" s="35">
        <v>0.21</v>
      </c>
      <c r="Y533" s="35"/>
      <c r="Z533" s="35"/>
      <c r="AA533" s="35"/>
      <c r="AB533" s="35"/>
      <c r="AC533" s="35"/>
      <c r="AD533" s="35"/>
      <c r="AE533" s="35"/>
      <c r="AF533" s="35"/>
      <c r="AG533" s="35">
        <v>0.59599999999999997</v>
      </c>
      <c r="AH533" s="204">
        <v>7.5</v>
      </c>
    </row>
    <row r="534" spans="1:34" ht="15.95" customHeight="1" x14ac:dyDescent="0.25">
      <c r="A534" s="136">
        <v>60</v>
      </c>
      <c r="B534" s="112" t="s">
        <v>115</v>
      </c>
      <c r="C534" s="229" t="s">
        <v>50</v>
      </c>
      <c r="D534" s="245">
        <v>2018</v>
      </c>
      <c r="E534" s="112" t="s">
        <v>80</v>
      </c>
      <c r="F534" s="128" t="s">
        <v>60</v>
      </c>
      <c r="G534" s="129" t="s">
        <v>178</v>
      </c>
      <c r="H534" s="112">
        <v>20.9</v>
      </c>
      <c r="I534" s="34" t="s">
        <v>178</v>
      </c>
      <c r="J534" s="35">
        <v>200</v>
      </c>
      <c r="K534" s="35" t="s">
        <v>65</v>
      </c>
      <c r="L534" s="112" t="s">
        <v>86</v>
      </c>
      <c r="M534" s="112" t="s">
        <v>67</v>
      </c>
      <c r="N534" s="35" t="s">
        <v>347</v>
      </c>
      <c r="O534" s="35" t="s">
        <v>169</v>
      </c>
      <c r="P534" s="104" t="s">
        <v>112</v>
      </c>
      <c r="Q534" s="35">
        <v>146</v>
      </c>
      <c r="R534" s="35">
        <v>24.9</v>
      </c>
      <c r="S534" s="34">
        <v>85</v>
      </c>
      <c r="T534" s="35">
        <v>13.7</v>
      </c>
      <c r="U534" s="35">
        <v>2.2999999999999998</v>
      </c>
      <c r="V534" s="35">
        <v>0.36</v>
      </c>
      <c r="W534" s="35">
        <v>1.34</v>
      </c>
      <c r="X534" s="35">
        <v>0.2</v>
      </c>
      <c r="Y534" s="35"/>
      <c r="Z534" s="35"/>
      <c r="AA534" s="35"/>
      <c r="AB534" s="35"/>
      <c r="AC534" s="35"/>
      <c r="AD534" s="35"/>
      <c r="AE534" s="35"/>
      <c r="AF534" s="35"/>
      <c r="AG534" s="35">
        <v>0.58899999999999997</v>
      </c>
      <c r="AH534" s="204">
        <v>0.8</v>
      </c>
    </row>
    <row r="535" spans="1:34" ht="15.95" customHeight="1" x14ac:dyDescent="0.25">
      <c r="A535" s="136">
        <v>300</v>
      </c>
      <c r="B535" s="112" t="s">
        <v>133</v>
      </c>
      <c r="C535" s="228" t="s">
        <v>85</v>
      </c>
      <c r="D535" s="130">
        <v>2015</v>
      </c>
      <c r="E535" s="112" t="s">
        <v>37</v>
      </c>
      <c r="F535" s="112" t="s">
        <v>60</v>
      </c>
      <c r="G535" s="129" t="s">
        <v>178</v>
      </c>
      <c r="H535" s="112">
        <v>16.78</v>
      </c>
      <c r="I535" s="34">
        <v>0.88</v>
      </c>
      <c r="J535" s="34">
        <v>18</v>
      </c>
      <c r="K535" s="35" t="s">
        <v>64</v>
      </c>
      <c r="L535" s="34" t="s">
        <v>86</v>
      </c>
      <c r="M535" s="112" t="s">
        <v>67</v>
      </c>
      <c r="N535" s="112" t="s">
        <v>59</v>
      </c>
      <c r="O535" s="35" t="s">
        <v>169</v>
      </c>
      <c r="P535" s="35"/>
      <c r="Q535" s="112">
        <v>128.83000000000001</v>
      </c>
      <c r="R535" s="112">
        <v>31.52</v>
      </c>
      <c r="S535" s="112">
        <v>101.78</v>
      </c>
      <c r="T535" s="112">
        <v>18.22</v>
      </c>
      <c r="U535" s="112"/>
      <c r="V535" s="112"/>
      <c r="W535" s="112"/>
      <c r="X535" s="112"/>
      <c r="Y535" s="112"/>
      <c r="Z535" s="112"/>
      <c r="AA535" s="112"/>
      <c r="AB535" s="112"/>
      <c r="AC535" s="112"/>
      <c r="AD535" s="112"/>
      <c r="AE535" s="112"/>
      <c r="AF535" s="112"/>
      <c r="AG535" s="112"/>
      <c r="AH535" s="205"/>
    </row>
    <row r="536" spans="1:34" ht="15.95" customHeight="1" x14ac:dyDescent="0.25">
      <c r="A536" s="136">
        <v>300</v>
      </c>
      <c r="B536" s="112" t="s">
        <v>133</v>
      </c>
      <c r="C536" s="228" t="s">
        <v>85</v>
      </c>
      <c r="D536" s="130">
        <v>2015</v>
      </c>
      <c r="E536" s="112" t="s">
        <v>37</v>
      </c>
      <c r="F536" s="112" t="s">
        <v>60</v>
      </c>
      <c r="G536" s="129" t="s">
        <v>178</v>
      </c>
      <c r="H536" s="112">
        <v>16.78</v>
      </c>
      <c r="I536" s="34">
        <v>0.88</v>
      </c>
      <c r="J536" s="34">
        <v>18</v>
      </c>
      <c r="K536" s="35" t="s">
        <v>65</v>
      </c>
      <c r="L536" s="34" t="s">
        <v>86</v>
      </c>
      <c r="M536" s="112" t="s">
        <v>67</v>
      </c>
      <c r="N536" s="112" t="s">
        <v>59</v>
      </c>
      <c r="O536" s="35" t="s">
        <v>169</v>
      </c>
      <c r="P536" s="35"/>
      <c r="Q536" s="112">
        <v>126.28</v>
      </c>
      <c r="R536" s="112">
        <v>35.94</v>
      </c>
      <c r="S536" s="112">
        <v>102.24</v>
      </c>
      <c r="T536" s="112">
        <v>18.170000000000002</v>
      </c>
      <c r="U536" s="112"/>
      <c r="V536" s="112"/>
      <c r="W536" s="112"/>
      <c r="X536" s="112"/>
      <c r="Y536" s="112"/>
      <c r="Z536" s="112"/>
      <c r="AA536" s="112"/>
      <c r="AB536" s="112"/>
      <c r="AC536" s="112"/>
      <c r="AD536" s="112"/>
      <c r="AE536" s="112"/>
      <c r="AF536" s="112"/>
      <c r="AG536" s="112"/>
      <c r="AH536" s="205"/>
    </row>
    <row r="537" spans="1:34" ht="15.95" customHeight="1" x14ac:dyDescent="0.25">
      <c r="A537" s="137">
        <v>240</v>
      </c>
      <c r="B537" s="112" t="s">
        <v>133</v>
      </c>
      <c r="C537" s="228" t="s">
        <v>85</v>
      </c>
      <c r="D537" s="130">
        <v>2015</v>
      </c>
      <c r="E537" s="112" t="s">
        <v>37</v>
      </c>
      <c r="F537" s="128" t="s">
        <v>60</v>
      </c>
      <c r="G537" s="35" t="s">
        <v>178</v>
      </c>
      <c r="H537" s="112">
        <v>16.78</v>
      </c>
      <c r="I537" s="34">
        <v>0.88</v>
      </c>
      <c r="J537" s="34">
        <v>18</v>
      </c>
      <c r="K537" s="35" t="s">
        <v>64</v>
      </c>
      <c r="L537" s="34" t="s">
        <v>86</v>
      </c>
      <c r="M537" s="112" t="s">
        <v>67</v>
      </c>
      <c r="N537" s="112" t="s">
        <v>59</v>
      </c>
      <c r="O537" s="35" t="s">
        <v>169</v>
      </c>
      <c r="P537" s="35"/>
      <c r="Q537" s="112">
        <v>133.96</v>
      </c>
      <c r="R537" s="112">
        <v>20.75</v>
      </c>
      <c r="S537" s="112">
        <v>94.43</v>
      </c>
      <c r="T537" s="112">
        <v>12.92</v>
      </c>
      <c r="U537" s="112"/>
      <c r="V537" s="112"/>
      <c r="W537" s="112"/>
      <c r="X537" s="112"/>
      <c r="Y537" s="112"/>
      <c r="Z537" s="112"/>
      <c r="AA537" s="112"/>
      <c r="AB537" s="112"/>
      <c r="AC537" s="112"/>
      <c r="AD537" s="112"/>
      <c r="AE537" s="112"/>
      <c r="AF537" s="112"/>
      <c r="AG537" s="112"/>
      <c r="AH537" s="205"/>
    </row>
    <row r="538" spans="1:34" ht="15.95" customHeight="1" x14ac:dyDescent="0.25">
      <c r="A538" s="137">
        <v>240</v>
      </c>
      <c r="B538" s="112" t="s">
        <v>133</v>
      </c>
      <c r="C538" s="228" t="s">
        <v>85</v>
      </c>
      <c r="D538" s="130">
        <v>2015</v>
      </c>
      <c r="E538" s="112" t="s">
        <v>37</v>
      </c>
      <c r="F538" s="128" t="s">
        <v>60</v>
      </c>
      <c r="G538" s="35" t="s">
        <v>178</v>
      </c>
      <c r="H538" s="112">
        <v>16.78</v>
      </c>
      <c r="I538" s="34">
        <v>0.88</v>
      </c>
      <c r="J538" s="34">
        <v>18</v>
      </c>
      <c r="K538" s="35" t="s">
        <v>65</v>
      </c>
      <c r="L538" s="34" t="s">
        <v>86</v>
      </c>
      <c r="M538" s="112" t="s">
        <v>67</v>
      </c>
      <c r="N538" s="112" t="s">
        <v>59</v>
      </c>
      <c r="O538" s="35" t="s">
        <v>169</v>
      </c>
      <c r="P538" s="35"/>
      <c r="Q538" s="112">
        <v>128.83000000000001</v>
      </c>
      <c r="R538" s="112">
        <v>31.52</v>
      </c>
      <c r="S538" s="112">
        <v>96.48</v>
      </c>
      <c r="T538" s="112">
        <v>13.31</v>
      </c>
      <c r="U538" s="112"/>
      <c r="V538" s="112"/>
      <c r="W538" s="112"/>
      <c r="X538" s="112"/>
      <c r="Y538" s="112"/>
      <c r="Z538" s="112"/>
      <c r="AA538" s="112"/>
      <c r="AB538" s="112"/>
      <c r="AC538" s="112"/>
      <c r="AD538" s="112"/>
      <c r="AE538" s="112"/>
      <c r="AF538" s="112"/>
      <c r="AG538" s="112"/>
      <c r="AH538" s="205"/>
    </row>
    <row r="539" spans="1:34" ht="15.95" customHeight="1" x14ac:dyDescent="0.25">
      <c r="A539" s="137">
        <v>180</v>
      </c>
      <c r="B539" s="112" t="s">
        <v>133</v>
      </c>
      <c r="C539" s="228" t="s">
        <v>85</v>
      </c>
      <c r="D539" s="130">
        <v>2015</v>
      </c>
      <c r="E539" s="112" t="s">
        <v>37</v>
      </c>
      <c r="F539" s="128" t="s">
        <v>60</v>
      </c>
      <c r="G539" s="35" t="s">
        <v>178</v>
      </c>
      <c r="H539" s="112">
        <v>16.78</v>
      </c>
      <c r="I539" s="34">
        <v>0.88</v>
      </c>
      <c r="J539" s="34">
        <v>18</v>
      </c>
      <c r="K539" s="35" t="s">
        <v>64</v>
      </c>
      <c r="L539" s="34" t="s">
        <v>86</v>
      </c>
      <c r="M539" s="112" t="s">
        <v>67</v>
      </c>
      <c r="N539" s="112" t="s">
        <v>59</v>
      </c>
      <c r="O539" s="35" t="s">
        <v>169</v>
      </c>
      <c r="P539" s="35"/>
      <c r="Q539" s="112">
        <v>152.88999999999999</v>
      </c>
      <c r="R539" s="112">
        <v>25.08</v>
      </c>
      <c r="S539" s="112">
        <v>90.49</v>
      </c>
      <c r="T539" s="112">
        <v>14.53</v>
      </c>
      <c r="U539" s="112"/>
      <c r="V539" s="112"/>
      <c r="W539" s="112"/>
      <c r="X539" s="112"/>
      <c r="Y539" s="112"/>
      <c r="Z539" s="112"/>
      <c r="AA539" s="112"/>
      <c r="AB539" s="112"/>
      <c r="AC539" s="112"/>
      <c r="AD539" s="112"/>
      <c r="AE539" s="112"/>
      <c r="AF539" s="112"/>
      <c r="AG539" s="112"/>
      <c r="AH539" s="205"/>
    </row>
    <row r="540" spans="1:34" ht="15.95" customHeight="1" x14ac:dyDescent="0.25">
      <c r="A540" s="137">
        <v>180</v>
      </c>
      <c r="B540" s="112" t="s">
        <v>133</v>
      </c>
      <c r="C540" s="228" t="s">
        <v>85</v>
      </c>
      <c r="D540" s="130">
        <v>2015</v>
      </c>
      <c r="E540" s="112" t="s">
        <v>37</v>
      </c>
      <c r="F540" s="128" t="s">
        <v>60</v>
      </c>
      <c r="G540" s="35" t="s">
        <v>178</v>
      </c>
      <c r="H540" s="112">
        <v>16.78</v>
      </c>
      <c r="I540" s="34">
        <v>0.88</v>
      </c>
      <c r="J540" s="34">
        <v>18</v>
      </c>
      <c r="K540" s="35" t="s">
        <v>65</v>
      </c>
      <c r="L540" s="34" t="s">
        <v>86</v>
      </c>
      <c r="M540" s="112" t="s">
        <v>67</v>
      </c>
      <c r="N540" s="112" t="s">
        <v>59</v>
      </c>
      <c r="O540" s="35" t="s">
        <v>169</v>
      </c>
      <c r="P540" s="35"/>
      <c r="Q540" s="112">
        <v>146.38999999999999</v>
      </c>
      <c r="R540" s="112">
        <v>21.83</v>
      </c>
      <c r="S540" s="112">
        <v>89.15</v>
      </c>
      <c r="T540" s="112">
        <v>14</v>
      </c>
      <c r="U540" s="112"/>
      <c r="V540" s="112"/>
      <c r="W540" s="112"/>
      <c r="X540" s="112"/>
      <c r="Y540" s="112"/>
      <c r="Z540" s="112"/>
      <c r="AA540" s="112"/>
      <c r="AB540" s="112"/>
      <c r="AC540" s="112"/>
      <c r="AD540" s="112"/>
      <c r="AE540" s="112"/>
      <c r="AF540" s="112"/>
      <c r="AG540" s="112"/>
      <c r="AH540" s="205"/>
    </row>
    <row r="541" spans="1:34" ht="15.95" customHeight="1" x14ac:dyDescent="0.25">
      <c r="A541" s="137">
        <v>60</v>
      </c>
      <c r="B541" s="112" t="s">
        <v>118</v>
      </c>
      <c r="C541" s="228" t="s">
        <v>116</v>
      </c>
      <c r="D541" s="133">
        <v>2011</v>
      </c>
      <c r="E541" s="112" t="s">
        <v>44</v>
      </c>
      <c r="F541" s="128" t="s">
        <v>117</v>
      </c>
      <c r="G541" s="129" t="s">
        <v>178</v>
      </c>
      <c r="H541" s="112">
        <v>68.8</v>
      </c>
      <c r="I541" s="34" t="s">
        <v>178</v>
      </c>
      <c r="J541" s="35">
        <v>80</v>
      </c>
      <c r="K541" s="35" t="s">
        <v>178</v>
      </c>
      <c r="L541" s="112" t="s">
        <v>86</v>
      </c>
      <c r="M541" s="112" t="s">
        <v>67</v>
      </c>
      <c r="N541" s="35" t="s">
        <v>59</v>
      </c>
      <c r="O541" s="35" t="s">
        <v>169</v>
      </c>
      <c r="P541" s="35"/>
      <c r="Q541" s="35">
        <v>100.66</v>
      </c>
      <c r="R541" s="35">
        <v>30.15</v>
      </c>
      <c r="S541" s="34">
        <v>47.76</v>
      </c>
      <c r="T541" s="35">
        <v>14.45</v>
      </c>
      <c r="U541" s="35"/>
      <c r="V541" s="35"/>
      <c r="W541" s="35"/>
      <c r="X541" s="35"/>
      <c r="Y541" s="35"/>
      <c r="Z541" s="35"/>
      <c r="AA541" s="35"/>
      <c r="AB541" s="35"/>
      <c r="AC541" s="35"/>
      <c r="AD541" s="35"/>
      <c r="AE541" s="35"/>
      <c r="AF541" s="35"/>
      <c r="AG541" s="35">
        <v>0.49099999999999999</v>
      </c>
      <c r="AH541" s="204">
        <v>0.14799999999999999</v>
      </c>
    </row>
    <row r="542" spans="1:34" ht="15.95" customHeight="1" x14ac:dyDescent="0.25">
      <c r="A542" s="137">
        <v>180</v>
      </c>
      <c r="B542" s="112" t="s">
        <v>118</v>
      </c>
      <c r="C542" s="244" t="s">
        <v>116</v>
      </c>
      <c r="D542" s="130">
        <v>2011</v>
      </c>
      <c r="E542" s="112" t="s">
        <v>44</v>
      </c>
      <c r="F542" s="128" t="s">
        <v>117</v>
      </c>
      <c r="G542" s="35" t="s">
        <v>178</v>
      </c>
      <c r="H542" s="112">
        <v>68.8</v>
      </c>
      <c r="I542" s="34"/>
      <c r="J542" s="35">
        <v>80</v>
      </c>
      <c r="K542" s="35" t="s">
        <v>178</v>
      </c>
      <c r="L542" s="112" t="s">
        <v>86</v>
      </c>
      <c r="M542" s="112" t="s">
        <v>67</v>
      </c>
      <c r="N542" s="35" t="s">
        <v>59</v>
      </c>
      <c r="O542" s="121" t="s">
        <v>169</v>
      </c>
      <c r="P542" s="121"/>
      <c r="Q542" s="35">
        <v>79.89</v>
      </c>
      <c r="R542" s="35">
        <v>22.25</v>
      </c>
      <c r="S542" s="34">
        <v>41.11</v>
      </c>
      <c r="T542" s="35">
        <v>12.53</v>
      </c>
      <c r="U542" s="35"/>
      <c r="V542" s="35"/>
      <c r="W542" s="35"/>
      <c r="X542" s="35"/>
      <c r="Y542" s="35"/>
      <c r="Z542" s="35"/>
      <c r="AA542" s="35"/>
      <c r="AB542" s="35"/>
      <c r="AC542" s="35"/>
      <c r="AD542" s="35"/>
      <c r="AE542" s="35"/>
      <c r="AF542" s="35"/>
      <c r="AG542" s="35">
        <v>0.52600000000000002</v>
      </c>
      <c r="AH542" s="204">
        <v>0.14599999999999999</v>
      </c>
    </row>
    <row r="543" spans="1:34" ht="15.95" customHeight="1" x14ac:dyDescent="0.25">
      <c r="A543" s="137">
        <v>60</v>
      </c>
      <c r="B543" s="112" t="s">
        <v>74</v>
      </c>
      <c r="C543" s="229" t="s">
        <v>34</v>
      </c>
      <c r="D543" s="133">
        <v>2009</v>
      </c>
      <c r="E543" s="35" t="s">
        <v>37</v>
      </c>
      <c r="F543" s="128" t="s">
        <v>68</v>
      </c>
      <c r="G543" s="35" t="s">
        <v>178</v>
      </c>
      <c r="H543" s="112">
        <v>28.3</v>
      </c>
      <c r="I543" s="34">
        <v>6.3</v>
      </c>
      <c r="J543" s="34">
        <v>15</v>
      </c>
      <c r="K543" s="35" t="s">
        <v>64</v>
      </c>
      <c r="L543" s="112" t="s">
        <v>66</v>
      </c>
      <c r="M543" s="112" t="s">
        <v>67</v>
      </c>
      <c r="N543" s="35" t="s">
        <v>58</v>
      </c>
      <c r="O543" s="35" t="s">
        <v>169</v>
      </c>
      <c r="P543" s="104" t="s">
        <v>112</v>
      </c>
      <c r="Q543" s="35">
        <v>286.10000000000002</v>
      </c>
      <c r="R543" s="35">
        <v>56.2</v>
      </c>
      <c r="S543" s="35">
        <v>182.1</v>
      </c>
      <c r="T543" s="35">
        <v>32.5</v>
      </c>
      <c r="U543" s="35">
        <v>3</v>
      </c>
      <c r="V543" s="35">
        <v>0.61</v>
      </c>
      <c r="W543" s="35" t="s">
        <v>183</v>
      </c>
      <c r="X543" s="35">
        <v>0.28999999999999998</v>
      </c>
      <c r="Y543" s="35"/>
      <c r="Z543" s="35"/>
      <c r="AA543" s="35"/>
      <c r="AB543" s="35"/>
      <c r="AC543" s="35"/>
      <c r="AD543" s="35"/>
      <c r="AE543" s="35"/>
      <c r="AF543" s="35"/>
      <c r="AG543" s="35">
        <v>0.65</v>
      </c>
      <c r="AH543" s="204">
        <v>0.12</v>
      </c>
    </row>
    <row r="544" spans="1:34" ht="15.95" customHeight="1" x14ac:dyDescent="0.25">
      <c r="A544" s="137">
        <v>60</v>
      </c>
      <c r="B544" s="112" t="s">
        <v>69</v>
      </c>
      <c r="C544" s="229" t="s">
        <v>34</v>
      </c>
      <c r="D544" s="133">
        <v>2009</v>
      </c>
      <c r="E544" s="35" t="s">
        <v>37</v>
      </c>
      <c r="F544" s="128" t="s">
        <v>68</v>
      </c>
      <c r="G544" s="35" t="s">
        <v>178</v>
      </c>
      <c r="H544" s="112">
        <v>28.3</v>
      </c>
      <c r="I544" s="34">
        <v>6.3</v>
      </c>
      <c r="J544" s="34">
        <v>15</v>
      </c>
      <c r="K544" s="35" t="s">
        <v>65</v>
      </c>
      <c r="L544" s="112" t="s">
        <v>66</v>
      </c>
      <c r="M544" s="112" t="s">
        <v>67</v>
      </c>
      <c r="N544" s="35" t="s">
        <v>58</v>
      </c>
      <c r="O544" s="35" t="s">
        <v>169</v>
      </c>
      <c r="P544" s="104" t="s">
        <v>112</v>
      </c>
      <c r="Q544" s="35">
        <v>251.9</v>
      </c>
      <c r="R544" s="35">
        <v>58.2</v>
      </c>
      <c r="S544" s="35">
        <v>166.5</v>
      </c>
      <c r="T544" s="35">
        <v>30.7</v>
      </c>
      <c r="U544" s="35">
        <v>2.65</v>
      </c>
      <c r="V544" s="35">
        <v>0.68</v>
      </c>
      <c r="W544" s="35">
        <v>1.74</v>
      </c>
      <c r="X544" s="35">
        <v>0.3</v>
      </c>
      <c r="Y544" s="35"/>
      <c r="Z544" s="35"/>
      <c r="AA544" s="35"/>
      <c r="AB544" s="35"/>
      <c r="AC544" s="35"/>
      <c r="AD544" s="35"/>
      <c r="AE544" s="35"/>
      <c r="AF544" s="35"/>
      <c r="AG544" s="35">
        <v>0.68</v>
      </c>
      <c r="AH544" s="204">
        <v>0.13</v>
      </c>
    </row>
    <row r="545" spans="1:34" ht="15.95" customHeight="1" x14ac:dyDescent="0.25">
      <c r="A545" s="115">
        <v>60</v>
      </c>
      <c r="B545" s="112"/>
      <c r="C545" s="229" t="s">
        <v>34</v>
      </c>
      <c r="D545" s="133">
        <v>2009</v>
      </c>
      <c r="E545" s="35" t="s">
        <v>37</v>
      </c>
      <c r="F545" s="112" t="s">
        <v>70</v>
      </c>
      <c r="G545" s="35" t="s">
        <v>178</v>
      </c>
      <c r="H545" s="112">
        <v>18.899999999999999</v>
      </c>
      <c r="I545" s="34">
        <v>1.2</v>
      </c>
      <c r="J545" s="34">
        <v>10</v>
      </c>
      <c r="K545" s="35" t="s">
        <v>64</v>
      </c>
      <c r="L545" s="112" t="s">
        <v>66</v>
      </c>
      <c r="M545" s="112" t="s">
        <v>67</v>
      </c>
      <c r="N545" s="35" t="s">
        <v>58</v>
      </c>
      <c r="O545" s="35" t="s">
        <v>169</v>
      </c>
      <c r="P545" s="104" t="s">
        <v>112</v>
      </c>
      <c r="Q545" s="35">
        <v>251.3</v>
      </c>
      <c r="R545" s="35">
        <v>25.2</v>
      </c>
      <c r="S545" s="35">
        <v>151.69999999999999</v>
      </c>
      <c r="T545" s="35">
        <v>25.2</v>
      </c>
      <c r="U545" s="35">
        <v>3.2</v>
      </c>
      <c r="V545" s="35">
        <v>0.23</v>
      </c>
      <c r="W545" s="35">
        <v>1.93</v>
      </c>
      <c r="X545" s="35">
        <v>0.28000000000000003</v>
      </c>
      <c r="Y545" s="35"/>
      <c r="Z545" s="35"/>
      <c r="AA545" s="35"/>
      <c r="AB545" s="35"/>
      <c r="AC545" s="35"/>
      <c r="AD545" s="35"/>
      <c r="AE545" s="35"/>
      <c r="AF545" s="35"/>
      <c r="AG545" s="35">
        <v>0.6</v>
      </c>
      <c r="AH545" s="204">
        <v>7.0000000000000007E-2</v>
      </c>
    </row>
    <row r="546" spans="1:34" ht="15.95" customHeight="1" x14ac:dyDescent="0.25">
      <c r="A546" s="115">
        <v>60</v>
      </c>
      <c r="B546" s="112"/>
      <c r="C546" s="229" t="s">
        <v>34</v>
      </c>
      <c r="D546" s="133">
        <v>2009</v>
      </c>
      <c r="E546" s="35" t="s">
        <v>37</v>
      </c>
      <c r="F546" s="112" t="s">
        <v>70</v>
      </c>
      <c r="G546" s="35" t="s">
        <v>178</v>
      </c>
      <c r="H546" s="112">
        <v>18.899999999999999</v>
      </c>
      <c r="I546" s="34">
        <v>1.2</v>
      </c>
      <c r="J546" s="34">
        <v>10</v>
      </c>
      <c r="K546" s="35" t="s">
        <v>65</v>
      </c>
      <c r="L546" s="112" t="s">
        <v>66</v>
      </c>
      <c r="M546" s="112" t="s">
        <v>67</v>
      </c>
      <c r="N546" s="35" t="s">
        <v>58</v>
      </c>
      <c r="O546" s="35" t="s">
        <v>169</v>
      </c>
      <c r="P546" s="104" t="s">
        <v>112</v>
      </c>
      <c r="Q546" s="35">
        <v>243.3</v>
      </c>
      <c r="R546" s="35">
        <v>31.9</v>
      </c>
      <c r="S546" s="35">
        <v>139.1</v>
      </c>
      <c r="T546" s="35">
        <v>17.7</v>
      </c>
      <c r="U546" s="35">
        <v>3.09</v>
      </c>
      <c r="V546" s="35">
        <v>0.38</v>
      </c>
      <c r="W546" s="35">
        <v>1.77</v>
      </c>
      <c r="X546" s="35">
        <v>0.16</v>
      </c>
      <c r="Y546" s="35"/>
      <c r="Z546" s="35"/>
      <c r="AA546" s="35"/>
      <c r="AB546" s="35"/>
      <c r="AC546" s="35"/>
      <c r="AD546" s="35"/>
      <c r="AE546" s="35"/>
      <c r="AF546" s="35"/>
      <c r="AG546" s="35">
        <v>0.57999999999999996</v>
      </c>
      <c r="AH546" s="204">
        <v>0.06</v>
      </c>
    </row>
    <row r="547" spans="1:34" ht="15.95" customHeight="1" x14ac:dyDescent="0.25">
      <c r="A547" s="115">
        <v>60</v>
      </c>
      <c r="B547" s="112"/>
      <c r="C547" s="229" t="s">
        <v>34</v>
      </c>
      <c r="D547" s="117">
        <v>2009</v>
      </c>
      <c r="E547" s="35" t="s">
        <v>37</v>
      </c>
      <c r="F547" s="112" t="s">
        <v>130</v>
      </c>
      <c r="G547" s="35" t="s">
        <v>178</v>
      </c>
      <c r="H547" s="112">
        <v>23.5</v>
      </c>
      <c r="I547" s="34">
        <v>3.3</v>
      </c>
      <c r="J547" s="34">
        <v>20</v>
      </c>
      <c r="K547" s="35" t="s">
        <v>64</v>
      </c>
      <c r="L547" s="112" t="s">
        <v>66</v>
      </c>
      <c r="M547" s="112" t="s">
        <v>67</v>
      </c>
      <c r="N547" s="104" t="s">
        <v>58</v>
      </c>
      <c r="O547" s="35" t="s">
        <v>169</v>
      </c>
      <c r="P547" s="104" t="s">
        <v>112</v>
      </c>
      <c r="Q547" s="112">
        <v>193.8</v>
      </c>
      <c r="R547" s="112">
        <v>42.9</v>
      </c>
      <c r="S547" s="112">
        <v>121.4</v>
      </c>
      <c r="T547" s="112">
        <v>20.2</v>
      </c>
      <c r="U547" s="112">
        <v>2.66</v>
      </c>
      <c r="V547" s="112">
        <v>0.4</v>
      </c>
      <c r="W547" s="112">
        <v>1.67</v>
      </c>
      <c r="X547" s="112">
        <v>0.2</v>
      </c>
      <c r="Y547" s="112"/>
      <c r="Z547" s="112"/>
      <c r="AA547" s="112"/>
      <c r="AB547" s="112"/>
      <c r="AC547" s="112"/>
      <c r="AD547" s="112"/>
      <c r="AE547" s="112"/>
      <c r="AF547" s="112"/>
      <c r="AG547" s="112"/>
      <c r="AH547" s="205"/>
    </row>
    <row r="548" spans="1:34" ht="15.95" customHeight="1" x14ac:dyDescent="0.25">
      <c r="A548" s="115">
        <v>60</v>
      </c>
      <c r="B548" s="112"/>
      <c r="C548" s="229" t="s">
        <v>34</v>
      </c>
      <c r="D548" s="117">
        <v>2009</v>
      </c>
      <c r="E548" s="35" t="s">
        <v>37</v>
      </c>
      <c r="F548" s="112" t="s">
        <v>130</v>
      </c>
      <c r="G548" s="35" t="s">
        <v>178</v>
      </c>
      <c r="H548" s="112">
        <v>23.5</v>
      </c>
      <c r="I548" s="34">
        <v>3.3</v>
      </c>
      <c r="J548" s="34">
        <v>20</v>
      </c>
      <c r="K548" s="35" t="s">
        <v>65</v>
      </c>
      <c r="L548" s="112" t="s">
        <v>66</v>
      </c>
      <c r="M548" s="112" t="s">
        <v>67</v>
      </c>
      <c r="N548" s="104" t="s">
        <v>58</v>
      </c>
      <c r="O548" s="35" t="s">
        <v>169</v>
      </c>
      <c r="P548" s="104" t="s">
        <v>112</v>
      </c>
      <c r="Q548" s="112">
        <v>196.3</v>
      </c>
      <c r="R548" s="112" t="s">
        <v>94</v>
      </c>
      <c r="S548" s="112">
        <v>122.6</v>
      </c>
      <c r="T548" s="112">
        <v>26.2</v>
      </c>
      <c r="U548" s="112">
        <v>2.69</v>
      </c>
      <c r="V548" s="112">
        <v>0.43</v>
      </c>
      <c r="W548" s="112">
        <v>1.68</v>
      </c>
      <c r="X548" s="112">
        <v>0.2</v>
      </c>
      <c r="Y548" s="112"/>
      <c r="Z548" s="112"/>
      <c r="AA548" s="112"/>
      <c r="AB548" s="112"/>
      <c r="AC548" s="112"/>
      <c r="AD548" s="112"/>
      <c r="AE548" s="112"/>
      <c r="AF548" s="112"/>
      <c r="AG548" s="112"/>
      <c r="AH548" s="205"/>
    </row>
    <row r="549" spans="1:34" ht="15.95" customHeight="1" x14ac:dyDescent="0.25">
      <c r="A549" s="115">
        <v>240</v>
      </c>
      <c r="B549" s="112" t="s">
        <v>74</v>
      </c>
      <c r="C549" s="229" t="s">
        <v>34</v>
      </c>
      <c r="D549" s="34">
        <v>2009</v>
      </c>
      <c r="E549" s="104" t="s">
        <v>37</v>
      </c>
      <c r="F549" s="112" t="s">
        <v>68</v>
      </c>
      <c r="G549" s="35" t="s">
        <v>178</v>
      </c>
      <c r="H549" s="112">
        <v>28.3</v>
      </c>
      <c r="I549" s="34">
        <v>6.3</v>
      </c>
      <c r="J549" s="34">
        <v>15</v>
      </c>
      <c r="K549" s="35" t="s">
        <v>64</v>
      </c>
      <c r="L549" s="112" t="s">
        <v>66</v>
      </c>
      <c r="M549" s="112" t="s">
        <v>67</v>
      </c>
      <c r="N549" s="35" t="s">
        <v>58</v>
      </c>
      <c r="O549" s="35" t="s">
        <v>169</v>
      </c>
      <c r="P549" s="104" t="s">
        <v>112</v>
      </c>
      <c r="Q549" s="112">
        <v>176.3</v>
      </c>
      <c r="R549" s="112">
        <v>56.2</v>
      </c>
      <c r="S549" s="112">
        <v>117.8</v>
      </c>
      <c r="T549" s="112">
        <v>21</v>
      </c>
      <c r="U549" s="112">
        <v>1.85</v>
      </c>
      <c r="V549" s="112">
        <v>0.39</v>
      </c>
      <c r="W549" s="112">
        <v>1.23</v>
      </c>
      <c r="X549" s="112">
        <v>0.19</v>
      </c>
      <c r="Y549" s="112"/>
      <c r="Z549" s="112"/>
      <c r="AA549" s="112"/>
      <c r="AB549" s="112"/>
      <c r="AC549" s="112"/>
      <c r="AD549" s="112"/>
      <c r="AE549" s="112"/>
      <c r="AF549" s="112"/>
      <c r="AG549" s="112"/>
      <c r="AH549" s="205"/>
    </row>
    <row r="550" spans="1:34" ht="15.95" customHeight="1" x14ac:dyDescent="0.25">
      <c r="A550" s="115">
        <v>240</v>
      </c>
      <c r="B550" s="112" t="s">
        <v>69</v>
      </c>
      <c r="C550" s="229" t="s">
        <v>34</v>
      </c>
      <c r="D550" s="34">
        <v>2009</v>
      </c>
      <c r="E550" s="104" t="s">
        <v>37</v>
      </c>
      <c r="F550" s="112" t="s">
        <v>68</v>
      </c>
      <c r="G550" s="35" t="s">
        <v>178</v>
      </c>
      <c r="H550" s="112">
        <v>28.3</v>
      </c>
      <c r="I550" s="34">
        <v>6.3</v>
      </c>
      <c r="J550" s="34">
        <v>15</v>
      </c>
      <c r="K550" s="35" t="s">
        <v>65</v>
      </c>
      <c r="L550" s="112" t="s">
        <v>66</v>
      </c>
      <c r="M550" s="112" t="s">
        <v>67</v>
      </c>
      <c r="N550" s="35" t="s">
        <v>58</v>
      </c>
      <c r="O550" s="35" t="s">
        <v>169</v>
      </c>
      <c r="P550" s="104" t="s">
        <v>112</v>
      </c>
      <c r="Q550" s="112">
        <v>166.2</v>
      </c>
      <c r="R550" s="112">
        <v>58.2</v>
      </c>
      <c r="S550" s="112">
        <v>109.3</v>
      </c>
      <c r="T550" s="112">
        <v>18.600000000000001</v>
      </c>
      <c r="U550" s="112">
        <v>1.75</v>
      </c>
      <c r="V550" s="112">
        <v>0.38</v>
      </c>
      <c r="W550" s="112">
        <v>1.1399999999999999</v>
      </c>
      <c r="X550" s="112">
        <v>0.2</v>
      </c>
      <c r="Y550" s="112"/>
      <c r="Z550" s="112"/>
      <c r="AA550" s="112"/>
      <c r="AB550" s="112"/>
      <c r="AC550" s="112"/>
      <c r="AD550" s="112"/>
      <c r="AE550" s="112"/>
      <c r="AF550" s="112"/>
      <c r="AG550" s="112"/>
      <c r="AH550" s="205"/>
    </row>
    <row r="551" spans="1:34" ht="15.95" customHeight="1" x14ac:dyDescent="0.25">
      <c r="A551" s="115">
        <v>240</v>
      </c>
      <c r="B551" s="112" t="s">
        <v>74</v>
      </c>
      <c r="C551" s="229" t="s">
        <v>34</v>
      </c>
      <c r="D551" s="34">
        <v>2009</v>
      </c>
      <c r="E551" s="104" t="s">
        <v>37</v>
      </c>
      <c r="F551" s="112" t="s">
        <v>70</v>
      </c>
      <c r="G551" s="35" t="s">
        <v>178</v>
      </c>
      <c r="H551" s="112">
        <v>18.899999999999999</v>
      </c>
      <c r="I551" s="34">
        <v>1.2</v>
      </c>
      <c r="J551" s="34">
        <v>10</v>
      </c>
      <c r="K551" s="35" t="s">
        <v>64</v>
      </c>
      <c r="L551" s="112" t="s">
        <v>66</v>
      </c>
      <c r="M551" s="112" t="s">
        <v>67</v>
      </c>
      <c r="N551" s="35" t="s">
        <v>58</v>
      </c>
      <c r="O551" s="35" t="s">
        <v>169</v>
      </c>
      <c r="P551" s="104" t="s">
        <v>112</v>
      </c>
      <c r="Q551" s="112">
        <v>136.30000000000001</v>
      </c>
      <c r="R551" s="112">
        <v>25.2</v>
      </c>
      <c r="S551" s="112">
        <v>95.1</v>
      </c>
      <c r="T551" s="112">
        <v>18.5</v>
      </c>
      <c r="U551" s="112">
        <v>1.75</v>
      </c>
      <c r="V551" s="112">
        <v>0.26</v>
      </c>
      <c r="W551" s="112">
        <v>1.22</v>
      </c>
      <c r="X551" s="112">
        <v>0.26</v>
      </c>
      <c r="Y551" s="112"/>
      <c r="Z551" s="112"/>
      <c r="AA551" s="112"/>
      <c r="AB551" s="112"/>
      <c r="AC551" s="112"/>
      <c r="AD551" s="112"/>
      <c r="AE551" s="112"/>
      <c r="AF551" s="112"/>
      <c r="AG551" s="112"/>
      <c r="AH551" s="205"/>
    </row>
    <row r="552" spans="1:34" ht="15.95" customHeight="1" x14ac:dyDescent="0.25">
      <c r="A552" s="115">
        <v>240</v>
      </c>
      <c r="B552" s="112" t="s">
        <v>69</v>
      </c>
      <c r="C552" s="229" t="s">
        <v>34</v>
      </c>
      <c r="D552" s="34">
        <v>2009</v>
      </c>
      <c r="E552" s="104" t="s">
        <v>37</v>
      </c>
      <c r="F552" s="112" t="s">
        <v>70</v>
      </c>
      <c r="G552" s="35" t="s">
        <v>178</v>
      </c>
      <c r="H552" s="112">
        <v>18.899999999999999</v>
      </c>
      <c r="I552" s="34">
        <v>1.2</v>
      </c>
      <c r="J552" s="34">
        <v>10</v>
      </c>
      <c r="K552" s="35" t="s">
        <v>65</v>
      </c>
      <c r="L552" s="112" t="s">
        <v>66</v>
      </c>
      <c r="M552" s="112" t="s">
        <v>67</v>
      </c>
      <c r="N552" s="35" t="s">
        <v>58</v>
      </c>
      <c r="O552" s="35" t="s">
        <v>169</v>
      </c>
      <c r="P552" s="104" t="s">
        <v>112</v>
      </c>
      <c r="Q552" s="112">
        <v>142.30000000000001</v>
      </c>
      <c r="R552" s="112">
        <v>31.9</v>
      </c>
      <c r="S552" s="112">
        <v>89.1</v>
      </c>
      <c r="T552" s="112">
        <v>16.899999999999999</v>
      </c>
      <c r="U552" s="112">
        <v>1.82</v>
      </c>
      <c r="V552" s="112">
        <v>0.16</v>
      </c>
      <c r="W552" s="112">
        <v>1.1399999999999999</v>
      </c>
      <c r="X552" s="112">
        <v>0.24</v>
      </c>
      <c r="Y552" s="112"/>
      <c r="Z552" s="112"/>
      <c r="AA552" s="112"/>
      <c r="AB552" s="112"/>
      <c r="AC552" s="112"/>
      <c r="AD552" s="112"/>
      <c r="AE552" s="112"/>
      <c r="AF552" s="112"/>
      <c r="AG552" s="112"/>
      <c r="AH552" s="205"/>
    </row>
    <row r="553" spans="1:34" ht="15.95" customHeight="1" x14ac:dyDescent="0.25">
      <c r="A553" s="115">
        <v>240</v>
      </c>
      <c r="B553" s="112" t="s">
        <v>74</v>
      </c>
      <c r="C553" s="229" t="s">
        <v>34</v>
      </c>
      <c r="D553" s="34">
        <v>2009</v>
      </c>
      <c r="E553" s="104" t="s">
        <v>37</v>
      </c>
      <c r="F553" s="112" t="s">
        <v>130</v>
      </c>
      <c r="G553" s="35" t="s">
        <v>178</v>
      </c>
      <c r="H553" s="112">
        <v>23.5</v>
      </c>
      <c r="I553" s="34">
        <v>3.3</v>
      </c>
      <c r="J553" s="34">
        <v>20</v>
      </c>
      <c r="K553" s="35" t="s">
        <v>64</v>
      </c>
      <c r="L553" s="112" t="s">
        <v>66</v>
      </c>
      <c r="M553" s="112" t="s">
        <v>67</v>
      </c>
      <c r="N553" s="104" t="s">
        <v>58</v>
      </c>
      <c r="O553" s="35" t="s">
        <v>169</v>
      </c>
      <c r="P553" s="104" t="s">
        <v>112</v>
      </c>
      <c r="Q553" s="112">
        <v>124.5</v>
      </c>
      <c r="R553" s="112">
        <v>42.9</v>
      </c>
      <c r="S553" s="112">
        <v>82.5</v>
      </c>
      <c r="T553" s="112">
        <v>22</v>
      </c>
      <c r="U553" s="112">
        <v>1.72</v>
      </c>
      <c r="V553" s="112">
        <v>0.22</v>
      </c>
      <c r="W553" s="112">
        <v>1.1399999999999999</v>
      </c>
      <c r="X553" s="112">
        <v>0.14000000000000001</v>
      </c>
      <c r="Y553" s="112"/>
      <c r="Z553" s="112"/>
      <c r="AA553" s="112"/>
      <c r="AB553" s="112"/>
      <c r="AC553" s="112"/>
      <c r="AD553" s="112"/>
      <c r="AE553" s="112"/>
      <c r="AF553" s="112"/>
      <c r="AG553" s="112"/>
      <c r="AH553" s="205"/>
    </row>
    <row r="554" spans="1:34" ht="15.95" customHeight="1" x14ac:dyDescent="0.25">
      <c r="A554" s="115">
        <v>240</v>
      </c>
      <c r="B554" s="112" t="s">
        <v>69</v>
      </c>
      <c r="C554" s="229" t="s">
        <v>34</v>
      </c>
      <c r="D554" s="34">
        <v>2009</v>
      </c>
      <c r="E554" s="104" t="s">
        <v>37</v>
      </c>
      <c r="F554" s="112" t="s">
        <v>130</v>
      </c>
      <c r="G554" s="35" t="s">
        <v>178</v>
      </c>
      <c r="H554" s="112">
        <v>23.5</v>
      </c>
      <c r="I554" s="34">
        <v>3.3</v>
      </c>
      <c r="J554" s="34">
        <v>20</v>
      </c>
      <c r="K554" s="35" t="s">
        <v>65</v>
      </c>
      <c r="L554" s="112" t="s">
        <v>66</v>
      </c>
      <c r="M554" s="112" t="s">
        <v>67</v>
      </c>
      <c r="N554" s="104" t="s">
        <v>58</v>
      </c>
      <c r="O554" s="35" t="s">
        <v>169</v>
      </c>
      <c r="P554" s="104" t="s">
        <v>112</v>
      </c>
      <c r="Q554" s="112">
        <v>124.9</v>
      </c>
      <c r="R554" s="112">
        <v>41.8</v>
      </c>
      <c r="S554" s="112">
        <v>83.4</v>
      </c>
      <c r="T554" s="112">
        <v>14.9</v>
      </c>
      <c r="U554" s="112">
        <v>1.71</v>
      </c>
      <c r="V554" s="112">
        <v>0.22</v>
      </c>
      <c r="W554" s="112">
        <v>1.1399999999999999</v>
      </c>
      <c r="X554" s="112">
        <v>0.1</v>
      </c>
      <c r="Y554" s="112"/>
      <c r="Z554" s="112"/>
      <c r="AA554" s="112"/>
      <c r="AB554" s="112"/>
      <c r="AC554" s="112"/>
      <c r="AD554" s="112"/>
      <c r="AE554" s="112"/>
      <c r="AF554" s="112"/>
      <c r="AG554" s="112"/>
      <c r="AH554" s="205"/>
    </row>
    <row r="555" spans="1:34" ht="15.95" customHeight="1" x14ac:dyDescent="0.25">
      <c r="A555" s="115">
        <v>180</v>
      </c>
      <c r="B555" s="112"/>
      <c r="C555" s="182" t="s">
        <v>340</v>
      </c>
      <c r="D555" s="117">
        <v>2015</v>
      </c>
      <c r="E555" s="112" t="s">
        <v>40</v>
      </c>
      <c r="F555" s="112" t="s">
        <v>68</v>
      </c>
      <c r="G555" s="112" t="s">
        <v>178</v>
      </c>
      <c r="H555" s="112">
        <v>20</v>
      </c>
      <c r="I555" s="34"/>
      <c r="J555" s="34">
        <v>21</v>
      </c>
      <c r="K555" s="35" t="s">
        <v>64</v>
      </c>
      <c r="L555" s="112" t="s">
        <v>66</v>
      </c>
      <c r="M555" s="112" t="s">
        <v>67</v>
      </c>
      <c r="N555" s="112" t="s">
        <v>59</v>
      </c>
      <c r="O555" s="112" t="s">
        <v>169</v>
      </c>
      <c r="P555" s="112"/>
      <c r="Q555" s="112">
        <v>190.66</v>
      </c>
      <c r="R555" s="112">
        <v>37.74</v>
      </c>
      <c r="S555" s="112">
        <v>130.02000000000001</v>
      </c>
      <c r="T555" s="112">
        <v>32.36</v>
      </c>
      <c r="U555" s="112"/>
      <c r="V555" s="112"/>
      <c r="W555" s="112"/>
      <c r="X555" s="112"/>
      <c r="Y555" s="112"/>
      <c r="Z555" s="112"/>
      <c r="AA555" s="112"/>
      <c r="AB555" s="112"/>
      <c r="AC555" s="112"/>
      <c r="AD555" s="112"/>
      <c r="AE555" s="112"/>
      <c r="AF555" s="112"/>
      <c r="AG555" s="112"/>
      <c r="AH555" s="205"/>
    </row>
    <row r="556" spans="1:34" ht="15.95" customHeight="1" x14ac:dyDescent="0.25">
      <c r="A556" s="115">
        <v>180</v>
      </c>
      <c r="B556" s="112"/>
      <c r="C556" s="182" t="s">
        <v>340</v>
      </c>
      <c r="D556" s="117">
        <v>2015</v>
      </c>
      <c r="E556" s="112" t="s">
        <v>40</v>
      </c>
      <c r="F556" s="112" t="s">
        <v>68</v>
      </c>
      <c r="G556" s="112" t="s">
        <v>178</v>
      </c>
      <c r="H556" s="112">
        <v>20</v>
      </c>
      <c r="I556" s="34"/>
      <c r="J556" s="34">
        <v>21</v>
      </c>
      <c r="K556" s="104" t="s">
        <v>65</v>
      </c>
      <c r="L556" s="112" t="s">
        <v>66</v>
      </c>
      <c r="M556" s="112" t="s">
        <v>67</v>
      </c>
      <c r="N556" s="112" t="s">
        <v>59</v>
      </c>
      <c r="O556" s="112" t="s">
        <v>169</v>
      </c>
      <c r="P556" s="112"/>
      <c r="Q556" s="112">
        <v>197.56</v>
      </c>
      <c r="R556" s="112">
        <v>38.07</v>
      </c>
      <c r="S556" s="112">
        <v>128.44999999999999</v>
      </c>
      <c r="T556" s="112">
        <v>28.7</v>
      </c>
      <c r="U556" s="112"/>
      <c r="V556" s="112"/>
      <c r="W556" s="112"/>
      <c r="X556" s="112"/>
      <c r="Y556" s="112"/>
      <c r="Z556" s="112"/>
      <c r="AA556" s="112"/>
      <c r="AB556" s="112"/>
      <c r="AC556" s="112"/>
      <c r="AD556" s="112"/>
      <c r="AE556" s="112"/>
      <c r="AF556" s="112"/>
      <c r="AG556" s="112"/>
      <c r="AH556" s="205"/>
    </row>
    <row r="557" spans="1:34" ht="15.95" customHeight="1" x14ac:dyDescent="0.25">
      <c r="A557" s="115">
        <v>180</v>
      </c>
      <c r="B557" s="112"/>
      <c r="C557" s="182" t="s">
        <v>340</v>
      </c>
      <c r="D557" s="117">
        <v>2015</v>
      </c>
      <c r="E557" s="112" t="s">
        <v>40</v>
      </c>
      <c r="F557" s="112" t="s">
        <v>68</v>
      </c>
      <c r="G557" s="112" t="s">
        <v>178</v>
      </c>
      <c r="H557" s="112">
        <v>20</v>
      </c>
      <c r="I557" s="34"/>
      <c r="J557" s="34">
        <v>21</v>
      </c>
      <c r="K557" s="35" t="s">
        <v>64</v>
      </c>
      <c r="L557" s="112" t="s">
        <v>66</v>
      </c>
      <c r="M557" s="112" t="s">
        <v>122</v>
      </c>
      <c r="N557" s="112" t="s">
        <v>59</v>
      </c>
      <c r="O557" s="112" t="s">
        <v>169</v>
      </c>
      <c r="P557" s="112"/>
      <c r="Q557" s="112">
        <v>286.17</v>
      </c>
      <c r="R557" s="112">
        <v>63.22</v>
      </c>
      <c r="S557" s="112">
        <v>162.80000000000001</v>
      </c>
      <c r="T557" s="112">
        <v>50.17</v>
      </c>
      <c r="U557" s="112"/>
      <c r="V557" s="112"/>
      <c r="W557" s="112"/>
      <c r="X557" s="112"/>
      <c r="Y557" s="112"/>
      <c r="Z557" s="112"/>
      <c r="AA557" s="112"/>
      <c r="AB557" s="112"/>
      <c r="AC557" s="112"/>
      <c r="AD557" s="112"/>
      <c r="AE557" s="112"/>
      <c r="AF557" s="112"/>
      <c r="AG557" s="112"/>
      <c r="AH557" s="205"/>
    </row>
    <row r="558" spans="1:34" ht="15.95" customHeight="1" x14ac:dyDescent="0.25">
      <c r="A558" s="115">
        <v>180</v>
      </c>
      <c r="B558" s="112"/>
      <c r="C558" s="182" t="s">
        <v>340</v>
      </c>
      <c r="D558" s="117">
        <v>2015</v>
      </c>
      <c r="E558" s="112" t="s">
        <v>40</v>
      </c>
      <c r="F558" s="112" t="s">
        <v>68</v>
      </c>
      <c r="G558" s="112" t="s">
        <v>178</v>
      </c>
      <c r="H558" s="112">
        <v>20</v>
      </c>
      <c r="I558" s="34"/>
      <c r="J558" s="34">
        <v>21</v>
      </c>
      <c r="K558" s="104" t="s">
        <v>65</v>
      </c>
      <c r="L558" s="112" t="s">
        <v>66</v>
      </c>
      <c r="M558" s="112" t="s">
        <v>122</v>
      </c>
      <c r="N558" s="112" t="s">
        <v>59</v>
      </c>
      <c r="O558" s="112" t="s">
        <v>169</v>
      </c>
      <c r="P558" s="112"/>
      <c r="Q558" s="112">
        <v>287.39999999999998</v>
      </c>
      <c r="R558" s="112" t="s">
        <v>366</v>
      </c>
      <c r="S558" s="112">
        <v>161.4</v>
      </c>
      <c r="T558" s="112">
        <v>40.909999999999997</v>
      </c>
      <c r="U558" s="112"/>
      <c r="V558" s="112"/>
      <c r="W558" s="112"/>
      <c r="X558" s="112"/>
      <c r="Y558" s="112"/>
      <c r="Z558" s="112"/>
      <c r="AA558" s="112"/>
      <c r="AB558" s="112"/>
      <c r="AC558" s="112"/>
      <c r="AD558" s="112"/>
      <c r="AE558" s="112"/>
      <c r="AF558" s="112"/>
      <c r="AG558" s="112"/>
      <c r="AH558" s="205"/>
    </row>
    <row r="559" spans="1:34" ht="15.95" customHeight="1" x14ac:dyDescent="0.25">
      <c r="A559" s="115">
        <v>180</v>
      </c>
      <c r="B559" s="112" t="s">
        <v>367</v>
      </c>
      <c r="C559" s="182" t="s">
        <v>340</v>
      </c>
      <c r="D559" s="117">
        <v>2015</v>
      </c>
      <c r="E559" s="112" t="s">
        <v>40</v>
      </c>
      <c r="F559" s="112" t="s">
        <v>68</v>
      </c>
      <c r="G559" s="112" t="s">
        <v>342</v>
      </c>
      <c r="H559" s="112">
        <v>20</v>
      </c>
      <c r="I559" s="34"/>
      <c r="J559" s="34">
        <v>6</v>
      </c>
      <c r="K559" s="35" t="s">
        <v>64</v>
      </c>
      <c r="L559" s="112" t="s">
        <v>66</v>
      </c>
      <c r="M559" s="112" t="s">
        <v>67</v>
      </c>
      <c r="N559" s="112" t="s">
        <v>59</v>
      </c>
      <c r="O559" s="112" t="s">
        <v>169</v>
      </c>
      <c r="P559" s="112"/>
      <c r="Q559" s="112">
        <v>209.58</v>
      </c>
      <c r="R559" s="112">
        <v>31.07</v>
      </c>
      <c r="S559" s="112">
        <v>147.85</v>
      </c>
      <c r="T559" s="112">
        <v>22.15</v>
      </c>
      <c r="U559" s="112"/>
      <c r="V559" s="112"/>
      <c r="W559" s="112"/>
      <c r="X559" s="112"/>
      <c r="Y559" s="112"/>
      <c r="Z559" s="112"/>
      <c r="AA559" s="112"/>
      <c r="AB559" s="112"/>
      <c r="AC559" s="112"/>
      <c r="AD559" s="112"/>
      <c r="AE559" s="112"/>
      <c r="AF559" s="112"/>
      <c r="AG559" s="112">
        <v>0.71</v>
      </c>
      <c r="AH559" s="205">
        <v>0.11</v>
      </c>
    </row>
    <row r="560" spans="1:34" ht="15.95" customHeight="1" x14ac:dyDescent="0.25">
      <c r="A560" s="115">
        <v>180</v>
      </c>
      <c r="B560" s="112" t="s">
        <v>367</v>
      </c>
      <c r="C560" s="182" t="s">
        <v>340</v>
      </c>
      <c r="D560" s="117">
        <v>2015</v>
      </c>
      <c r="E560" s="112" t="s">
        <v>40</v>
      </c>
      <c r="F560" s="112" t="s">
        <v>68</v>
      </c>
      <c r="G560" s="112" t="s">
        <v>343</v>
      </c>
      <c r="H560" s="112">
        <v>20</v>
      </c>
      <c r="I560" s="34"/>
      <c r="J560" s="34">
        <v>7</v>
      </c>
      <c r="K560" s="35" t="s">
        <v>64</v>
      </c>
      <c r="L560" s="112" t="s">
        <v>66</v>
      </c>
      <c r="M560" s="112" t="s">
        <v>67</v>
      </c>
      <c r="N560" s="112" t="s">
        <v>59</v>
      </c>
      <c r="O560" s="112" t="s">
        <v>169</v>
      </c>
      <c r="P560" s="112"/>
      <c r="Q560" s="112">
        <v>166.22</v>
      </c>
      <c r="R560" s="112">
        <v>36.770000000000003</v>
      </c>
      <c r="S560" s="112">
        <v>118.67</v>
      </c>
      <c r="T560" s="112">
        <v>41.54</v>
      </c>
      <c r="U560" s="112"/>
      <c r="V560" s="112"/>
      <c r="W560" s="112"/>
      <c r="X560" s="112"/>
      <c r="Y560" s="112"/>
      <c r="Z560" s="112"/>
      <c r="AA560" s="112"/>
      <c r="AB560" s="112"/>
      <c r="AC560" s="112"/>
      <c r="AD560" s="112"/>
      <c r="AE560" s="112"/>
      <c r="AF560" s="112"/>
      <c r="AG560" s="112">
        <v>0.69</v>
      </c>
      <c r="AH560" s="205">
        <v>0.18</v>
      </c>
    </row>
    <row r="561" spans="1:34" ht="15.95" customHeight="1" x14ac:dyDescent="0.25">
      <c r="A561" s="115">
        <v>180</v>
      </c>
      <c r="B561" s="112" t="s">
        <v>367</v>
      </c>
      <c r="C561" s="182" t="s">
        <v>340</v>
      </c>
      <c r="D561" s="117">
        <v>2015</v>
      </c>
      <c r="E561" s="112" t="s">
        <v>40</v>
      </c>
      <c r="F561" s="112" t="s">
        <v>68</v>
      </c>
      <c r="G561" s="112" t="s">
        <v>344</v>
      </c>
      <c r="H561" s="112">
        <v>20</v>
      </c>
      <c r="I561" s="34"/>
      <c r="J561" s="34">
        <v>8</v>
      </c>
      <c r="K561" s="35" t="s">
        <v>64</v>
      </c>
      <c r="L561" s="112" t="s">
        <v>66</v>
      </c>
      <c r="M561" s="112" t="s">
        <v>67</v>
      </c>
      <c r="N561" s="112" t="s">
        <v>59</v>
      </c>
      <c r="O561" s="112" t="s">
        <v>169</v>
      </c>
      <c r="P561" s="112"/>
      <c r="Q561" s="112">
        <v>197.85</v>
      </c>
      <c r="R561" s="112">
        <v>35.4</v>
      </c>
      <c r="S561" s="112">
        <v>126.58</v>
      </c>
      <c r="T561" s="112">
        <v>27.34</v>
      </c>
      <c r="U561" s="112"/>
      <c r="V561" s="112"/>
      <c r="W561" s="112"/>
      <c r="X561" s="112"/>
      <c r="Y561" s="112"/>
      <c r="Z561" s="112"/>
      <c r="AA561" s="112"/>
      <c r="AB561" s="112"/>
      <c r="AC561" s="112"/>
      <c r="AD561" s="112"/>
      <c r="AE561" s="112"/>
      <c r="AF561" s="112"/>
      <c r="AG561" s="112">
        <v>0.64</v>
      </c>
      <c r="AH561" s="205">
        <v>0.13</v>
      </c>
    </row>
    <row r="562" spans="1:34" ht="15.95" customHeight="1" x14ac:dyDescent="0.25">
      <c r="A562" s="115">
        <v>180</v>
      </c>
      <c r="B562" s="112" t="s">
        <v>367</v>
      </c>
      <c r="C562" s="182" t="s">
        <v>340</v>
      </c>
      <c r="D562" s="117">
        <v>2015</v>
      </c>
      <c r="E562" s="112" t="s">
        <v>40</v>
      </c>
      <c r="F562" s="112" t="s">
        <v>68</v>
      </c>
      <c r="G562" s="112" t="s">
        <v>342</v>
      </c>
      <c r="H562" s="112">
        <v>20</v>
      </c>
      <c r="I562" s="34"/>
      <c r="J562" s="34">
        <v>6</v>
      </c>
      <c r="K562" s="35" t="s">
        <v>64</v>
      </c>
      <c r="L562" s="112" t="s">
        <v>66</v>
      </c>
      <c r="M562" s="112" t="s">
        <v>122</v>
      </c>
      <c r="N562" s="112" t="s">
        <v>59</v>
      </c>
      <c r="O562" s="112" t="s">
        <v>169</v>
      </c>
      <c r="P562" s="112"/>
      <c r="Q562" s="112">
        <v>344.85</v>
      </c>
      <c r="R562" s="112">
        <v>39.06</v>
      </c>
      <c r="S562" s="112">
        <v>197.9</v>
      </c>
      <c r="T562" s="112">
        <v>42.17</v>
      </c>
      <c r="U562" s="112"/>
      <c r="V562" s="112"/>
      <c r="W562" s="112"/>
      <c r="X562" s="112"/>
      <c r="Y562" s="112"/>
      <c r="Z562" s="112"/>
      <c r="AA562" s="112"/>
      <c r="AB562" s="112"/>
      <c r="AC562" s="112"/>
      <c r="AD562" s="112"/>
      <c r="AE562" s="112"/>
      <c r="AF562" s="112"/>
      <c r="AG562" s="112">
        <v>0.97</v>
      </c>
      <c r="AH562" s="205">
        <v>0.32</v>
      </c>
    </row>
    <row r="563" spans="1:34" ht="15.95" customHeight="1" x14ac:dyDescent="0.25">
      <c r="A563" s="115">
        <v>180</v>
      </c>
      <c r="B563" s="112" t="s">
        <v>367</v>
      </c>
      <c r="C563" s="182" t="s">
        <v>340</v>
      </c>
      <c r="D563" s="117">
        <v>2015</v>
      </c>
      <c r="E563" s="112" t="s">
        <v>40</v>
      </c>
      <c r="F563" s="112" t="s">
        <v>68</v>
      </c>
      <c r="G563" s="112" t="s">
        <v>343</v>
      </c>
      <c r="H563" s="112">
        <v>20</v>
      </c>
      <c r="I563" s="34"/>
      <c r="J563" s="34">
        <v>7</v>
      </c>
      <c r="K563" s="35" t="s">
        <v>64</v>
      </c>
      <c r="L563" s="112" t="s">
        <v>66</v>
      </c>
      <c r="M563" s="112" t="s">
        <v>122</v>
      </c>
      <c r="N563" s="112" t="s">
        <v>59</v>
      </c>
      <c r="O563" s="112" t="s">
        <v>169</v>
      </c>
      <c r="P563" s="112"/>
      <c r="Q563" s="112">
        <v>241.51</v>
      </c>
      <c r="R563" s="112">
        <v>56.76</v>
      </c>
      <c r="S563" s="112">
        <v>138.63999999999999</v>
      </c>
      <c r="T563" s="112">
        <v>45.82</v>
      </c>
      <c r="U563" s="112"/>
      <c r="V563" s="112"/>
      <c r="W563" s="112"/>
      <c r="X563" s="112"/>
      <c r="Y563" s="112"/>
      <c r="Z563" s="112"/>
      <c r="AA563" s="112"/>
      <c r="AB563" s="112"/>
      <c r="AC563" s="112"/>
      <c r="AD563" s="112"/>
      <c r="AE563" s="112"/>
      <c r="AF563" s="112"/>
      <c r="AG563" s="112">
        <v>0.83</v>
      </c>
      <c r="AH563" s="205">
        <v>0.22</v>
      </c>
    </row>
    <row r="564" spans="1:34" ht="15.95" customHeight="1" x14ac:dyDescent="0.25">
      <c r="A564" s="115">
        <v>180</v>
      </c>
      <c r="B564" s="112" t="s">
        <v>367</v>
      </c>
      <c r="C564" s="182" t="s">
        <v>340</v>
      </c>
      <c r="D564" s="117">
        <v>2015</v>
      </c>
      <c r="E564" s="112" t="s">
        <v>40</v>
      </c>
      <c r="F564" s="112" t="s">
        <v>68</v>
      </c>
      <c r="G564" s="112" t="s">
        <v>344</v>
      </c>
      <c r="H564" s="112">
        <v>20</v>
      </c>
      <c r="I564" s="34"/>
      <c r="J564" s="34">
        <v>8</v>
      </c>
      <c r="K564" s="35" t="s">
        <v>64</v>
      </c>
      <c r="L564" s="112" t="s">
        <v>66</v>
      </c>
      <c r="M564" s="112" t="s">
        <v>122</v>
      </c>
      <c r="N564" s="112" t="s">
        <v>59</v>
      </c>
      <c r="O564" s="112" t="s">
        <v>169</v>
      </c>
      <c r="P564" s="112"/>
      <c r="Q564" s="112">
        <v>281.23</v>
      </c>
      <c r="R564" s="112">
        <v>50.95</v>
      </c>
      <c r="S564" s="112">
        <v>157.61000000000001</v>
      </c>
      <c r="T564" s="112">
        <v>49.51</v>
      </c>
      <c r="U564" s="112"/>
      <c r="V564" s="112"/>
      <c r="W564" s="112"/>
      <c r="X564" s="112"/>
      <c r="Y564" s="112"/>
      <c r="Z564" s="112"/>
      <c r="AA564" s="112"/>
      <c r="AB564" s="112"/>
      <c r="AC564" s="112"/>
      <c r="AD564" s="112"/>
      <c r="AE564" s="112"/>
      <c r="AF564" s="112"/>
      <c r="AG564" s="112">
        <v>0.82</v>
      </c>
      <c r="AH564" s="205">
        <v>0.26</v>
      </c>
    </row>
    <row r="565" spans="1:34" ht="15.95" customHeight="1" x14ac:dyDescent="0.25">
      <c r="A565" s="115">
        <v>60</v>
      </c>
      <c r="B565" s="112" t="s">
        <v>131</v>
      </c>
      <c r="C565" s="244" t="s">
        <v>57</v>
      </c>
      <c r="D565" s="34">
        <v>2009</v>
      </c>
      <c r="E565" s="104" t="s">
        <v>44</v>
      </c>
      <c r="F565" s="112" t="s">
        <v>117</v>
      </c>
      <c r="G565" s="35" t="s">
        <v>178</v>
      </c>
      <c r="H565" s="112">
        <v>68.17</v>
      </c>
      <c r="I565" s="34">
        <v>2.82</v>
      </c>
      <c r="J565" s="34">
        <v>60</v>
      </c>
      <c r="K565" s="35" t="s">
        <v>93</v>
      </c>
      <c r="L565" s="112" t="s">
        <v>86</v>
      </c>
      <c r="M565" s="112" t="s">
        <v>67</v>
      </c>
      <c r="N565" s="112" t="s">
        <v>59</v>
      </c>
      <c r="O565" s="35" t="s">
        <v>169</v>
      </c>
      <c r="P565" s="35"/>
      <c r="Q565" s="112">
        <v>67</v>
      </c>
      <c r="R565" s="112">
        <v>1.84</v>
      </c>
      <c r="S565" s="112"/>
      <c r="T565" s="112"/>
      <c r="U565" s="112"/>
      <c r="V565" s="112"/>
      <c r="W565" s="112"/>
      <c r="X565" s="112"/>
      <c r="Y565" s="112">
        <v>46</v>
      </c>
      <c r="Z565" s="112">
        <v>1.32</v>
      </c>
      <c r="AA565" s="112"/>
      <c r="AB565" s="112"/>
      <c r="AC565" s="112">
        <v>228</v>
      </c>
      <c r="AD565" s="112">
        <v>2.63</v>
      </c>
      <c r="AE565" s="112"/>
      <c r="AF565" s="112"/>
      <c r="AG565" s="112"/>
      <c r="AH565" s="205"/>
    </row>
    <row r="566" spans="1:34" ht="15.95" customHeight="1" x14ac:dyDescent="0.25">
      <c r="A566" s="115">
        <v>60</v>
      </c>
      <c r="B566" s="112" t="s">
        <v>131</v>
      </c>
      <c r="C566" s="244" t="s">
        <v>57</v>
      </c>
      <c r="D566" s="34">
        <v>2009</v>
      </c>
      <c r="E566" s="104" t="s">
        <v>44</v>
      </c>
      <c r="F566" s="112" t="s">
        <v>117</v>
      </c>
      <c r="G566" s="35" t="s">
        <v>178</v>
      </c>
      <c r="H566" s="112">
        <v>68.17</v>
      </c>
      <c r="I566" s="34">
        <v>2.82</v>
      </c>
      <c r="J566" s="34">
        <v>60</v>
      </c>
      <c r="K566" s="35" t="s">
        <v>92</v>
      </c>
      <c r="L566" s="112" t="s">
        <v>86</v>
      </c>
      <c r="M566" s="112" t="s">
        <v>67</v>
      </c>
      <c r="N566" s="112" t="s">
        <v>59</v>
      </c>
      <c r="O566" s="35" t="s">
        <v>169</v>
      </c>
      <c r="P566" s="35"/>
      <c r="Q566" s="112">
        <v>52</v>
      </c>
      <c r="R566" s="112">
        <v>2.33</v>
      </c>
      <c r="S566" s="112"/>
      <c r="T566" s="112"/>
      <c r="U566" s="112"/>
      <c r="V566" s="112"/>
      <c r="W566" s="112"/>
      <c r="X566" s="112"/>
      <c r="Y566" s="112">
        <v>31.32</v>
      </c>
      <c r="Z566" s="112">
        <v>1.02</v>
      </c>
      <c r="AA566" s="112"/>
      <c r="AB566" s="112"/>
      <c r="AC566" s="112">
        <v>117</v>
      </c>
      <c r="AD566" s="112">
        <v>1.56</v>
      </c>
      <c r="AE566" s="112"/>
      <c r="AF566" s="112"/>
      <c r="AG566" s="112"/>
      <c r="AH566" s="205"/>
    </row>
    <row r="567" spans="1:34" ht="15.95" customHeight="1" x14ac:dyDescent="0.25">
      <c r="A567" s="115">
        <v>180</v>
      </c>
      <c r="B567" s="112" t="s">
        <v>131</v>
      </c>
      <c r="C567" s="244" t="s">
        <v>57</v>
      </c>
      <c r="D567" s="34">
        <v>2009</v>
      </c>
      <c r="E567" s="104" t="s">
        <v>44</v>
      </c>
      <c r="F567" s="112" t="s">
        <v>117</v>
      </c>
      <c r="G567" s="35" t="s">
        <v>178</v>
      </c>
      <c r="H567" s="112">
        <v>68.17</v>
      </c>
      <c r="I567" s="34">
        <v>2.82</v>
      </c>
      <c r="J567" s="34">
        <v>60</v>
      </c>
      <c r="K567" s="35" t="s">
        <v>93</v>
      </c>
      <c r="L567" s="112" t="s">
        <v>86</v>
      </c>
      <c r="M567" s="112" t="s">
        <v>67</v>
      </c>
      <c r="N567" s="112" t="s">
        <v>59</v>
      </c>
      <c r="O567" s="35" t="s">
        <v>169</v>
      </c>
      <c r="P567" s="35"/>
      <c r="Q567" s="112">
        <v>52</v>
      </c>
      <c r="R567" s="112">
        <v>2.13</v>
      </c>
      <c r="S567" s="112"/>
      <c r="T567" s="112"/>
      <c r="U567" s="112"/>
      <c r="V567" s="112"/>
      <c r="W567" s="112"/>
      <c r="X567" s="112"/>
      <c r="Y567" s="112">
        <v>32.299999999999997</v>
      </c>
      <c r="Z567" s="112">
        <v>1.82</v>
      </c>
      <c r="AA567" s="112"/>
      <c r="AB567" s="112"/>
      <c r="AC567" s="112">
        <v>178</v>
      </c>
      <c r="AD567" s="112">
        <v>3.68</v>
      </c>
      <c r="AE567" s="112"/>
      <c r="AF567" s="112"/>
      <c r="AG567" s="112"/>
      <c r="AH567" s="205"/>
    </row>
    <row r="568" spans="1:34" ht="15.95" customHeight="1" x14ac:dyDescent="0.25">
      <c r="A568" s="115">
        <v>180</v>
      </c>
      <c r="B568" s="112" t="s">
        <v>131</v>
      </c>
      <c r="C568" s="244" t="s">
        <v>57</v>
      </c>
      <c r="D568" s="34">
        <v>2009</v>
      </c>
      <c r="E568" s="104" t="s">
        <v>44</v>
      </c>
      <c r="F568" s="112" t="s">
        <v>117</v>
      </c>
      <c r="G568" s="35" t="s">
        <v>178</v>
      </c>
      <c r="H568" s="112">
        <v>68.17</v>
      </c>
      <c r="I568" s="34">
        <v>2.82</v>
      </c>
      <c r="J568" s="34">
        <v>60</v>
      </c>
      <c r="K568" s="35" t="s">
        <v>92</v>
      </c>
      <c r="L568" s="112" t="s">
        <v>86</v>
      </c>
      <c r="M568" s="112" t="s">
        <v>67</v>
      </c>
      <c r="N568" s="112" t="s">
        <v>59</v>
      </c>
      <c r="O568" s="35" t="s">
        <v>169</v>
      </c>
      <c r="P568" s="35"/>
      <c r="Q568" s="112">
        <v>45</v>
      </c>
      <c r="R568" s="112">
        <v>3.26</v>
      </c>
      <c r="S568" s="112"/>
      <c r="T568" s="112"/>
      <c r="U568" s="112"/>
      <c r="V568" s="112"/>
      <c r="W568" s="112"/>
      <c r="X568" s="112"/>
      <c r="Y568" s="112">
        <v>24</v>
      </c>
      <c r="Z568" s="112">
        <v>2.21</v>
      </c>
      <c r="AA568" s="112"/>
      <c r="AB568" s="112"/>
      <c r="AC568" s="112">
        <v>200</v>
      </c>
      <c r="AD568" s="112">
        <v>2.58</v>
      </c>
      <c r="AE568" s="112"/>
      <c r="AF568" s="112"/>
      <c r="AG568" s="112"/>
      <c r="AH568" s="205"/>
    </row>
    <row r="569" spans="1:34" ht="15.95" customHeight="1" x14ac:dyDescent="0.25">
      <c r="A569" s="134">
        <v>60</v>
      </c>
      <c r="B569" s="112" t="s">
        <v>292</v>
      </c>
      <c r="C569" s="228" t="s">
        <v>291</v>
      </c>
      <c r="D569" s="34">
        <v>2020</v>
      </c>
      <c r="E569" s="112" t="s">
        <v>80</v>
      </c>
      <c r="F569" s="112" t="s">
        <v>60</v>
      </c>
      <c r="G569" s="112" t="s">
        <v>178</v>
      </c>
      <c r="H569" s="112"/>
      <c r="I569" s="34"/>
      <c r="J569" s="34">
        <v>26</v>
      </c>
      <c r="K569" s="35" t="s">
        <v>93</v>
      </c>
      <c r="L569" s="112" t="s">
        <v>66</v>
      </c>
      <c r="M569" s="112" t="s">
        <v>67</v>
      </c>
      <c r="N569" s="112" t="s">
        <v>293</v>
      </c>
      <c r="O569" s="35" t="s">
        <v>169</v>
      </c>
      <c r="P569" s="35"/>
      <c r="Q569" s="112">
        <v>258.39999999999998</v>
      </c>
      <c r="R569" s="112">
        <v>58</v>
      </c>
      <c r="S569" s="112">
        <v>153.30000000000001</v>
      </c>
      <c r="T569" s="112">
        <v>29.7</v>
      </c>
      <c r="U569" s="112"/>
      <c r="V569" s="112"/>
      <c r="W569" s="112"/>
      <c r="X569" s="112"/>
      <c r="Y569" s="112"/>
      <c r="Z569" s="112"/>
      <c r="AA569" s="112"/>
      <c r="AB569" s="112"/>
      <c r="AC569" s="112"/>
      <c r="AD569" s="112"/>
      <c r="AE569" s="112"/>
      <c r="AF569" s="112"/>
      <c r="AG569" s="112"/>
      <c r="AH569" s="205"/>
    </row>
    <row r="570" spans="1:34" ht="15.95" customHeight="1" x14ac:dyDescent="0.25">
      <c r="A570" s="134">
        <v>60</v>
      </c>
      <c r="B570" s="112" t="s">
        <v>292</v>
      </c>
      <c r="C570" s="228" t="s">
        <v>291</v>
      </c>
      <c r="D570" s="34">
        <v>2020</v>
      </c>
      <c r="E570" s="112" t="s">
        <v>80</v>
      </c>
      <c r="F570" s="112" t="s">
        <v>60</v>
      </c>
      <c r="G570" s="112" t="s">
        <v>178</v>
      </c>
      <c r="H570" s="112"/>
      <c r="I570" s="34"/>
      <c r="J570" s="34">
        <v>26</v>
      </c>
      <c r="K570" s="35" t="s">
        <v>92</v>
      </c>
      <c r="L570" s="112" t="s">
        <v>66</v>
      </c>
      <c r="M570" s="112" t="s">
        <v>67</v>
      </c>
      <c r="N570" s="112" t="s">
        <v>293</v>
      </c>
      <c r="O570" s="35" t="s">
        <v>169</v>
      </c>
      <c r="P570" s="35"/>
      <c r="Q570" s="112">
        <v>235.2</v>
      </c>
      <c r="R570" s="112">
        <v>58.1</v>
      </c>
      <c r="S570" s="34"/>
      <c r="T570" s="34"/>
      <c r="U570" s="112"/>
      <c r="V570" s="112"/>
      <c r="W570" s="112"/>
      <c r="X570" s="112"/>
      <c r="Y570" s="112"/>
      <c r="Z570" s="112"/>
      <c r="AA570" s="112"/>
      <c r="AB570" s="112"/>
      <c r="AC570" s="112"/>
      <c r="AD570" s="112"/>
      <c r="AE570" s="112"/>
      <c r="AF570" s="112"/>
      <c r="AG570" s="112"/>
      <c r="AH570" s="205"/>
    </row>
    <row r="571" spans="1:34" ht="15.95" customHeight="1" x14ac:dyDescent="0.25">
      <c r="A571" s="115">
        <v>60</v>
      </c>
      <c r="B571" s="112"/>
      <c r="C571" s="228" t="s">
        <v>291</v>
      </c>
      <c r="D571" s="117">
        <v>2020</v>
      </c>
      <c r="E571" s="112" t="s">
        <v>80</v>
      </c>
      <c r="F571" s="112" t="s">
        <v>60</v>
      </c>
      <c r="G571" s="112" t="s">
        <v>178</v>
      </c>
      <c r="H571" s="112">
        <v>22</v>
      </c>
      <c r="I571" s="34"/>
      <c r="J571" s="34">
        <v>26</v>
      </c>
      <c r="K571" s="35" t="s">
        <v>93</v>
      </c>
      <c r="L571" s="112" t="s">
        <v>66</v>
      </c>
      <c r="M571" s="112" t="s">
        <v>67</v>
      </c>
      <c r="N571" s="112" t="s">
        <v>293</v>
      </c>
      <c r="O571" s="112" t="s">
        <v>169</v>
      </c>
      <c r="P571" s="112"/>
      <c r="Q571" s="112">
        <v>258.39999999999998</v>
      </c>
      <c r="R571" s="112">
        <v>58</v>
      </c>
      <c r="S571" s="112">
        <v>153.30000000000001</v>
      </c>
      <c r="T571" s="112">
        <v>29.7</v>
      </c>
      <c r="U571" s="112"/>
      <c r="V571" s="112"/>
      <c r="W571" s="112"/>
      <c r="X571" s="112"/>
      <c r="Y571" s="112"/>
      <c r="Z571" s="112"/>
      <c r="AA571" s="112"/>
      <c r="AB571" s="112"/>
      <c r="AC571" s="112"/>
      <c r="AD571" s="112"/>
      <c r="AE571" s="112"/>
      <c r="AF571" s="112"/>
      <c r="AG571" s="112"/>
      <c r="AH571" s="205"/>
    </row>
    <row r="572" spans="1:34" ht="15.95" customHeight="1" x14ac:dyDescent="0.25">
      <c r="A572" s="115">
        <v>60</v>
      </c>
      <c r="B572" s="112"/>
      <c r="C572" s="228" t="s">
        <v>291</v>
      </c>
      <c r="D572" s="117">
        <v>2020</v>
      </c>
      <c r="E572" s="112" t="s">
        <v>80</v>
      </c>
      <c r="F572" s="112" t="s">
        <v>60</v>
      </c>
      <c r="G572" s="112" t="s">
        <v>178</v>
      </c>
      <c r="H572" s="112">
        <v>22</v>
      </c>
      <c r="I572" s="34"/>
      <c r="J572" s="34">
        <v>26</v>
      </c>
      <c r="K572" s="35" t="s">
        <v>92</v>
      </c>
      <c r="L572" s="112" t="s">
        <v>66</v>
      </c>
      <c r="M572" s="112" t="s">
        <v>67</v>
      </c>
      <c r="N572" s="112" t="s">
        <v>293</v>
      </c>
      <c r="O572" s="112" t="s">
        <v>169</v>
      </c>
      <c r="P572" s="112"/>
      <c r="Q572" s="112">
        <v>235.2</v>
      </c>
      <c r="R572" s="112">
        <v>58</v>
      </c>
      <c r="S572" s="112">
        <v>146</v>
      </c>
      <c r="T572" s="112">
        <v>38</v>
      </c>
      <c r="U572" s="112"/>
      <c r="V572" s="112"/>
      <c r="W572" s="112"/>
      <c r="X572" s="112"/>
      <c r="Y572" s="112"/>
      <c r="Z572" s="112"/>
      <c r="AA572" s="112"/>
      <c r="AB572" s="112"/>
      <c r="AC572" s="112"/>
      <c r="AD572" s="112"/>
      <c r="AE572" s="112"/>
      <c r="AF572" s="112"/>
      <c r="AG572" s="112"/>
      <c r="AH572" s="205"/>
    </row>
    <row r="573" spans="1:34" ht="15.95" customHeight="1" x14ac:dyDescent="0.25">
      <c r="A573" s="115">
        <v>300</v>
      </c>
      <c r="B573" s="112"/>
      <c r="C573" s="228" t="s">
        <v>291</v>
      </c>
      <c r="D573" s="117">
        <v>2020</v>
      </c>
      <c r="E573" s="112" t="s">
        <v>80</v>
      </c>
      <c r="F573" s="112" t="s">
        <v>60</v>
      </c>
      <c r="G573" s="112" t="s">
        <v>178</v>
      </c>
      <c r="H573" s="112">
        <v>22</v>
      </c>
      <c r="I573" s="34"/>
      <c r="J573" s="34">
        <v>26</v>
      </c>
      <c r="K573" s="35" t="s">
        <v>93</v>
      </c>
      <c r="L573" s="112" t="s">
        <v>66</v>
      </c>
      <c r="M573" s="112" t="s">
        <v>67</v>
      </c>
      <c r="N573" s="112" t="s">
        <v>293</v>
      </c>
      <c r="O573" s="112" t="s">
        <v>169</v>
      </c>
      <c r="P573" s="112"/>
      <c r="Q573" s="112">
        <v>92.4</v>
      </c>
      <c r="R573" s="112">
        <v>29.6</v>
      </c>
      <c r="S573" s="112">
        <v>72.099999999999994</v>
      </c>
      <c r="T573" s="112">
        <v>25.5</v>
      </c>
      <c r="U573" s="112"/>
      <c r="V573" s="112"/>
      <c r="W573" s="112"/>
      <c r="X573" s="112"/>
      <c r="Y573" s="112"/>
      <c r="Z573" s="112"/>
      <c r="AA573" s="112"/>
      <c r="AB573" s="112"/>
      <c r="AC573" s="112"/>
      <c r="AD573" s="112"/>
      <c r="AE573" s="112"/>
      <c r="AF573" s="112"/>
      <c r="AG573" s="112"/>
      <c r="AH573" s="205"/>
    </row>
    <row r="574" spans="1:34" ht="15.95" customHeight="1" x14ac:dyDescent="0.25">
      <c r="A574" s="115">
        <v>300</v>
      </c>
      <c r="B574" s="112"/>
      <c r="C574" s="228" t="s">
        <v>291</v>
      </c>
      <c r="D574" s="117">
        <v>2020</v>
      </c>
      <c r="E574" s="112" t="s">
        <v>80</v>
      </c>
      <c r="F574" s="112" t="s">
        <v>60</v>
      </c>
      <c r="G574" s="112" t="s">
        <v>178</v>
      </c>
      <c r="H574" s="112">
        <v>22</v>
      </c>
      <c r="I574" s="34"/>
      <c r="J574" s="34">
        <v>26</v>
      </c>
      <c r="K574" s="35" t="s">
        <v>92</v>
      </c>
      <c r="L574" s="112" t="s">
        <v>66</v>
      </c>
      <c r="M574" s="112" t="s">
        <v>67</v>
      </c>
      <c r="N574" s="112" t="s">
        <v>293</v>
      </c>
      <c r="O574" s="112" t="s">
        <v>169</v>
      </c>
      <c r="P574" s="112"/>
      <c r="Q574" s="112">
        <v>97.8</v>
      </c>
      <c r="R574" s="112">
        <v>24.3</v>
      </c>
      <c r="S574" s="112">
        <v>74.900000000000006</v>
      </c>
      <c r="T574" s="112">
        <v>23.4</v>
      </c>
      <c r="U574" s="112"/>
      <c r="V574" s="112"/>
      <c r="W574" s="112"/>
      <c r="X574" s="112"/>
      <c r="Y574" s="112"/>
      <c r="Z574" s="112"/>
      <c r="AA574" s="112"/>
      <c r="AB574" s="112"/>
      <c r="AC574" s="112"/>
      <c r="AD574" s="112"/>
      <c r="AE574" s="112"/>
      <c r="AF574" s="112"/>
      <c r="AG574" s="112"/>
      <c r="AH574" s="205"/>
    </row>
    <row r="575" spans="1:34" ht="15.95" customHeight="1" x14ac:dyDescent="0.25">
      <c r="A575" s="115">
        <v>60</v>
      </c>
      <c r="B575" s="112" t="s">
        <v>77</v>
      </c>
      <c r="C575" s="228" t="s">
        <v>76</v>
      </c>
      <c r="D575" s="120">
        <v>2000</v>
      </c>
      <c r="E575" s="112" t="s">
        <v>37</v>
      </c>
      <c r="F575" s="112" t="s">
        <v>68</v>
      </c>
      <c r="G575" s="35" t="s">
        <v>178</v>
      </c>
      <c r="H575" s="112">
        <v>20.92</v>
      </c>
      <c r="I575" s="34">
        <v>3.03</v>
      </c>
      <c r="J575" s="34">
        <v>12</v>
      </c>
      <c r="K575" s="35" t="s">
        <v>64</v>
      </c>
      <c r="L575" s="112" t="s">
        <v>66</v>
      </c>
      <c r="M575" s="112" t="s">
        <v>67</v>
      </c>
      <c r="N575" s="112" t="s">
        <v>58</v>
      </c>
      <c r="O575" s="112" t="s">
        <v>169</v>
      </c>
      <c r="P575" s="112"/>
      <c r="Q575" s="112">
        <v>287.16000000000003</v>
      </c>
      <c r="R575" s="112">
        <v>62.94</v>
      </c>
      <c r="S575" s="112">
        <v>187.66</v>
      </c>
      <c r="T575" s="112">
        <v>44.64</v>
      </c>
      <c r="U575" s="124"/>
      <c r="V575" s="124"/>
      <c r="W575" s="124"/>
      <c r="X575" s="124"/>
      <c r="Y575" s="112"/>
      <c r="Z575" s="112"/>
      <c r="AA575" s="112"/>
      <c r="AB575" s="112"/>
      <c r="AC575" s="112">
        <v>315.91000000000003</v>
      </c>
      <c r="AD575" s="112">
        <v>85.61</v>
      </c>
      <c r="AE575" s="112">
        <v>211.5</v>
      </c>
      <c r="AF575" s="112">
        <v>51.42</v>
      </c>
      <c r="AG575" s="112">
        <v>65.5</v>
      </c>
      <c r="AH575" s="205">
        <v>6.3</v>
      </c>
    </row>
    <row r="576" spans="1:34" ht="15.95" customHeight="1" x14ac:dyDescent="0.25">
      <c r="A576" s="115">
        <v>60</v>
      </c>
      <c r="B576" s="112" t="s">
        <v>77</v>
      </c>
      <c r="C576" s="228" t="s">
        <v>76</v>
      </c>
      <c r="D576" s="120">
        <v>2000</v>
      </c>
      <c r="E576" s="112" t="s">
        <v>37</v>
      </c>
      <c r="F576" s="112" t="s">
        <v>68</v>
      </c>
      <c r="G576" s="35" t="s">
        <v>178</v>
      </c>
      <c r="H576" s="112">
        <v>20.92</v>
      </c>
      <c r="I576" s="34">
        <v>3.03</v>
      </c>
      <c r="J576" s="34">
        <v>12</v>
      </c>
      <c r="K576" s="35" t="s">
        <v>65</v>
      </c>
      <c r="L576" s="112" t="s">
        <v>66</v>
      </c>
      <c r="M576" s="112" t="s">
        <v>67</v>
      </c>
      <c r="N576" s="112" t="s">
        <v>58</v>
      </c>
      <c r="O576" s="112" t="s">
        <v>169</v>
      </c>
      <c r="P576" s="112"/>
      <c r="Q576" s="112">
        <v>274.08</v>
      </c>
      <c r="R576" s="112">
        <v>51.54</v>
      </c>
      <c r="S576" s="112">
        <v>174.916</v>
      </c>
      <c r="T576" s="112">
        <v>48.93</v>
      </c>
      <c r="U576" s="124"/>
      <c r="V576" s="124"/>
      <c r="W576" s="124"/>
      <c r="X576" s="124"/>
      <c r="Y576" s="112"/>
      <c r="Z576" s="112"/>
      <c r="AA576" s="112"/>
      <c r="AB576" s="112"/>
      <c r="AC576" s="112">
        <v>303.75</v>
      </c>
      <c r="AD576" s="112">
        <v>64.44</v>
      </c>
      <c r="AE576" s="112">
        <v>194.25</v>
      </c>
      <c r="AF576" s="112">
        <v>50.25</v>
      </c>
      <c r="AG576" s="112">
        <v>65.5</v>
      </c>
      <c r="AH576" s="205">
        <v>6.3</v>
      </c>
    </row>
    <row r="577" spans="1:34" ht="15.95" customHeight="1" x14ac:dyDescent="0.25">
      <c r="A577" s="115">
        <v>180</v>
      </c>
      <c r="B577" s="112" t="s">
        <v>77</v>
      </c>
      <c r="C577" s="228" t="s">
        <v>76</v>
      </c>
      <c r="D577" s="120">
        <v>2000</v>
      </c>
      <c r="E577" s="112" t="s">
        <v>37</v>
      </c>
      <c r="F577" s="112" t="s">
        <v>68</v>
      </c>
      <c r="G577" s="35" t="s">
        <v>178</v>
      </c>
      <c r="H577" s="112">
        <v>20.92</v>
      </c>
      <c r="I577" s="34">
        <v>3.03</v>
      </c>
      <c r="J577" s="34">
        <v>12</v>
      </c>
      <c r="K577" s="35" t="s">
        <v>64</v>
      </c>
      <c r="L577" s="112" t="s">
        <v>66</v>
      </c>
      <c r="M577" s="112" t="s">
        <v>67</v>
      </c>
      <c r="N577" s="112" t="s">
        <v>58</v>
      </c>
      <c r="O577" s="112" t="s">
        <v>169</v>
      </c>
      <c r="P577" s="112"/>
      <c r="Q577" s="112">
        <v>151.66</v>
      </c>
      <c r="R577" s="112">
        <v>37.53</v>
      </c>
      <c r="S577" s="112">
        <v>127.25</v>
      </c>
      <c r="T577" s="112">
        <v>29.22</v>
      </c>
      <c r="U577" s="124"/>
      <c r="V577" s="124"/>
      <c r="W577" s="124"/>
      <c r="X577" s="124"/>
      <c r="Y577" s="112"/>
      <c r="Z577" s="112"/>
      <c r="AA577" s="112"/>
      <c r="AB577" s="112"/>
      <c r="AC577" s="112">
        <v>172.91</v>
      </c>
      <c r="AD577" s="112">
        <v>37.369999999999997</v>
      </c>
      <c r="AE577" s="112">
        <v>136.75</v>
      </c>
      <c r="AF577" s="112"/>
      <c r="AG577" s="112">
        <v>84.66</v>
      </c>
      <c r="AH577" s="205">
        <v>8.64</v>
      </c>
    </row>
    <row r="578" spans="1:34" ht="15.95" customHeight="1" x14ac:dyDescent="0.25">
      <c r="A578" s="115">
        <v>180</v>
      </c>
      <c r="B578" s="112" t="s">
        <v>77</v>
      </c>
      <c r="C578" s="228" t="s">
        <v>76</v>
      </c>
      <c r="D578" s="120">
        <v>2000</v>
      </c>
      <c r="E578" s="112" t="s">
        <v>37</v>
      </c>
      <c r="F578" s="112" t="s">
        <v>68</v>
      </c>
      <c r="G578" s="35" t="s">
        <v>178</v>
      </c>
      <c r="H578" s="112">
        <v>20.92</v>
      </c>
      <c r="I578" s="34">
        <v>3.03</v>
      </c>
      <c r="J578" s="34">
        <v>12</v>
      </c>
      <c r="K578" s="35" t="s">
        <v>65</v>
      </c>
      <c r="L578" s="112" t="s">
        <v>66</v>
      </c>
      <c r="M578" s="112" t="s">
        <v>67</v>
      </c>
      <c r="N578" s="112" t="s">
        <v>58</v>
      </c>
      <c r="O578" s="112" t="s">
        <v>169</v>
      </c>
      <c r="P578" s="112"/>
      <c r="Q578" s="112">
        <v>154.75</v>
      </c>
      <c r="R578" s="112">
        <v>41.82</v>
      </c>
      <c r="S578" s="112">
        <v>127.58</v>
      </c>
      <c r="T578" s="112">
        <v>33.04</v>
      </c>
      <c r="U578" s="124"/>
      <c r="V578" s="124"/>
      <c r="W578" s="124"/>
      <c r="X578" s="124"/>
      <c r="Y578" s="112"/>
      <c r="Z578" s="112"/>
      <c r="AA578" s="112"/>
      <c r="AB578" s="112"/>
      <c r="AC578" s="112">
        <v>170.58</v>
      </c>
      <c r="AD578" s="112">
        <v>41.26</v>
      </c>
      <c r="AE578" s="112">
        <v>130.83000000000001</v>
      </c>
      <c r="AF578" s="112"/>
      <c r="AG578" s="112">
        <v>84.66</v>
      </c>
      <c r="AH578" s="205">
        <v>8.64</v>
      </c>
    </row>
    <row r="579" spans="1:34" ht="15.95" customHeight="1" x14ac:dyDescent="0.25">
      <c r="A579" s="115">
        <v>60</v>
      </c>
      <c r="B579" s="112" t="s">
        <v>119</v>
      </c>
      <c r="C579" s="228" t="s">
        <v>51</v>
      </c>
      <c r="D579" s="122">
        <v>2023</v>
      </c>
      <c r="E579" s="104" t="s">
        <v>44</v>
      </c>
      <c r="F579" s="112" t="s">
        <v>130</v>
      </c>
      <c r="G579" s="35" t="s">
        <v>178</v>
      </c>
      <c r="H579" s="112">
        <v>35.5</v>
      </c>
      <c r="I579" s="34">
        <v>10.5</v>
      </c>
      <c r="J579" s="34">
        <v>18</v>
      </c>
      <c r="K579" s="35" t="s">
        <v>64</v>
      </c>
      <c r="L579" s="112" t="s">
        <v>66</v>
      </c>
      <c r="M579" s="112" t="s">
        <v>67</v>
      </c>
      <c r="N579" s="35" t="s">
        <v>59</v>
      </c>
      <c r="O579" s="35" t="s">
        <v>169</v>
      </c>
      <c r="P579" s="35"/>
      <c r="Q579" s="34">
        <v>185.4</v>
      </c>
      <c r="R579" s="35">
        <v>63.7</v>
      </c>
      <c r="S579" s="34">
        <v>93.7</v>
      </c>
      <c r="T579" s="35">
        <v>28.4</v>
      </c>
      <c r="U579" s="112"/>
      <c r="V579" s="112"/>
      <c r="W579" s="112"/>
      <c r="X579" s="112"/>
      <c r="Y579" s="112"/>
      <c r="Z579" s="112"/>
      <c r="AA579" s="112"/>
      <c r="AB579" s="112"/>
      <c r="AC579" s="112"/>
      <c r="AD579" s="112"/>
      <c r="AE579" s="112"/>
      <c r="AF579" s="112"/>
      <c r="AG579" s="112"/>
      <c r="AH579" s="205"/>
    </row>
    <row r="580" spans="1:34" ht="15.95" customHeight="1" x14ac:dyDescent="0.25">
      <c r="A580" s="115">
        <v>60</v>
      </c>
      <c r="B580" s="112" t="s">
        <v>119</v>
      </c>
      <c r="C580" s="228" t="s">
        <v>51</v>
      </c>
      <c r="D580" s="122">
        <v>2023</v>
      </c>
      <c r="E580" s="104" t="s">
        <v>44</v>
      </c>
      <c r="F580" s="112" t="s">
        <v>130</v>
      </c>
      <c r="G580" s="35" t="s">
        <v>178</v>
      </c>
      <c r="H580" s="112">
        <v>35.5</v>
      </c>
      <c r="I580" s="34">
        <v>10.5</v>
      </c>
      <c r="J580" s="34">
        <v>18</v>
      </c>
      <c r="K580" s="35" t="s">
        <v>65</v>
      </c>
      <c r="L580" s="112" t="s">
        <v>66</v>
      </c>
      <c r="M580" s="112" t="s">
        <v>67</v>
      </c>
      <c r="N580" s="35" t="s">
        <v>59</v>
      </c>
      <c r="O580" s="35" t="s">
        <v>169</v>
      </c>
      <c r="P580" s="35"/>
      <c r="Q580" s="34">
        <v>187.2</v>
      </c>
      <c r="R580" s="35">
        <v>58.9</v>
      </c>
      <c r="S580" s="34">
        <v>98.8</v>
      </c>
      <c r="T580" s="35">
        <v>34.200000000000003</v>
      </c>
      <c r="U580" s="112"/>
      <c r="V580" s="112"/>
      <c r="W580" s="112"/>
      <c r="X580" s="112"/>
      <c r="Y580" s="112"/>
      <c r="Z580" s="112"/>
      <c r="AA580" s="112"/>
      <c r="AB580" s="112"/>
      <c r="AC580" s="112"/>
      <c r="AD580" s="112"/>
      <c r="AE580" s="112"/>
      <c r="AF580" s="112"/>
      <c r="AG580" s="112"/>
      <c r="AH580" s="205"/>
    </row>
    <row r="581" spans="1:34" ht="15.95" customHeight="1" x14ac:dyDescent="0.25">
      <c r="A581" s="115">
        <v>60</v>
      </c>
      <c r="B581" t="s">
        <v>351</v>
      </c>
      <c r="C581" s="182" t="s">
        <v>348</v>
      </c>
      <c r="D581" s="117">
        <v>2025</v>
      </c>
      <c r="E581" s="112" t="s">
        <v>40</v>
      </c>
      <c r="F581" s="112" t="s">
        <v>95</v>
      </c>
      <c r="G581" s="112" t="s">
        <v>349</v>
      </c>
      <c r="H581" s="112">
        <v>14.53</v>
      </c>
      <c r="I581" s="34">
        <v>0.68</v>
      </c>
      <c r="J581" s="34">
        <v>6</v>
      </c>
      <c r="K581" s="35" t="s">
        <v>178</v>
      </c>
      <c r="L581" s="112" t="s">
        <v>66</v>
      </c>
      <c r="M581" s="112" t="s">
        <v>67</v>
      </c>
      <c r="N581" s="112" t="s">
        <v>59</v>
      </c>
      <c r="O581" s="112" t="s">
        <v>169</v>
      </c>
      <c r="P581" s="112"/>
      <c r="Q581" s="112">
        <v>189</v>
      </c>
      <c r="R581" s="112">
        <v>56</v>
      </c>
      <c r="S581" s="112">
        <v>109</v>
      </c>
      <c r="T581" s="112">
        <v>40</v>
      </c>
      <c r="U581" s="112"/>
      <c r="V581" s="112"/>
      <c r="W581" s="112"/>
      <c r="X581" s="112"/>
      <c r="Y581" s="112">
        <v>121</v>
      </c>
      <c r="Z581" s="112">
        <v>35</v>
      </c>
      <c r="AA581" s="112">
        <v>68</v>
      </c>
      <c r="AB581" s="112">
        <v>28</v>
      </c>
      <c r="AC581" s="112">
        <v>497</v>
      </c>
      <c r="AD581" s="112">
        <v>138</v>
      </c>
      <c r="AE581" s="112">
        <v>325</v>
      </c>
      <c r="AF581" s="112">
        <v>136</v>
      </c>
      <c r="AG581" s="112">
        <v>0.56999999999999995</v>
      </c>
      <c r="AH581" s="205"/>
    </row>
    <row r="582" spans="1:34" ht="15.95" customHeight="1" x14ac:dyDescent="0.25">
      <c r="A582" s="115">
        <v>60</v>
      </c>
      <c r="B582" t="s">
        <v>351</v>
      </c>
      <c r="C582" s="182" t="s">
        <v>348</v>
      </c>
      <c r="D582" s="117">
        <v>2025</v>
      </c>
      <c r="E582" s="112" t="s">
        <v>40</v>
      </c>
      <c r="F582" s="112" t="s">
        <v>95</v>
      </c>
      <c r="G582" s="112" t="s">
        <v>342</v>
      </c>
      <c r="H582" s="112">
        <v>14.2</v>
      </c>
      <c r="I582" s="34">
        <v>0.4</v>
      </c>
      <c r="J582" s="34">
        <v>13</v>
      </c>
      <c r="K582" s="35" t="s">
        <v>178</v>
      </c>
      <c r="L582" s="112" t="s">
        <v>66</v>
      </c>
      <c r="M582" s="112" t="s">
        <v>67</v>
      </c>
      <c r="N582" s="112" t="s">
        <v>59</v>
      </c>
      <c r="O582" s="112" t="s">
        <v>169</v>
      </c>
      <c r="P582" s="112"/>
      <c r="Q582" s="112">
        <v>158</v>
      </c>
      <c r="R582" s="112">
        <v>35</v>
      </c>
      <c r="S582" s="112">
        <v>84</v>
      </c>
      <c r="T582" s="112">
        <v>21</v>
      </c>
      <c r="U582" s="112"/>
      <c r="V582" s="112"/>
      <c r="W582" s="112"/>
      <c r="X582" s="112"/>
      <c r="Y582" s="112">
        <v>104</v>
      </c>
      <c r="Z582" s="112">
        <v>23</v>
      </c>
      <c r="AA582" s="112">
        <v>58</v>
      </c>
      <c r="AB582" s="112">
        <v>16</v>
      </c>
      <c r="AC582" s="112">
        <v>483</v>
      </c>
      <c r="AD582" s="112">
        <v>109</v>
      </c>
      <c r="AE582" s="112">
        <v>293</v>
      </c>
      <c r="AF582" s="112">
        <v>83</v>
      </c>
      <c r="AG582" s="112">
        <v>0.53</v>
      </c>
      <c r="AH582" s="205"/>
    </row>
    <row r="583" spans="1:34" ht="15.95" customHeight="1" x14ac:dyDescent="0.25">
      <c r="A583" s="115">
        <v>60</v>
      </c>
      <c r="B583" t="s">
        <v>351</v>
      </c>
      <c r="C583" s="182" t="s">
        <v>348</v>
      </c>
      <c r="D583" s="117">
        <v>2025</v>
      </c>
      <c r="E583" s="112" t="s">
        <v>40</v>
      </c>
      <c r="F583" s="112" t="s">
        <v>95</v>
      </c>
      <c r="G583" s="112" t="s">
        <v>343</v>
      </c>
      <c r="H583" s="112">
        <v>14.41</v>
      </c>
      <c r="I583" s="34">
        <v>0.56000000000000005</v>
      </c>
      <c r="J583" s="34">
        <v>15</v>
      </c>
      <c r="K583" s="35" t="s">
        <v>178</v>
      </c>
      <c r="L583" s="112" t="s">
        <v>66</v>
      </c>
      <c r="M583" s="112" t="s">
        <v>67</v>
      </c>
      <c r="N583" s="112" t="s">
        <v>59</v>
      </c>
      <c r="O583" s="112" t="s">
        <v>169</v>
      </c>
      <c r="P583" s="112"/>
      <c r="Q583" s="112">
        <v>138</v>
      </c>
      <c r="R583" s="112">
        <v>29</v>
      </c>
      <c r="S583" s="112">
        <v>80</v>
      </c>
      <c r="T583" s="112">
        <v>21</v>
      </c>
      <c r="U583" s="112"/>
      <c r="V583" s="112"/>
      <c r="W583" s="112"/>
      <c r="X583" s="112"/>
      <c r="Y583" s="112">
        <v>91</v>
      </c>
      <c r="Z583" s="112">
        <v>23</v>
      </c>
      <c r="AA583" s="112">
        <v>55</v>
      </c>
      <c r="AB583" s="112">
        <v>14</v>
      </c>
      <c r="AC583" s="112">
        <v>426</v>
      </c>
      <c r="AD583" s="112">
        <v>134</v>
      </c>
      <c r="AE583" s="112">
        <v>274</v>
      </c>
      <c r="AF583" s="112">
        <v>87</v>
      </c>
      <c r="AG583" s="112">
        <v>0.57999999999999996</v>
      </c>
      <c r="AH583" s="205"/>
    </row>
    <row r="584" spans="1:34" ht="15.95" customHeight="1" x14ac:dyDescent="0.25">
      <c r="A584" s="115">
        <v>60</v>
      </c>
      <c r="B584" t="s">
        <v>351</v>
      </c>
      <c r="C584" s="182" t="s">
        <v>348</v>
      </c>
      <c r="D584" s="117">
        <v>2025</v>
      </c>
      <c r="E584" s="112" t="s">
        <v>40</v>
      </c>
      <c r="F584" s="112" t="s">
        <v>95</v>
      </c>
      <c r="G584" s="112" t="s">
        <v>350</v>
      </c>
      <c r="H584" s="112">
        <v>14.58</v>
      </c>
      <c r="I584" s="34">
        <v>0.26</v>
      </c>
      <c r="J584" s="34">
        <v>7</v>
      </c>
      <c r="K584" s="35" t="s">
        <v>178</v>
      </c>
      <c r="L584" s="112" t="s">
        <v>66</v>
      </c>
      <c r="M584" s="112" t="s">
        <v>67</v>
      </c>
      <c r="N584" s="112" t="s">
        <v>59</v>
      </c>
      <c r="O584" s="112" t="s">
        <v>169</v>
      </c>
      <c r="P584" s="112"/>
      <c r="Q584" s="112">
        <v>181</v>
      </c>
      <c r="R584" s="112">
        <v>28</v>
      </c>
      <c r="S584" s="112">
        <v>107</v>
      </c>
      <c r="T584" s="112">
        <v>18</v>
      </c>
      <c r="U584" s="112"/>
      <c r="V584" s="112"/>
      <c r="W584" s="112"/>
      <c r="X584" s="112"/>
      <c r="Y584" s="112">
        <v>120</v>
      </c>
      <c r="Z584" s="112">
        <v>18</v>
      </c>
      <c r="AA584" s="112">
        <v>75</v>
      </c>
      <c r="AB584" s="112">
        <v>10</v>
      </c>
      <c r="AC584" s="112">
        <v>562</v>
      </c>
      <c r="AD584" s="112">
        <v>104</v>
      </c>
      <c r="AE584" s="112">
        <v>386</v>
      </c>
      <c r="AF584" s="112">
        <v>62</v>
      </c>
      <c r="AG584" s="112">
        <v>0.59</v>
      </c>
      <c r="AH584" s="205"/>
    </row>
    <row r="585" spans="1:34" ht="15.95" customHeight="1" x14ac:dyDescent="0.25">
      <c r="A585" s="134">
        <v>180</v>
      </c>
      <c r="B585" t="s">
        <v>351</v>
      </c>
      <c r="C585" s="182" t="s">
        <v>348</v>
      </c>
      <c r="D585" s="117">
        <v>2025</v>
      </c>
      <c r="E585" s="112" t="s">
        <v>40</v>
      </c>
      <c r="F585" s="112" t="s">
        <v>95</v>
      </c>
      <c r="G585" s="112" t="s">
        <v>349</v>
      </c>
      <c r="H585" s="112">
        <v>14.53</v>
      </c>
      <c r="I585" s="34">
        <v>0.68</v>
      </c>
      <c r="J585" s="34">
        <v>6</v>
      </c>
      <c r="K585" s="35" t="s">
        <v>178</v>
      </c>
      <c r="L585" s="112" t="s">
        <v>66</v>
      </c>
      <c r="M585" s="112" t="s">
        <v>67</v>
      </c>
      <c r="N585" s="112" t="s">
        <v>59</v>
      </c>
      <c r="O585" s="112" t="s">
        <v>169</v>
      </c>
      <c r="P585" s="112"/>
      <c r="Q585" s="112">
        <v>130</v>
      </c>
      <c r="R585" s="112">
        <v>34</v>
      </c>
      <c r="S585" s="112">
        <v>68</v>
      </c>
      <c r="T585" s="112">
        <v>20</v>
      </c>
      <c r="U585" s="112"/>
      <c r="V585" s="112"/>
      <c r="W585" s="112"/>
      <c r="X585" s="112"/>
      <c r="Y585" s="112">
        <v>232</v>
      </c>
      <c r="Z585" s="112">
        <v>63</v>
      </c>
      <c r="AA585" s="112">
        <v>113</v>
      </c>
      <c r="AB585" s="112">
        <v>50</v>
      </c>
      <c r="AC585" s="112">
        <v>413</v>
      </c>
      <c r="AD585" s="112">
        <v>125</v>
      </c>
      <c r="AE585" s="112">
        <v>212</v>
      </c>
      <c r="AF585" s="112">
        <v>94</v>
      </c>
      <c r="AG585" s="112">
        <v>0.52</v>
      </c>
      <c r="AH585" s="205"/>
    </row>
    <row r="586" spans="1:34" ht="15.95" customHeight="1" x14ac:dyDescent="0.25">
      <c r="A586" s="134">
        <v>180</v>
      </c>
      <c r="B586" t="s">
        <v>351</v>
      </c>
      <c r="C586" s="182" t="s">
        <v>348</v>
      </c>
      <c r="D586" s="117">
        <v>2025</v>
      </c>
      <c r="E586" s="112" t="s">
        <v>40</v>
      </c>
      <c r="F586" s="112" t="s">
        <v>95</v>
      </c>
      <c r="G586" s="112" t="s">
        <v>342</v>
      </c>
      <c r="H586" s="112">
        <v>14.2</v>
      </c>
      <c r="I586" s="34">
        <v>0.4</v>
      </c>
      <c r="J586" s="34">
        <v>13</v>
      </c>
      <c r="K586" s="35" t="s">
        <v>178</v>
      </c>
      <c r="L586" s="112" t="s">
        <v>66</v>
      </c>
      <c r="M586" s="112" t="s">
        <v>67</v>
      </c>
      <c r="N586" s="112" t="s">
        <v>59</v>
      </c>
      <c r="O586" s="112" t="s">
        <v>169</v>
      </c>
      <c r="P586" s="112"/>
      <c r="Q586" s="112">
        <v>116</v>
      </c>
      <c r="R586" s="112">
        <v>24</v>
      </c>
      <c r="S586" s="112">
        <v>65</v>
      </c>
      <c r="T586" s="112">
        <v>14</v>
      </c>
      <c r="U586" s="112"/>
      <c r="V586" s="112"/>
      <c r="W586" s="112"/>
      <c r="X586" s="112"/>
      <c r="Y586" s="112">
        <v>212</v>
      </c>
      <c r="Z586" s="112">
        <v>47</v>
      </c>
      <c r="AA586" s="112">
        <v>115</v>
      </c>
      <c r="AB586" s="112">
        <v>30</v>
      </c>
      <c r="AC586" s="112">
        <v>390</v>
      </c>
      <c r="AD586" s="112">
        <v>91</v>
      </c>
      <c r="AE586" s="112">
        <v>237</v>
      </c>
      <c r="AF586" s="112">
        <v>59</v>
      </c>
      <c r="AG586" s="112">
        <v>0.56000000000000005</v>
      </c>
      <c r="AH586" s="205"/>
    </row>
    <row r="587" spans="1:34" ht="15.95" customHeight="1" x14ac:dyDescent="0.25">
      <c r="A587" s="134">
        <v>180</v>
      </c>
      <c r="B587" t="s">
        <v>351</v>
      </c>
      <c r="C587" s="182" t="s">
        <v>348</v>
      </c>
      <c r="D587" s="117">
        <v>2025</v>
      </c>
      <c r="E587" s="112" t="s">
        <v>40</v>
      </c>
      <c r="F587" s="112" t="s">
        <v>95</v>
      </c>
      <c r="G587" s="112" t="s">
        <v>343</v>
      </c>
      <c r="H587" s="112">
        <v>14.41</v>
      </c>
      <c r="I587" s="34">
        <v>0.56000000000000005</v>
      </c>
      <c r="J587" s="34">
        <v>15</v>
      </c>
      <c r="K587" s="35" t="s">
        <v>178</v>
      </c>
      <c r="L587" s="112" t="s">
        <v>66</v>
      </c>
      <c r="M587" s="112" t="s">
        <v>67</v>
      </c>
      <c r="N587" s="112" t="s">
        <v>59</v>
      </c>
      <c r="O587" s="112" t="s">
        <v>169</v>
      </c>
      <c r="P587" s="112"/>
      <c r="Q587" s="112">
        <v>102</v>
      </c>
      <c r="R587" s="112">
        <v>25</v>
      </c>
      <c r="S587" s="112">
        <v>63</v>
      </c>
      <c r="T587" s="112">
        <v>17</v>
      </c>
      <c r="U587" s="112"/>
      <c r="V587" s="112"/>
      <c r="W587" s="112"/>
      <c r="X587" s="112"/>
      <c r="Y587" s="112">
        <v>185</v>
      </c>
      <c r="Z587" s="112">
        <v>57</v>
      </c>
      <c r="AA587" s="112">
        <v>108</v>
      </c>
      <c r="AB587" s="112">
        <v>35</v>
      </c>
      <c r="AC587" s="112">
        <v>366</v>
      </c>
      <c r="AD587" s="112">
        <v>106</v>
      </c>
      <c r="AE587" s="112">
        <v>233</v>
      </c>
      <c r="AF587" s="112">
        <v>93</v>
      </c>
      <c r="AG587" s="112">
        <v>0.62</v>
      </c>
      <c r="AH587" s="205"/>
    </row>
    <row r="588" spans="1:34" ht="15.95" customHeight="1" x14ac:dyDescent="0.25">
      <c r="A588" s="134">
        <v>180</v>
      </c>
      <c r="B588" t="s">
        <v>351</v>
      </c>
      <c r="C588" s="182" t="s">
        <v>348</v>
      </c>
      <c r="D588" s="117">
        <v>2025</v>
      </c>
      <c r="E588" s="112" t="s">
        <v>40</v>
      </c>
      <c r="F588" s="112" t="s">
        <v>95</v>
      </c>
      <c r="G588" s="112" t="s">
        <v>350</v>
      </c>
      <c r="H588" s="112">
        <v>14.58</v>
      </c>
      <c r="I588" s="34">
        <v>0.26</v>
      </c>
      <c r="J588" s="34">
        <v>7</v>
      </c>
      <c r="K588" s="35" t="s">
        <v>178</v>
      </c>
      <c r="L588" s="112" t="s">
        <v>66</v>
      </c>
      <c r="M588" s="112" t="s">
        <v>67</v>
      </c>
      <c r="N588" s="112" t="s">
        <v>59</v>
      </c>
      <c r="O588" s="112" t="s">
        <v>169</v>
      </c>
      <c r="P588" s="112"/>
      <c r="Q588" s="112">
        <v>134</v>
      </c>
      <c r="R588" s="112">
        <v>20</v>
      </c>
      <c r="S588" s="112">
        <v>77</v>
      </c>
      <c r="T588" s="112">
        <v>13</v>
      </c>
      <c r="U588" s="112"/>
      <c r="V588" s="112"/>
      <c r="W588" s="112"/>
      <c r="X588" s="112"/>
      <c r="Y588" s="112">
        <v>250</v>
      </c>
      <c r="Z588" s="112">
        <v>40</v>
      </c>
      <c r="AA588" s="112">
        <v>144</v>
      </c>
      <c r="AB588" s="112">
        <v>24</v>
      </c>
      <c r="AC588" s="112">
        <v>473</v>
      </c>
      <c r="AD588" s="112">
        <v>70</v>
      </c>
      <c r="AE588" s="112">
        <v>298</v>
      </c>
      <c r="AF588" s="112">
        <v>47</v>
      </c>
      <c r="AG588" s="112">
        <v>0.57999999999999996</v>
      </c>
      <c r="AH588" s="205"/>
    </row>
    <row r="589" spans="1:34" ht="15.95" customHeight="1" x14ac:dyDescent="0.25">
      <c r="A589" s="115">
        <v>300</v>
      </c>
      <c r="B589" t="s">
        <v>351</v>
      </c>
      <c r="C589" s="182" t="s">
        <v>348</v>
      </c>
      <c r="D589" s="117">
        <v>2025</v>
      </c>
      <c r="E589" s="112" t="s">
        <v>40</v>
      </c>
      <c r="F589" s="112" t="s">
        <v>95</v>
      </c>
      <c r="G589" s="112" t="s">
        <v>349</v>
      </c>
      <c r="H589" s="112">
        <v>14.53</v>
      </c>
      <c r="I589" s="34">
        <v>0.68</v>
      </c>
      <c r="J589" s="34">
        <v>6</v>
      </c>
      <c r="K589" s="35" t="s">
        <v>178</v>
      </c>
      <c r="L589" s="112" t="s">
        <v>66</v>
      </c>
      <c r="M589" s="112" t="s">
        <v>67</v>
      </c>
      <c r="N589" s="112" t="s">
        <v>59</v>
      </c>
      <c r="O589" s="112" t="s">
        <v>169</v>
      </c>
      <c r="P589" s="112"/>
      <c r="Q589" s="112">
        <v>96</v>
      </c>
      <c r="R589" s="112">
        <v>26</v>
      </c>
      <c r="S589" s="112">
        <v>57</v>
      </c>
      <c r="T589" s="112">
        <v>17</v>
      </c>
      <c r="U589" s="112"/>
      <c r="V589" s="112"/>
      <c r="W589" s="112"/>
      <c r="X589" s="112"/>
      <c r="Y589" s="112">
        <v>227</v>
      </c>
      <c r="Z589" s="112">
        <v>82</v>
      </c>
      <c r="AA589" s="112">
        <v>85</v>
      </c>
      <c r="AB589" s="112">
        <v>54</v>
      </c>
      <c r="AC589" s="112">
        <v>294</v>
      </c>
      <c r="AD589" s="112">
        <v>109</v>
      </c>
      <c r="AE589" s="112">
        <v>123</v>
      </c>
      <c r="AF589" s="112">
        <v>77</v>
      </c>
      <c r="AG589" s="112">
        <v>0.61</v>
      </c>
      <c r="AH589" s="205"/>
    </row>
    <row r="590" spans="1:34" ht="15.95" customHeight="1" x14ac:dyDescent="0.25">
      <c r="A590" s="115">
        <v>300</v>
      </c>
      <c r="B590" t="s">
        <v>351</v>
      </c>
      <c r="C590" s="182" t="s">
        <v>348</v>
      </c>
      <c r="D590" s="117">
        <v>2025</v>
      </c>
      <c r="E590" s="112" t="s">
        <v>40</v>
      </c>
      <c r="F590" s="112" t="s">
        <v>95</v>
      </c>
      <c r="G590" s="112" t="s">
        <v>342</v>
      </c>
      <c r="H590" s="112">
        <v>14.2</v>
      </c>
      <c r="I590" s="34">
        <v>0.4</v>
      </c>
      <c r="J590" s="34">
        <v>13</v>
      </c>
      <c r="K590" s="35" t="s">
        <v>178</v>
      </c>
      <c r="L590" s="112" t="s">
        <v>66</v>
      </c>
      <c r="M590" s="112" t="s">
        <v>67</v>
      </c>
      <c r="N590" s="112" t="s">
        <v>59</v>
      </c>
      <c r="O590" s="112" t="s">
        <v>169</v>
      </c>
      <c r="P590" s="112"/>
      <c r="Q590" s="112">
        <v>86</v>
      </c>
      <c r="R590" s="112">
        <v>16</v>
      </c>
      <c r="S590" s="112">
        <v>52</v>
      </c>
      <c r="T590" s="112">
        <v>10</v>
      </c>
      <c r="U590" s="112"/>
      <c r="V590" s="112"/>
      <c r="W590" s="112"/>
      <c r="X590" s="112"/>
      <c r="Y590" s="112">
        <v>221</v>
      </c>
      <c r="Z590" s="112">
        <v>44</v>
      </c>
      <c r="AA590" s="112">
        <v>101</v>
      </c>
      <c r="AB590" s="112">
        <v>32</v>
      </c>
      <c r="AC590" s="112">
        <v>287</v>
      </c>
      <c r="AD590" s="112">
        <v>56</v>
      </c>
      <c r="AE590" s="112">
        <v>149</v>
      </c>
      <c r="AF590" s="112">
        <v>42</v>
      </c>
      <c r="AG590" s="112">
        <v>0.61</v>
      </c>
      <c r="AH590" s="205"/>
    </row>
    <row r="591" spans="1:34" ht="15.95" customHeight="1" x14ac:dyDescent="0.25">
      <c r="A591" s="115">
        <v>300</v>
      </c>
      <c r="B591" t="s">
        <v>351</v>
      </c>
      <c r="C591" s="182" t="s">
        <v>348</v>
      </c>
      <c r="D591" s="117">
        <v>2025</v>
      </c>
      <c r="E591" s="112" t="s">
        <v>40</v>
      </c>
      <c r="F591" s="112" t="s">
        <v>95</v>
      </c>
      <c r="G591" s="112" t="s">
        <v>343</v>
      </c>
      <c r="H591" s="112">
        <v>14.41</v>
      </c>
      <c r="I591" s="34">
        <v>0.56000000000000005</v>
      </c>
      <c r="J591" s="34">
        <v>15</v>
      </c>
      <c r="K591" s="35" t="s">
        <v>178</v>
      </c>
      <c r="L591" s="112" t="s">
        <v>66</v>
      </c>
      <c r="M591" s="112" t="s">
        <v>67</v>
      </c>
      <c r="N591" s="112" t="s">
        <v>59</v>
      </c>
      <c r="O591" s="112" t="s">
        <v>169</v>
      </c>
      <c r="P591" s="112"/>
      <c r="Q591" s="112">
        <v>76</v>
      </c>
      <c r="R591" s="112">
        <v>19</v>
      </c>
      <c r="S591" s="112">
        <v>52</v>
      </c>
      <c r="T591" s="112">
        <v>13</v>
      </c>
      <c r="U591" s="112"/>
      <c r="V591" s="112"/>
      <c r="W591" s="112"/>
      <c r="X591" s="112"/>
      <c r="Y591" s="112">
        <v>199</v>
      </c>
      <c r="Z591" s="112">
        <v>69</v>
      </c>
      <c r="AA591" s="112">
        <v>99</v>
      </c>
      <c r="AB591" s="112">
        <v>51</v>
      </c>
      <c r="AC591" s="112">
        <v>277</v>
      </c>
      <c r="AD591" s="112">
        <v>101</v>
      </c>
      <c r="AE591" s="112">
        <v>153</v>
      </c>
      <c r="AF591" s="112">
        <v>78</v>
      </c>
      <c r="AG591" s="112">
        <v>0.69</v>
      </c>
      <c r="AH591" s="205"/>
    </row>
    <row r="592" spans="1:34" ht="15.95" customHeight="1" x14ac:dyDescent="0.25">
      <c r="A592" s="115">
        <v>300</v>
      </c>
      <c r="B592" t="s">
        <v>351</v>
      </c>
      <c r="C592" s="182" t="s">
        <v>348</v>
      </c>
      <c r="D592" s="117">
        <v>2025</v>
      </c>
      <c r="E592" s="112" t="s">
        <v>40</v>
      </c>
      <c r="F592" s="112" t="s">
        <v>95</v>
      </c>
      <c r="G592" s="112" t="s">
        <v>350</v>
      </c>
      <c r="H592" s="112">
        <v>14.58</v>
      </c>
      <c r="I592" s="34">
        <v>0.26</v>
      </c>
      <c r="J592" s="34">
        <v>7</v>
      </c>
      <c r="K592" s="35" t="s">
        <v>178</v>
      </c>
      <c r="L592" s="112" t="s">
        <v>66</v>
      </c>
      <c r="M592" s="112" t="s">
        <v>67</v>
      </c>
      <c r="N592" s="112" t="s">
        <v>59</v>
      </c>
      <c r="O592" s="112" t="s">
        <v>169</v>
      </c>
      <c r="P592" s="112"/>
      <c r="Q592" s="112">
        <v>102</v>
      </c>
      <c r="R592" s="112">
        <v>16</v>
      </c>
      <c r="S592" s="112">
        <v>66</v>
      </c>
      <c r="T592" s="112">
        <v>5</v>
      </c>
      <c r="U592" s="112"/>
      <c r="V592" s="112"/>
      <c r="W592" s="112"/>
      <c r="X592" s="112"/>
      <c r="Y592" s="112">
        <v>273</v>
      </c>
      <c r="Z592" s="112">
        <v>51</v>
      </c>
      <c r="AA592" s="112">
        <v>132</v>
      </c>
      <c r="AB592" s="112">
        <v>35</v>
      </c>
      <c r="AC592" s="112">
        <v>363</v>
      </c>
      <c r="AD592" s="112">
        <v>69</v>
      </c>
      <c r="AE592" s="112">
        <v>193</v>
      </c>
      <c r="AF592" s="112">
        <v>53</v>
      </c>
      <c r="AG592" s="112">
        <v>0.66</v>
      </c>
      <c r="AH592" s="205"/>
    </row>
    <row r="593" spans="1:34" ht="15.95" customHeight="1" x14ac:dyDescent="0.25">
      <c r="A593" s="115">
        <v>60</v>
      </c>
      <c r="B593" s="112" t="s">
        <v>345</v>
      </c>
      <c r="C593" s="229" t="s">
        <v>52</v>
      </c>
      <c r="D593" s="119">
        <v>2021</v>
      </c>
      <c r="E593" s="104" t="s">
        <v>54</v>
      </c>
      <c r="F593" s="112" t="s">
        <v>68</v>
      </c>
      <c r="G593" s="35" t="s">
        <v>178</v>
      </c>
      <c r="H593" s="112">
        <v>23.9</v>
      </c>
      <c r="I593" s="34">
        <v>3.8</v>
      </c>
      <c r="J593" s="34">
        <v>14</v>
      </c>
      <c r="K593" s="35" t="s">
        <v>92</v>
      </c>
      <c r="L593" s="112" t="s">
        <v>66</v>
      </c>
      <c r="M593" s="112" t="s">
        <v>67</v>
      </c>
      <c r="N593" s="35" t="s">
        <v>59</v>
      </c>
      <c r="O593" s="35" t="s">
        <v>169</v>
      </c>
      <c r="P593" s="35"/>
      <c r="Q593" s="34">
        <v>295.7</v>
      </c>
      <c r="R593" s="35">
        <v>36.1</v>
      </c>
      <c r="S593" s="34">
        <v>151.19999999999999</v>
      </c>
      <c r="T593" s="35">
        <v>16.3</v>
      </c>
      <c r="U593" s="34"/>
      <c r="V593" s="34"/>
      <c r="W593" s="34"/>
      <c r="X593" s="34"/>
      <c r="Y593" s="35"/>
      <c r="Z593" s="35"/>
      <c r="AA593" s="35"/>
      <c r="AB593" s="35"/>
      <c r="AC593" s="35"/>
      <c r="AD593" s="35"/>
      <c r="AE593" s="35"/>
      <c r="AF593" s="35"/>
      <c r="AG593" s="35"/>
      <c r="AH593" s="204"/>
    </row>
    <row r="594" spans="1:34" ht="15.95" customHeight="1" x14ac:dyDescent="0.25">
      <c r="A594" s="115">
        <v>60</v>
      </c>
      <c r="B594" s="112" t="s">
        <v>345</v>
      </c>
      <c r="C594" s="229" t="s">
        <v>52</v>
      </c>
      <c r="D594" s="119">
        <v>2021</v>
      </c>
      <c r="E594" s="104" t="s">
        <v>54</v>
      </c>
      <c r="F594" s="112" t="s">
        <v>68</v>
      </c>
      <c r="G594" s="35" t="s">
        <v>178</v>
      </c>
      <c r="H594" s="112">
        <v>23.9</v>
      </c>
      <c r="I594" s="34">
        <v>3.8</v>
      </c>
      <c r="J594" s="34">
        <v>14</v>
      </c>
      <c r="K594" s="35" t="s">
        <v>93</v>
      </c>
      <c r="L594" s="112" t="s">
        <v>66</v>
      </c>
      <c r="M594" s="112" t="s">
        <v>67</v>
      </c>
      <c r="N594" s="35" t="s">
        <v>59</v>
      </c>
      <c r="O594" s="35" t="s">
        <v>169</v>
      </c>
      <c r="P594" s="35"/>
      <c r="Q594" s="34">
        <v>278.10000000000002</v>
      </c>
      <c r="R594" s="35">
        <v>64.2</v>
      </c>
      <c r="S594" s="34">
        <v>154.80000000000001</v>
      </c>
      <c r="T594" s="35">
        <v>14.8</v>
      </c>
      <c r="U594" s="34"/>
      <c r="V594" s="34"/>
      <c r="W594" s="34"/>
      <c r="X594" s="34"/>
      <c r="Y594" s="35"/>
      <c r="Z594" s="35"/>
      <c r="AA594" s="35"/>
      <c r="AB594" s="35"/>
      <c r="AC594" s="35"/>
      <c r="AD594" s="35"/>
      <c r="AE594" s="35"/>
      <c r="AF594" s="35"/>
      <c r="AG594" s="35"/>
      <c r="AH594" s="204"/>
    </row>
    <row r="595" spans="1:34" ht="15.95" customHeight="1" x14ac:dyDescent="0.25">
      <c r="A595" s="115">
        <v>60</v>
      </c>
      <c r="B595" s="112" t="s">
        <v>346</v>
      </c>
      <c r="C595" s="229" t="s">
        <v>52</v>
      </c>
      <c r="D595" s="119">
        <v>2021</v>
      </c>
      <c r="E595" s="104" t="s">
        <v>54</v>
      </c>
      <c r="F595" s="104" t="s">
        <v>130</v>
      </c>
      <c r="G595" s="35" t="s">
        <v>178</v>
      </c>
      <c r="H595" s="112">
        <v>23.6</v>
      </c>
      <c r="I595" s="34">
        <v>1.9</v>
      </c>
      <c r="J595" s="34">
        <v>14</v>
      </c>
      <c r="K595" s="35" t="s">
        <v>92</v>
      </c>
      <c r="L595" s="112" t="s">
        <v>66</v>
      </c>
      <c r="M595" s="112" t="s">
        <v>67</v>
      </c>
      <c r="N595" s="35" t="s">
        <v>59</v>
      </c>
      <c r="O595" s="35" t="s">
        <v>169</v>
      </c>
      <c r="P595" s="35"/>
      <c r="Q595" s="34">
        <v>223.2</v>
      </c>
      <c r="R595" s="35">
        <v>42.9</v>
      </c>
      <c r="S595" s="34">
        <v>102.8</v>
      </c>
      <c r="T595" s="35">
        <v>26</v>
      </c>
      <c r="U595" s="34"/>
      <c r="V595" s="34"/>
      <c r="W595" s="34"/>
      <c r="X595" s="34"/>
      <c r="Y595" s="35"/>
      <c r="Z595" s="35"/>
      <c r="AA595" s="35"/>
      <c r="AB595" s="35"/>
      <c r="AC595" s="35"/>
      <c r="AD595" s="35"/>
      <c r="AE595" s="35"/>
      <c r="AF595" s="35"/>
      <c r="AG595" s="35"/>
      <c r="AH595" s="204"/>
    </row>
    <row r="596" spans="1:34" ht="15.95" customHeight="1" x14ac:dyDescent="0.25">
      <c r="A596" s="115">
        <v>60</v>
      </c>
      <c r="B596" s="112" t="s">
        <v>346</v>
      </c>
      <c r="C596" s="229" t="s">
        <v>52</v>
      </c>
      <c r="D596" s="119">
        <v>2021</v>
      </c>
      <c r="E596" s="104" t="s">
        <v>54</v>
      </c>
      <c r="F596" s="104" t="s">
        <v>130</v>
      </c>
      <c r="G596" s="35" t="s">
        <v>178</v>
      </c>
      <c r="H596" s="112">
        <v>23.6</v>
      </c>
      <c r="I596" s="34">
        <v>1.9</v>
      </c>
      <c r="J596" s="34">
        <v>14</v>
      </c>
      <c r="K596" s="35" t="s">
        <v>93</v>
      </c>
      <c r="L596" s="112" t="s">
        <v>66</v>
      </c>
      <c r="M596" s="112" t="s">
        <v>67</v>
      </c>
      <c r="N596" s="35" t="s">
        <v>59</v>
      </c>
      <c r="O596" s="35" t="s">
        <v>169</v>
      </c>
      <c r="P596" s="35"/>
      <c r="Q596" s="34">
        <v>230.6</v>
      </c>
      <c r="R596" s="35">
        <v>39</v>
      </c>
      <c r="S596" s="34">
        <v>110.4</v>
      </c>
      <c r="T596" s="35">
        <v>26.5</v>
      </c>
      <c r="U596" s="34"/>
      <c r="V596" s="34"/>
      <c r="W596" s="34"/>
      <c r="X596" s="34"/>
      <c r="Y596" s="35"/>
      <c r="Z596" s="35"/>
      <c r="AA596" s="35"/>
      <c r="AB596" s="35"/>
      <c r="AC596" s="35"/>
      <c r="AD596" s="35"/>
      <c r="AE596" s="35"/>
      <c r="AF596" s="35"/>
      <c r="AG596" s="35"/>
      <c r="AH596" s="204"/>
    </row>
    <row r="597" spans="1:34" ht="15.95" customHeight="1" x14ac:dyDescent="0.25">
      <c r="A597" s="115">
        <v>60</v>
      </c>
      <c r="B597" s="112" t="s">
        <v>110</v>
      </c>
      <c r="C597" s="228" t="s">
        <v>107</v>
      </c>
      <c r="D597" s="34">
        <v>2019</v>
      </c>
      <c r="E597" s="104" t="s">
        <v>37</v>
      </c>
      <c r="F597" s="112" t="s">
        <v>68</v>
      </c>
      <c r="G597" s="35" t="s">
        <v>178</v>
      </c>
      <c r="H597" s="112">
        <v>23.3</v>
      </c>
      <c r="I597" s="34">
        <v>3.95</v>
      </c>
      <c r="J597" s="34">
        <v>20</v>
      </c>
      <c r="K597" s="35" t="s">
        <v>108</v>
      </c>
      <c r="L597" s="112" t="s">
        <v>86</v>
      </c>
      <c r="M597" s="112" t="s">
        <v>67</v>
      </c>
      <c r="N597" s="112" t="s">
        <v>59</v>
      </c>
      <c r="O597" s="112" t="s">
        <v>169</v>
      </c>
      <c r="P597" s="112"/>
      <c r="Q597" s="112">
        <v>242.62</v>
      </c>
      <c r="R597" s="112">
        <v>24.67</v>
      </c>
      <c r="S597" s="112">
        <v>139.06</v>
      </c>
      <c r="T597" s="112">
        <v>16.93</v>
      </c>
      <c r="U597" s="112"/>
      <c r="V597" s="112"/>
      <c r="W597" s="112"/>
      <c r="X597" s="112"/>
      <c r="Y597" s="112">
        <v>108.43</v>
      </c>
      <c r="Z597" s="112">
        <v>19.850000000000001</v>
      </c>
      <c r="AA597" s="112">
        <v>66</v>
      </c>
      <c r="AB597" s="112">
        <v>11.7</v>
      </c>
      <c r="AC597" s="112"/>
      <c r="AD597" s="112"/>
      <c r="AE597" s="112"/>
      <c r="AF597" s="112"/>
      <c r="AG597" s="112">
        <v>59.6</v>
      </c>
      <c r="AH597" s="205">
        <v>16.22</v>
      </c>
    </row>
    <row r="598" spans="1:34" ht="15.95" customHeight="1" x14ac:dyDescent="0.25">
      <c r="A598" s="115">
        <v>60</v>
      </c>
      <c r="B598" s="112" t="s">
        <v>110</v>
      </c>
      <c r="C598" s="228" t="s">
        <v>107</v>
      </c>
      <c r="D598" s="34">
        <v>2019</v>
      </c>
      <c r="E598" s="104" t="s">
        <v>37</v>
      </c>
      <c r="F598" s="112" t="s">
        <v>68</v>
      </c>
      <c r="G598" s="35" t="s">
        <v>178</v>
      </c>
      <c r="H598" s="112">
        <v>23.3</v>
      </c>
      <c r="I598" s="34">
        <v>3.95</v>
      </c>
      <c r="J598" s="34">
        <v>20</v>
      </c>
      <c r="K598" s="35" t="s">
        <v>109</v>
      </c>
      <c r="L598" s="112" t="s">
        <v>86</v>
      </c>
      <c r="M598" s="112" t="s">
        <v>67</v>
      </c>
      <c r="N598" s="112" t="s">
        <v>59</v>
      </c>
      <c r="O598" s="112" t="s">
        <v>169</v>
      </c>
      <c r="P598" s="112"/>
      <c r="Q598" s="112">
        <v>226.01</v>
      </c>
      <c r="R598" s="112">
        <v>34.6</v>
      </c>
      <c r="S598" s="112">
        <v>127.51</v>
      </c>
      <c r="T598" s="112">
        <v>34.76</v>
      </c>
      <c r="U598" s="112"/>
      <c r="V598" s="112"/>
      <c r="W598" s="112"/>
      <c r="X598" s="112"/>
      <c r="Y598" s="112">
        <v>97.74</v>
      </c>
      <c r="Z598" s="112">
        <v>15.75</v>
      </c>
      <c r="AA598" s="112">
        <v>59.6</v>
      </c>
      <c r="AB598" s="112">
        <v>16.22</v>
      </c>
      <c r="AC598" s="112"/>
      <c r="AD598" s="112"/>
      <c r="AE598" s="112"/>
      <c r="AF598" s="112"/>
      <c r="AG598" s="112">
        <v>56.98</v>
      </c>
      <c r="AH598" s="205">
        <v>4.2300000000000004</v>
      </c>
    </row>
    <row r="599" spans="1:34" ht="15.95" customHeight="1" x14ac:dyDescent="0.25">
      <c r="A599" s="115">
        <v>60</v>
      </c>
      <c r="B599" s="112" t="s">
        <v>111</v>
      </c>
      <c r="C599" s="228" t="s">
        <v>107</v>
      </c>
      <c r="D599" s="34">
        <v>2019</v>
      </c>
      <c r="E599" s="104" t="s">
        <v>37</v>
      </c>
      <c r="F599" s="112" t="s">
        <v>68</v>
      </c>
      <c r="G599" s="35" t="s">
        <v>178</v>
      </c>
      <c r="H599" s="112">
        <v>22</v>
      </c>
      <c r="I599" s="34">
        <v>4.1100000000000003</v>
      </c>
      <c r="J599" s="34">
        <v>10</v>
      </c>
      <c r="K599" s="35" t="s">
        <v>108</v>
      </c>
      <c r="L599" s="112" t="s">
        <v>86</v>
      </c>
      <c r="M599" s="112" t="s">
        <v>67</v>
      </c>
      <c r="N599" s="112" t="s">
        <v>59</v>
      </c>
      <c r="O599" s="112" t="s">
        <v>169</v>
      </c>
      <c r="P599" s="112"/>
      <c r="Q599" s="112">
        <v>202.57</v>
      </c>
      <c r="R599" s="112">
        <v>58.91</v>
      </c>
      <c r="S599" s="112">
        <v>117.63</v>
      </c>
      <c r="T599" s="112">
        <v>33.369999999999997</v>
      </c>
      <c r="U599" s="112"/>
      <c r="V599" s="112"/>
      <c r="W599" s="112"/>
      <c r="X599" s="112"/>
      <c r="Y599" s="112">
        <v>99</v>
      </c>
      <c r="Z599" s="112">
        <v>21.61</v>
      </c>
      <c r="AA599" s="112">
        <v>58.83</v>
      </c>
      <c r="AB599" s="112">
        <v>15.15</v>
      </c>
      <c r="AC599" s="112"/>
      <c r="AD599" s="112"/>
      <c r="AE599" s="112"/>
      <c r="AF599" s="112"/>
      <c r="AG599" s="112">
        <v>55.83</v>
      </c>
      <c r="AH599" s="205">
        <v>10.31</v>
      </c>
    </row>
    <row r="600" spans="1:34" ht="15.95" customHeight="1" x14ac:dyDescent="0.25">
      <c r="A600" s="115">
        <v>60</v>
      </c>
      <c r="B600" s="112" t="s">
        <v>111</v>
      </c>
      <c r="C600" s="228" t="s">
        <v>107</v>
      </c>
      <c r="D600" s="34">
        <v>2019</v>
      </c>
      <c r="E600" s="104" t="s">
        <v>37</v>
      </c>
      <c r="F600" s="112" t="s">
        <v>68</v>
      </c>
      <c r="G600" s="35" t="s">
        <v>178</v>
      </c>
      <c r="H600" s="112">
        <v>22</v>
      </c>
      <c r="I600" s="34">
        <v>4.1100000000000003</v>
      </c>
      <c r="J600" s="34">
        <v>10</v>
      </c>
      <c r="K600" s="35" t="s">
        <v>109</v>
      </c>
      <c r="L600" s="112" t="s">
        <v>86</v>
      </c>
      <c r="M600" s="112" t="s">
        <v>67</v>
      </c>
      <c r="N600" s="112" t="s">
        <v>59</v>
      </c>
      <c r="O600" s="112" t="s">
        <v>169</v>
      </c>
      <c r="P600" s="112"/>
      <c r="Q600" s="112">
        <v>200.96</v>
      </c>
      <c r="R600" s="112">
        <v>58.91</v>
      </c>
      <c r="S600" s="112">
        <v>107.85</v>
      </c>
      <c r="T600" s="112">
        <v>26.11</v>
      </c>
      <c r="U600" s="112"/>
      <c r="V600" s="112"/>
      <c r="W600" s="112"/>
      <c r="X600" s="112"/>
      <c r="Y600" s="112">
        <v>101.67</v>
      </c>
      <c r="Z600" s="112">
        <v>18.82</v>
      </c>
      <c r="AA600" s="112">
        <v>58.33</v>
      </c>
      <c r="AB600" s="112">
        <v>10.31</v>
      </c>
      <c r="AC600" s="112"/>
      <c r="AD600" s="112"/>
      <c r="AE600" s="112"/>
      <c r="AF600" s="112"/>
      <c r="AG600" s="112">
        <v>58.33</v>
      </c>
      <c r="AH600" s="205">
        <v>9.4700000000000006</v>
      </c>
    </row>
    <row r="601" spans="1:34" ht="15.95" customHeight="1" x14ac:dyDescent="0.25">
      <c r="A601" s="115">
        <v>60</v>
      </c>
      <c r="B601" s="112" t="s">
        <v>83</v>
      </c>
      <c r="C601" s="229" t="s">
        <v>81</v>
      </c>
      <c r="D601" s="34">
        <v>2014</v>
      </c>
      <c r="E601" s="112" t="s">
        <v>80</v>
      </c>
      <c r="F601" s="112" t="s">
        <v>68</v>
      </c>
      <c r="G601" s="35" t="s">
        <v>178</v>
      </c>
      <c r="H601" s="35">
        <v>23.1</v>
      </c>
      <c r="I601" s="35"/>
      <c r="J601" s="35">
        <v>1252</v>
      </c>
      <c r="K601" s="35" t="s">
        <v>64</v>
      </c>
      <c r="L601" s="112" t="s">
        <v>66</v>
      </c>
      <c r="M601" s="112" t="s">
        <v>67</v>
      </c>
      <c r="N601" s="35" t="s">
        <v>58</v>
      </c>
      <c r="O601" s="35" t="s">
        <v>169</v>
      </c>
      <c r="P601" s="35" t="s">
        <v>112</v>
      </c>
      <c r="Q601" s="112">
        <v>313.60000000000002</v>
      </c>
      <c r="R601" s="112">
        <v>70.709999999999994</v>
      </c>
      <c r="S601" s="112">
        <v>209.8</v>
      </c>
      <c r="T601" s="112">
        <v>44.6</v>
      </c>
      <c r="U601" s="112">
        <v>2.9</v>
      </c>
      <c r="V601" s="112">
        <v>0.63</v>
      </c>
      <c r="W601" s="112">
        <v>1.94</v>
      </c>
      <c r="X601" s="112">
        <v>0.38</v>
      </c>
      <c r="Y601" s="112"/>
      <c r="Z601" s="112"/>
      <c r="AA601" s="112"/>
      <c r="AB601" s="112"/>
      <c r="AC601" s="112"/>
      <c r="AD601" s="112"/>
      <c r="AE601" s="112"/>
      <c r="AF601" s="112"/>
      <c r="AG601" s="112"/>
      <c r="AH601" s="205"/>
    </row>
    <row r="602" spans="1:34" ht="15.95" customHeight="1" x14ac:dyDescent="0.25">
      <c r="A602" s="115">
        <v>60</v>
      </c>
      <c r="B602" s="112" t="s">
        <v>83</v>
      </c>
      <c r="C602" s="229" t="s">
        <v>81</v>
      </c>
      <c r="D602" s="34">
        <v>2014</v>
      </c>
      <c r="E602" s="112" t="s">
        <v>80</v>
      </c>
      <c r="F602" s="112" t="s">
        <v>68</v>
      </c>
      <c r="G602" s="35" t="s">
        <v>178</v>
      </c>
      <c r="H602" s="35">
        <v>23.1</v>
      </c>
      <c r="I602" s="35"/>
      <c r="J602" s="35">
        <v>1252</v>
      </c>
      <c r="K602" s="35" t="s">
        <v>65</v>
      </c>
      <c r="L602" s="112" t="s">
        <v>66</v>
      </c>
      <c r="M602" s="112" t="s">
        <v>67</v>
      </c>
      <c r="N602" s="35" t="s">
        <v>58</v>
      </c>
      <c r="O602" s="35" t="s">
        <v>169</v>
      </c>
      <c r="P602" s="35" t="s">
        <v>112</v>
      </c>
      <c r="Q602" s="112">
        <v>307.8</v>
      </c>
      <c r="R602" s="112">
        <v>70.2</v>
      </c>
      <c r="S602" s="112">
        <v>208.7</v>
      </c>
      <c r="T602" s="112">
        <v>44.1</v>
      </c>
      <c r="U602" s="112">
        <v>2.85</v>
      </c>
      <c r="V602" s="112">
        <v>0.62</v>
      </c>
      <c r="W602" s="112">
        <v>1.92</v>
      </c>
      <c r="X602" s="112">
        <v>0.37</v>
      </c>
      <c r="Y602" s="112"/>
      <c r="Z602" s="112"/>
      <c r="AA602" s="112"/>
      <c r="AB602" s="112"/>
      <c r="AC602" s="112"/>
      <c r="AD602" s="112"/>
      <c r="AE602" s="112"/>
      <c r="AF602" s="112"/>
      <c r="AG602" s="112"/>
      <c r="AH602" s="205"/>
    </row>
    <row r="603" spans="1:34" ht="15.95" customHeight="1" x14ac:dyDescent="0.25">
      <c r="A603" s="115">
        <v>60</v>
      </c>
      <c r="B603" s="112" t="s">
        <v>83</v>
      </c>
      <c r="C603" s="229" t="s">
        <v>81</v>
      </c>
      <c r="D603" s="34">
        <v>2014</v>
      </c>
      <c r="E603" s="112" t="s">
        <v>80</v>
      </c>
      <c r="F603" s="112" t="s">
        <v>68</v>
      </c>
      <c r="G603" s="112" t="s">
        <v>420</v>
      </c>
      <c r="H603" s="35"/>
      <c r="I603" s="35"/>
      <c r="J603" s="35">
        <v>222</v>
      </c>
      <c r="K603" s="35" t="s">
        <v>64</v>
      </c>
      <c r="L603" s="112" t="s">
        <v>66</v>
      </c>
      <c r="M603" s="112" t="s">
        <v>67</v>
      </c>
      <c r="N603" s="35" t="s">
        <v>58</v>
      </c>
      <c r="O603" s="35" t="s">
        <v>169</v>
      </c>
      <c r="P603" s="35" t="s">
        <v>112</v>
      </c>
      <c r="Q603" s="112">
        <v>285.2</v>
      </c>
      <c r="R603" s="112">
        <v>66</v>
      </c>
      <c r="S603" s="112">
        <v>185.5</v>
      </c>
      <c r="T603" s="112">
        <v>37.700000000000003</v>
      </c>
      <c r="U603" s="112">
        <v>3.08</v>
      </c>
      <c r="V603" s="112">
        <v>0.67900000000000005</v>
      </c>
      <c r="W603" s="112">
        <v>2</v>
      </c>
      <c r="X603" s="112">
        <v>0.35799999999999998</v>
      </c>
      <c r="Y603" s="112"/>
      <c r="Z603" s="112"/>
      <c r="AA603" s="112"/>
      <c r="AB603" s="112"/>
      <c r="AC603" s="112"/>
      <c r="AD603" s="112"/>
      <c r="AE603" s="112"/>
      <c r="AF603" s="112"/>
      <c r="AG603" s="112"/>
      <c r="AH603" s="205"/>
    </row>
    <row r="604" spans="1:34" ht="15.95" customHeight="1" x14ac:dyDescent="0.25">
      <c r="A604" s="115">
        <v>60</v>
      </c>
      <c r="B604" s="112" t="s">
        <v>83</v>
      </c>
      <c r="C604" s="229" t="s">
        <v>81</v>
      </c>
      <c r="D604" s="34">
        <v>2014</v>
      </c>
      <c r="E604" s="112" t="s">
        <v>80</v>
      </c>
      <c r="F604" s="112" t="s">
        <v>68</v>
      </c>
      <c r="G604" s="112" t="s">
        <v>420</v>
      </c>
      <c r="H604" s="35"/>
      <c r="I604" s="35"/>
      <c r="J604" s="35">
        <v>222</v>
      </c>
      <c r="K604" s="35" t="s">
        <v>65</v>
      </c>
      <c r="L604" s="112" t="s">
        <v>66</v>
      </c>
      <c r="M604" s="112" t="s">
        <v>67</v>
      </c>
      <c r="N604" s="35" t="s">
        <v>58</v>
      </c>
      <c r="O604" s="35" t="s">
        <v>169</v>
      </c>
      <c r="P604" s="35" t="s">
        <v>112</v>
      </c>
      <c r="Q604" s="112">
        <v>278.5</v>
      </c>
      <c r="R604" s="112">
        <v>62.4</v>
      </c>
      <c r="S604" s="112">
        <v>182.5</v>
      </c>
      <c r="T604" s="112">
        <v>39.200000000000003</v>
      </c>
      <c r="U604" s="112">
        <v>2.98</v>
      </c>
      <c r="V604" s="112">
        <v>0.63800000000000001</v>
      </c>
      <c r="W604" s="112">
        <v>1.97</v>
      </c>
      <c r="X604" s="112">
        <v>0.379</v>
      </c>
      <c r="Y604" s="112"/>
      <c r="Z604" s="112"/>
      <c r="AA604" s="112"/>
      <c r="AB604" s="112"/>
      <c r="AC604" s="112"/>
      <c r="AD604" s="112"/>
      <c r="AE604" s="112"/>
      <c r="AF604" s="112"/>
      <c r="AG604" s="112"/>
      <c r="AH604" s="205"/>
    </row>
    <row r="605" spans="1:34" ht="15.95" customHeight="1" x14ac:dyDescent="0.25">
      <c r="A605" s="135">
        <v>60</v>
      </c>
      <c r="B605" s="112" t="s">
        <v>83</v>
      </c>
      <c r="C605" s="229" t="s">
        <v>81</v>
      </c>
      <c r="D605" s="126">
        <v>2014</v>
      </c>
      <c r="E605" s="125" t="s">
        <v>80</v>
      </c>
      <c r="F605" s="112" t="s">
        <v>68</v>
      </c>
      <c r="G605" s="112" t="s">
        <v>428</v>
      </c>
      <c r="H605" s="35"/>
      <c r="I605" s="35"/>
      <c r="J605" s="35">
        <v>218</v>
      </c>
      <c r="K605" s="35" t="s">
        <v>64</v>
      </c>
      <c r="L605" s="112" t="s">
        <v>66</v>
      </c>
      <c r="M605" s="112" t="s">
        <v>67</v>
      </c>
      <c r="N605" s="35" t="s">
        <v>58</v>
      </c>
      <c r="O605" s="35" t="s">
        <v>169</v>
      </c>
      <c r="P605" s="35" t="s">
        <v>112</v>
      </c>
      <c r="Q605" s="112">
        <v>345.6</v>
      </c>
      <c r="R605" s="112">
        <v>69.5</v>
      </c>
      <c r="S605" s="112">
        <v>230.5</v>
      </c>
      <c r="T605" s="112">
        <v>41.2</v>
      </c>
      <c r="U605" s="112">
        <v>2.74</v>
      </c>
      <c r="V605" s="112">
        <v>0.56299999999999994</v>
      </c>
      <c r="W605" s="112">
        <v>1.83</v>
      </c>
      <c r="X605" s="112">
        <v>0.32500000000000001</v>
      </c>
      <c r="Y605" s="112"/>
      <c r="Z605" s="112"/>
      <c r="AA605" s="112"/>
      <c r="AB605" s="112"/>
      <c r="AC605" s="112"/>
      <c r="AD605" s="112"/>
      <c r="AE605" s="112"/>
      <c r="AF605" s="112"/>
      <c r="AG605" s="112"/>
      <c r="AH605" s="205"/>
    </row>
    <row r="606" spans="1:34" ht="15.95" customHeight="1" x14ac:dyDescent="0.25">
      <c r="A606" s="135">
        <v>60</v>
      </c>
      <c r="B606" s="112" t="s">
        <v>83</v>
      </c>
      <c r="C606" s="229" t="s">
        <v>81</v>
      </c>
      <c r="D606" s="126">
        <v>2014</v>
      </c>
      <c r="E606" s="125" t="s">
        <v>80</v>
      </c>
      <c r="F606" s="112" t="s">
        <v>68</v>
      </c>
      <c r="G606" s="112" t="s">
        <v>428</v>
      </c>
      <c r="H606" s="35"/>
      <c r="I606" s="35"/>
      <c r="J606" s="35">
        <v>218</v>
      </c>
      <c r="K606" s="35" t="s">
        <v>65</v>
      </c>
      <c r="L606" s="112" t="s">
        <v>66</v>
      </c>
      <c r="M606" s="112" t="s">
        <v>67</v>
      </c>
      <c r="N606" s="35" t="s">
        <v>58</v>
      </c>
      <c r="O606" s="35" t="s">
        <v>169</v>
      </c>
      <c r="P606" s="35" t="s">
        <v>112</v>
      </c>
      <c r="Q606" s="112">
        <v>339.5</v>
      </c>
      <c r="R606" s="112">
        <v>72.7</v>
      </c>
      <c r="S606" s="112">
        <v>232.6</v>
      </c>
      <c r="T606" s="112">
        <v>38.1</v>
      </c>
      <c r="U606" s="112">
        <v>2.7</v>
      </c>
      <c r="V606" s="112">
        <v>0.59799999999999998</v>
      </c>
      <c r="W606" s="112">
        <v>1.97</v>
      </c>
      <c r="X606" s="112">
        <v>0.379</v>
      </c>
      <c r="Y606" s="112"/>
      <c r="Z606" s="112"/>
      <c r="AA606" s="112"/>
      <c r="AB606" s="112"/>
      <c r="AC606" s="112"/>
      <c r="AD606" s="112"/>
      <c r="AE606" s="112"/>
      <c r="AF606" s="112"/>
      <c r="AG606" s="112"/>
      <c r="AH606" s="205"/>
    </row>
    <row r="607" spans="1:34" ht="15.95" customHeight="1" x14ac:dyDescent="0.25">
      <c r="A607" s="115">
        <v>60</v>
      </c>
      <c r="B607" s="112" t="s">
        <v>83</v>
      </c>
      <c r="C607" s="229" t="s">
        <v>81</v>
      </c>
      <c r="D607" s="34">
        <v>2014</v>
      </c>
      <c r="E607" s="112" t="s">
        <v>80</v>
      </c>
      <c r="F607" s="112" t="s">
        <v>68</v>
      </c>
      <c r="G607" s="112" t="s">
        <v>419</v>
      </c>
      <c r="H607" s="35"/>
      <c r="I607" s="35"/>
      <c r="J607" s="35">
        <v>37</v>
      </c>
      <c r="K607" s="35" t="s">
        <v>64</v>
      </c>
      <c r="L607" s="112" t="s">
        <v>66</v>
      </c>
      <c r="M607" s="112" t="s">
        <v>67</v>
      </c>
      <c r="N607" s="35" t="s">
        <v>58</v>
      </c>
      <c r="O607" s="35" t="s">
        <v>169</v>
      </c>
      <c r="P607" s="35" t="s">
        <v>112</v>
      </c>
      <c r="Q607" s="112">
        <v>276.5</v>
      </c>
      <c r="R607" s="112">
        <v>65.099999999999994</v>
      </c>
      <c r="S607" s="112">
        <v>178.5</v>
      </c>
      <c r="T607" s="112">
        <v>34.299999999999997</v>
      </c>
      <c r="U607" s="112">
        <v>2.98</v>
      </c>
      <c r="V607" s="112">
        <v>0.64400000000000002</v>
      </c>
      <c r="W607" s="112">
        <v>1.93</v>
      </c>
      <c r="X607" s="112">
        <v>0.29799999999999999</v>
      </c>
      <c r="Y607" s="112"/>
      <c r="Z607" s="112"/>
      <c r="AA607" s="112"/>
      <c r="AB607" s="112"/>
      <c r="AC607" s="112"/>
      <c r="AD607" s="112"/>
      <c r="AE607" s="112"/>
      <c r="AF607" s="112"/>
      <c r="AG607" s="112"/>
      <c r="AH607" s="205"/>
    </row>
    <row r="608" spans="1:34" ht="15.95" customHeight="1" x14ac:dyDescent="0.25">
      <c r="A608" s="115">
        <v>60</v>
      </c>
      <c r="B608" s="112" t="s">
        <v>83</v>
      </c>
      <c r="C608" s="229" t="s">
        <v>81</v>
      </c>
      <c r="D608" s="34">
        <v>2014</v>
      </c>
      <c r="E608" s="112" t="s">
        <v>80</v>
      </c>
      <c r="F608" s="112" t="s">
        <v>68</v>
      </c>
      <c r="G608" s="112" t="s">
        <v>419</v>
      </c>
      <c r="H608" s="35"/>
      <c r="I608" s="35"/>
      <c r="J608" s="35">
        <v>37</v>
      </c>
      <c r="K608" s="35" t="s">
        <v>65</v>
      </c>
      <c r="L608" s="112" t="s">
        <v>66</v>
      </c>
      <c r="M608" s="112" t="s">
        <v>67</v>
      </c>
      <c r="N608" s="35" t="s">
        <v>58</v>
      </c>
      <c r="O608" s="35" t="s">
        <v>169</v>
      </c>
      <c r="P608" s="35" t="s">
        <v>112</v>
      </c>
      <c r="Q608" s="112">
        <v>268.5</v>
      </c>
      <c r="R608" s="112">
        <v>59.4</v>
      </c>
      <c r="S608" s="112">
        <v>178.7</v>
      </c>
      <c r="T608" s="112">
        <v>41.1</v>
      </c>
      <c r="U608" s="112">
        <v>2.91</v>
      </c>
      <c r="V608" s="112">
        <v>0.59799999999999998</v>
      </c>
      <c r="W608" s="112">
        <v>1.94</v>
      </c>
      <c r="X608" s="112">
        <v>0.39</v>
      </c>
      <c r="Y608" s="112"/>
      <c r="Z608" s="112"/>
      <c r="AA608" s="112"/>
      <c r="AB608" s="112"/>
      <c r="AC608" s="112"/>
      <c r="AD608" s="112"/>
      <c r="AE608" s="112"/>
      <c r="AF608" s="112"/>
      <c r="AG608" s="112"/>
      <c r="AH608" s="205"/>
    </row>
    <row r="609" spans="1:34" ht="15.95" customHeight="1" x14ac:dyDescent="0.25">
      <c r="A609" s="135">
        <v>60</v>
      </c>
      <c r="B609" s="112" t="s">
        <v>83</v>
      </c>
      <c r="C609" s="229" t="s">
        <v>81</v>
      </c>
      <c r="D609" s="126">
        <v>2014</v>
      </c>
      <c r="E609" s="125" t="s">
        <v>80</v>
      </c>
      <c r="F609" s="112" t="s">
        <v>68</v>
      </c>
      <c r="G609" s="125" t="s">
        <v>421</v>
      </c>
      <c r="H609" s="35"/>
      <c r="I609" s="35"/>
      <c r="J609" s="35">
        <v>123</v>
      </c>
      <c r="K609" s="35" t="s">
        <v>64</v>
      </c>
      <c r="L609" s="112" t="s">
        <v>66</v>
      </c>
      <c r="M609" s="112" t="s">
        <v>67</v>
      </c>
      <c r="N609" s="35" t="s">
        <v>58</v>
      </c>
      <c r="O609" s="35" t="s">
        <v>169</v>
      </c>
      <c r="P609" s="35" t="s">
        <v>112</v>
      </c>
      <c r="Q609" s="112">
        <v>327.5</v>
      </c>
      <c r="R609" s="112">
        <v>72.3</v>
      </c>
      <c r="S609" s="112">
        <v>219</v>
      </c>
      <c r="T609" s="112">
        <v>42.6</v>
      </c>
      <c r="U609" s="112">
        <v>3.01</v>
      </c>
      <c r="V609" s="112">
        <v>0.65900000000000003</v>
      </c>
      <c r="W609" s="112">
        <v>2.02</v>
      </c>
      <c r="X609" s="112">
        <v>0.40500000000000003</v>
      </c>
      <c r="Y609" s="112"/>
      <c r="Z609" s="112"/>
      <c r="AA609" s="112"/>
      <c r="AB609" s="112"/>
      <c r="AC609" s="112"/>
      <c r="AD609" s="112"/>
      <c r="AE609" s="112"/>
      <c r="AF609" s="112"/>
      <c r="AG609" s="112"/>
      <c r="AH609" s="205"/>
    </row>
    <row r="610" spans="1:34" ht="15.95" customHeight="1" x14ac:dyDescent="0.25">
      <c r="A610" s="135">
        <v>60</v>
      </c>
      <c r="B610" s="112" t="s">
        <v>83</v>
      </c>
      <c r="C610" s="229" t="s">
        <v>81</v>
      </c>
      <c r="D610" s="126">
        <v>2014</v>
      </c>
      <c r="E610" s="125" t="s">
        <v>80</v>
      </c>
      <c r="F610" s="112" t="s">
        <v>68</v>
      </c>
      <c r="G610" s="125" t="s">
        <v>421</v>
      </c>
      <c r="H610" s="35"/>
      <c r="I610" s="35"/>
      <c r="J610" s="35">
        <v>123</v>
      </c>
      <c r="K610" s="35" t="s">
        <v>65</v>
      </c>
      <c r="L610" s="112" t="s">
        <v>66</v>
      </c>
      <c r="M610" s="112" t="s">
        <v>67</v>
      </c>
      <c r="N610" s="35" t="s">
        <v>58</v>
      </c>
      <c r="O610" s="35" t="s">
        <v>169</v>
      </c>
      <c r="P610" s="35" t="s">
        <v>112</v>
      </c>
      <c r="Q610" s="112">
        <v>316.5</v>
      </c>
      <c r="R610" s="112">
        <v>69.7</v>
      </c>
      <c r="S610" s="112">
        <v>211</v>
      </c>
      <c r="T610" s="112">
        <v>35.299999999999997</v>
      </c>
      <c r="U610" s="112">
        <v>2.91</v>
      </c>
      <c r="V610" s="112">
        <v>0.63500000000000001</v>
      </c>
      <c r="W610" s="112">
        <v>1.94</v>
      </c>
      <c r="X610" s="112">
        <v>0.33100000000000002</v>
      </c>
      <c r="Y610" s="112"/>
      <c r="Z610" s="112"/>
      <c r="AA610" s="112"/>
      <c r="AB610" s="112"/>
      <c r="AC610" s="112"/>
      <c r="AD610" s="112"/>
      <c r="AE610" s="112"/>
      <c r="AF610" s="112"/>
      <c r="AG610" s="112"/>
      <c r="AH610" s="205"/>
    </row>
    <row r="611" spans="1:34" ht="15.95" customHeight="1" x14ac:dyDescent="0.25">
      <c r="A611" s="115">
        <v>60</v>
      </c>
      <c r="B611" s="112" t="s">
        <v>83</v>
      </c>
      <c r="C611" s="229" t="s">
        <v>81</v>
      </c>
      <c r="D611" s="34">
        <v>2014</v>
      </c>
      <c r="E611" s="112" t="s">
        <v>80</v>
      </c>
      <c r="F611" s="112" t="s">
        <v>68</v>
      </c>
      <c r="G611" s="112" t="s">
        <v>422</v>
      </c>
      <c r="H611" s="35"/>
      <c r="I611" s="35"/>
      <c r="J611" s="35">
        <v>204</v>
      </c>
      <c r="K611" s="35" t="s">
        <v>64</v>
      </c>
      <c r="L611" s="112" t="s">
        <v>66</v>
      </c>
      <c r="M611" s="112" t="s">
        <v>67</v>
      </c>
      <c r="N611" s="35" t="s">
        <v>58</v>
      </c>
      <c r="O611" s="35" t="s">
        <v>169</v>
      </c>
      <c r="P611" s="35" t="s">
        <v>112</v>
      </c>
      <c r="Q611" s="112">
        <v>348.6</v>
      </c>
      <c r="R611" s="112">
        <v>66.400000000000006</v>
      </c>
      <c r="S611" s="112">
        <v>234.3</v>
      </c>
      <c r="T611" s="112">
        <v>39.9</v>
      </c>
      <c r="U611" s="112">
        <v>2.52</v>
      </c>
      <c r="V611" s="112">
        <v>0.49199999999999999</v>
      </c>
      <c r="W611" s="112">
        <v>1.69</v>
      </c>
      <c r="X611" s="112">
        <v>0.27200000000000002</v>
      </c>
      <c r="Y611" s="112"/>
      <c r="Z611" s="112"/>
      <c r="AA611" s="112"/>
      <c r="AB611" s="112"/>
      <c r="AC611" s="112"/>
      <c r="AD611" s="112"/>
      <c r="AE611" s="112"/>
      <c r="AF611" s="112"/>
      <c r="AG611" s="112"/>
      <c r="AH611" s="205"/>
    </row>
    <row r="612" spans="1:34" ht="15.95" customHeight="1" x14ac:dyDescent="0.25">
      <c r="A612" s="115">
        <v>60</v>
      </c>
      <c r="B612" s="112" t="s">
        <v>83</v>
      </c>
      <c r="C612" s="229" t="s">
        <v>81</v>
      </c>
      <c r="D612" s="34">
        <v>2014</v>
      </c>
      <c r="E612" s="112" t="s">
        <v>80</v>
      </c>
      <c r="F612" s="112" t="s">
        <v>68</v>
      </c>
      <c r="G612" s="112" t="s">
        <v>422</v>
      </c>
      <c r="H612" s="35"/>
      <c r="I612" s="35"/>
      <c r="J612" s="35">
        <v>204</v>
      </c>
      <c r="K612" s="35" t="s">
        <v>65</v>
      </c>
      <c r="L612" s="112" t="s">
        <v>66</v>
      </c>
      <c r="M612" s="112" t="s">
        <v>67</v>
      </c>
      <c r="N612" s="35" t="s">
        <v>58</v>
      </c>
      <c r="O612" s="35" t="s">
        <v>169</v>
      </c>
      <c r="P612" s="35" t="s">
        <v>112</v>
      </c>
      <c r="Q612" s="112">
        <v>342.7</v>
      </c>
      <c r="R612" s="112">
        <v>63.7</v>
      </c>
      <c r="S612" s="112">
        <v>235.3</v>
      </c>
      <c r="T612" s="112">
        <v>38.799999999999997</v>
      </c>
      <c r="U612" s="112">
        <v>2.48</v>
      </c>
      <c r="V612" s="112">
        <v>0.47399999999999998</v>
      </c>
      <c r="W612" s="112">
        <v>1.7</v>
      </c>
      <c r="X612" s="112">
        <v>0.26800000000000002</v>
      </c>
      <c r="Y612" s="112"/>
      <c r="Z612" s="112"/>
      <c r="AA612" s="112"/>
      <c r="AB612" s="112"/>
      <c r="AC612" s="112"/>
      <c r="AD612" s="112"/>
      <c r="AE612" s="112"/>
      <c r="AF612" s="112"/>
      <c r="AG612" s="112"/>
      <c r="AH612" s="205"/>
    </row>
    <row r="613" spans="1:34" ht="15.95" customHeight="1" x14ac:dyDescent="0.25">
      <c r="A613" s="135">
        <v>60</v>
      </c>
      <c r="B613" s="112" t="s">
        <v>83</v>
      </c>
      <c r="C613" s="229" t="s">
        <v>81</v>
      </c>
      <c r="D613" s="126">
        <v>2014</v>
      </c>
      <c r="E613" s="125" t="s">
        <v>80</v>
      </c>
      <c r="F613" s="112" t="s">
        <v>68</v>
      </c>
      <c r="G613" s="125" t="s">
        <v>423</v>
      </c>
      <c r="H613" s="35"/>
      <c r="I613" s="35"/>
      <c r="J613" s="35">
        <v>73</v>
      </c>
      <c r="K613" s="35" t="s">
        <v>64</v>
      </c>
      <c r="L613" s="112" t="s">
        <v>66</v>
      </c>
      <c r="M613" s="112" t="s">
        <v>67</v>
      </c>
      <c r="N613" s="35" t="s">
        <v>58</v>
      </c>
      <c r="O613" s="35" t="s">
        <v>169</v>
      </c>
      <c r="P613" s="35" t="s">
        <v>112</v>
      </c>
      <c r="Q613" s="112">
        <v>304.3</v>
      </c>
      <c r="R613" s="112">
        <v>55.7</v>
      </c>
      <c r="S613" s="112">
        <v>207.5</v>
      </c>
      <c r="T613" s="112">
        <v>41.5</v>
      </c>
      <c r="U613" s="112">
        <v>3</v>
      </c>
      <c r="V613" s="112">
        <v>0.56299999999999994</v>
      </c>
      <c r="W613" s="112">
        <v>2.04</v>
      </c>
      <c r="X613" s="112">
        <v>0.378</v>
      </c>
      <c r="Y613" s="112"/>
      <c r="Z613" s="112"/>
      <c r="AA613" s="112"/>
      <c r="AB613" s="112"/>
      <c r="AC613" s="112"/>
      <c r="AD613" s="112"/>
      <c r="AE613" s="112"/>
      <c r="AF613" s="112"/>
      <c r="AG613" s="112"/>
      <c r="AH613" s="205"/>
    </row>
    <row r="614" spans="1:34" ht="15.95" customHeight="1" x14ac:dyDescent="0.25">
      <c r="A614" s="135">
        <v>60</v>
      </c>
      <c r="B614" s="112" t="s">
        <v>83</v>
      </c>
      <c r="C614" s="229" t="s">
        <v>81</v>
      </c>
      <c r="D614" s="126">
        <v>2014</v>
      </c>
      <c r="E614" s="125" t="s">
        <v>80</v>
      </c>
      <c r="F614" s="112" t="s">
        <v>68</v>
      </c>
      <c r="G614" s="125" t="s">
        <v>423</v>
      </c>
      <c r="H614" s="35"/>
      <c r="I614" s="35"/>
      <c r="J614" s="35">
        <v>73</v>
      </c>
      <c r="K614" s="35" t="s">
        <v>65</v>
      </c>
      <c r="L614" s="112" t="s">
        <v>66</v>
      </c>
      <c r="M614" s="112" t="s">
        <v>67</v>
      </c>
      <c r="N614" s="35" t="s">
        <v>58</v>
      </c>
      <c r="O614" s="35" t="s">
        <v>169</v>
      </c>
      <c r="P614" s="35" t="s">
        <v>112</v>
      </c>
      <c r="Q614" s="112">
        <v>298.60000000000002</v>
      </c>
      <c r="R614" s="112">
        <v>61.3</v>
      </c>
      <c r="S614" s="112">
        <v>206.4</v>
      </c>
      <c r="T614" s="112">
        <v>37.200000000000003</v>
      </c>
      <c r="U614" s="112">
        <v>2.95</v>
      </c>
      <c r="V614" s="112">
        <v>0.63200000000000001</v>
      </c>
      <c r="W614" s="112">
        <v>2.0299999999999998</v>
      </c>
      <c r="X614" s="112">
        <v>0.34599999999999997</v>
      </c>
      <c r="Y614" s="112"/>
      <c r="Z614" s="112"/>
      <c r="AA614" s="112"/>
      <c r="AB614" s="112"/>
      <c r="AC614" s="112"/>
      <c r="AD614" s="112"/>
      <c r="AE614" s="112"/>
      <c r="AF614" s="112"/>
      <c r="AG614" s="112"/>
      <c r="AH614" s="205"/>
    </row>
    <row r="615" spans="1:34" ht="15.95" customHeight="1" x14ac:dyDescent="0.25">
      <c r="A615" s="115">
        <v>60</v>
      </c>
      <c r="B615" s="112" t="s">
        <v>83</v>
      </c>
      <c r="C615" s="229" t="s">
        <v>81</v>
      </c>
      <c r="D615" s="34">
        <v>2014</v>
      </c>
      <c r="E615" s="112" t="s">
        <v>80</v>
      </c>
      <c r="F615" s="112" t="s">
        <v>68</v>
      </c>
      <c r="G615" s="112" t="s">
        <v>424</v>
      </c>
      <c r="H615" s="35"/>
      <c r="I615" s="35"/>
      <c r="J615" s="35">
        <v>118</v>
      </c>
      <c r="K615" s="35" t="s">
        <v>64</v>
      </c>
      <c r="L615" s="112" t="s">
        <v>66</v>
      </c>
      <c r="M615" s="112" t="s">
        <v>67</v>
      </c>
      <c r="N615" s="35" t="s">
        <v>58</v>
      </c>
      <c r="O615" s="35" t="s">
        <v>169</v>
      </c>
      <c r="P615" s="35" t="s">
        <v>112</v>
      </c>
      <c r="Q615" s="112">
        <v>303.10000000000002</v>
      </c>
      <c r="R615" s="112">
        <v>67.7</v>
      </c>
      <c r="S615" s="112">
        <v>199.7</v>
      </c>
      <c r="T615" s="112">
        <v>40.1</v>
      </c>
      <c r="U615" s="112">
        <v>3.06</v>
      </c>
      <c r="V615" s="112">
        <v>0.66200000000000003</v>
      </c>
      <c r="W615" s="112">
        <v>2.02</v>
      </c>
      <c r="X615" s="112">
        <v>0.39300000000000002</v>
      </c>
      <c r="Y615" s="112"/>
      <c r="Z615" s="112"/>
      <c r="AA615" s="112"/>
      <c r="AB615" s="112"/>
      <c r="AC615" s="112"/>
      <c r="AD615" s="112"/>
      <c r="AE615" s="112"/>
      <c r="AF615" s="112"/>
      <c r="AG615" s="112"/>
      <c r="AH615" s="205"/>
    </row>
    <row r="616" spans="1:34" ht="15.95" customHeight="1" x14ac:dyDescent="0.25">
      <c r="A616" s="115">
        <v>60</v>
      </c>
      <c r="B616" s="112" t="s">
        <v>83</v>
      </c>
      <c r="C616" s="229" t="s">
        <v>81</v>
      </c>
      <c r="D616" s="34">
        <v>2014</v>
      </c>
      <c r="E616" s="112" t="s">
        <v>80</v>
      </c>
      <c r="F616" s="112" t="s">
        <v>68</v>
      </c>
      <c r="G616" s="112" t="s">
        <v>424</v>
      </c>
      <c r="H616" s="35"/>
      <c r="I616" s="35"/>
      <c r="J616" s="35">
        <v>118</v>
      </c>
      <c r="K616" s="35" t="s">
        <v>65</v>
      </c>
      <c r="L616" s="112" t="s">
        <v>66</v>
      </c>
      <c r="M616" s="112" t="s">
        <v>67</v>
      </c>
      <c r="N616" s="35" t="s">
        <v>58</v>
      </c>
      <c r="O616" s="35" t="s">
        <v>169</v>
      </c>
      <c r="P616" s="35" t="s">
        <v>112</v>
      </c>
      <c r="Q616" s="112">
        <v>296.60000000000002</v>
      </c>
      <c r="R616" s="112">
        <v>64</v>
      </c>
      <c r="S616" s="112">
        <v>197.7</v>
      </c>
      <c r="T616" s="112">
        <v>38.9</v>
      </c>
      <c r="U616" s="112">
        <v>2.99</v>
      </c>
      <c r="V616" s="112">
        <v>0.626</v>
      </c>
      <c r="W616" s="112">
        <v>2</v>
      </c>
      <c r="X616" s="112">
        <v>0.379</v>
      </c>
      <c r="Y616" s="112"/>
      <c r="Z616" s="112"/>
      <c r="AA616" s="112"/>
      <c r="AB616" s="112"/>
      <c r="AC616" s="112"/>
      <c r="AD616" s="112"/>
      <c r="AE616" s="112"/>
      <c r="AF616" s="112"/>
      <c r="AG616" s="112"/>
      <c r="AH616" s="205"/>
    </row>
    <row r="617" spans="1:34" ht="15.95" customHeight="1" x14ac:dyDescent="0.25">
      <c r="A617" s="135">
        <v>60</v>
      </c>
      <c r="B617" s="112" t="s">
        <v>83</v>
      </c>
      <c r="C617" s="229" t="s">
        <v>81</v>
      </c>
      <c r="D617" s="126">
        <v>2014</v>
      </c>
      <c r="E617" s="125" t="s">
        <v>80</v>
      </c>
      <c r="F617" s="112" t="s">
        <v>68</v>
      </c>
      <c r="G617" s="125" t="s">
        <v>425</v>
      </c>
      <c r="H617" s="35"/>
      <c r="I617" s="35"/>
      <c r="J617" s="35">
        <v>59</v>
      </c>
      <c r="K617" s="35" t="s">
        <v>64</v>
      </c>
      <c r="L617" s="112" t="s">
        <v>66</v>
      </c>
      <c r="M617" s="112" t="s">
        <v>67</v>
      </c>
      <c r="N617" s="35" t="s">
        <v>58</v>
      </c>
      <c r="O617" s="35" t="s">
        <v>169</v>
      </c>
      <c r="P617" s="35" t="s">
        <v>112</v>
      </c>
      <c r="Q617" s="112">
        <v>341.6</v>
      </c>
      <c r="R617" s="112">
        <v>53</v>
      </c>
      <c r="S617" s="112">
        <v>231.3</v>
      </c>
      <c r="T617" s="112">
        <v>38.700000000000003</v>
      </c>
      <c r="U617" s="112">
        <v>2.96</v>
      </c>
      <c r="V617" s="112">
        <v>0.46800000000000003</v>
      </c>
      <c r="W617" s="112">
        <v>2</v>
      </c>
      <c r="X617" s="112">
        <v>0.32800000000000001</v>
      </c>
      <c r="Y617" s="112"/>
      <c r="Z617" s="112"/>
      <c r="AA617" s="112"/>
      <c r="AB617" s="112"/>
      <c r="AC617" s="112"/>
      <c r="AD617" s="112"/>
      <c r="AE617" s="112"/>
      <c r="AF617" s="112"/>
      <c r="AG617" s="112"/>
      <c r="AH617" s="205"/>
    </row>
    <row r="618" spans="1:34" ht="15.95" customHeight="1" x14ac:dyDescent="0.25">
      <c r="A618" s="135">
        <v>60</v>
      </c>
      <c r="B618" s="112" t="s">
        <v>83</v>
      </c>
      <c r="C618" s="229" t="s">
        <v>81</v>
      </c>
      <c r="D618" s="126">
        <v>2014</v>
      </c>
      <c r="E618" s="125" t="s">
        <v>80</v>
      </c>
      <c r="F618" s="112" t="s">
        <v>68</v>
      </c>
      <c r="G618" s="125" t="s">
        <v>425</v>
      </c>
      <c r="H618" s="35"/>
      <c r="I618" s="35"/>
      <c r="J618" s="35">
        <v>59</v>
      </c>
      <c r="K618" s="35" t="s">
        <v>65</v>
      </c>
      <c r="L618" s="112" t="s">
        <v>66</v>
      </c>
      <c r="M618" s="112" t="s">
        <v>67</v>
      </c>
      <c r="N618" s="35" t="s">
        <v>58</v>
      </c>
      <c r="O618" s="35" t="s">
        <v>169</v>
      </c>
      <c r="P618" s="35" t="s">
        <v>112</v>
      </c>
      <c r="Q618" s="112">
        <v>336.8</v>
      </c>
      <c r="R618" s="112">
        <v>58.2</v>
      </c>
      <c r="S618" s="112">
        <v>230.2</v>
      </c>
      <c r="T618" s="112">
        <v>37.200000000000003</v>
      </c>
      <c r="U618" s="112">
        <v>2.92</v>
      </c>
      <c r="V618" s="112">
        <v>0.52500000000000002</v>
      </c>
      <c r="W618" s="112">
        <v>2</v>
      </c>
      <c r="X618" s="112">
        <v>0.32500000000000001</v>
      </c>
      <c r="Y618" s="112"/>
      <c r="Z618" s="112"/>
      <c r="AA618" s="112"/>
      <c r="AB618" s="112"/>
      <c r="AC618" s="112"/>
      <c r="AD618" s="112"/>
      <c r="AE618" s="112"/>
      <c r="AF618" s="112"/>
      <c r="AG618" s="112"/>
      <c r="AH618" s="205"/>
    </row>
    <row r="619" spans="1:34" ht="15.95" customHeight="1" x14ac:dyDescent="0.25">
      <c r="A619" s="115">
        <v>60</v>
      </c>
      <c r="B619" s="112" t="s">
        <v>83</v>
      </c>
      <c r="C619" s="229" t="s">
        <v>81</v>
      </c>
      <c r="D619" s="34">
        <v>2014</v>
      </c>
      <c r="E619" s="112" t="s">
        <v>80</v>
      </c>
      <c r="F619" s="112" t="s">
        <v>68</v>
      </c>
      <c r="G619" s="112" t="s">
        <v>426</v>
      </c>
      <c r="H619" s="35"/>
      <c r="I619" s="35"/>
      <c r="J619" s="35">
        <v>198</v>
      </c>
      <c r="K619" s="35" t="s">
        <v>64</v>
      </c>
      <c r="L619" s="112" t="s">
        <v>66</v>
      </c>
      <c r="M619" s="112" t="s">
        <v>67</v>
      </c>
      <c r="N619" s="35" t="s">
        <v>58</v>
      </c>
      <c r="O619" s="35" t="s">
        <v>169</v>
      </c>
      <c r="P619" s="35" t="s">
        <v>112</v>
      </c>
      <c r="Q619" s="112">
        <v>278.7</v>
      </c>
      <c r="R619" s="112">
        <v>57.6</v>
      </c>
      <c r="S619" s="112">
        <v>192.7</v>
      </c>
      <c r="T619" s="112">
        <v>40.5</v>
      </c>
      <c r="U619" s="112">
        <v>3.05</v>
      </c>
      <c r="V619" s="112">
        <v>0.55700000000000005</v>
      </c>
      <c r="W619" s="112">
        <v>2.1</v>
      </c>
      <c r="X619" s="112">
        <v>0.375</v>
      </c>
      <c r="Y619" s="112"/>
      <c r="Z619" s="112"/>
      <c r="AA619" s="112"/>
      <c r="AB619" s="112"/>
      <c r="AC619" s="112"/>
      <c r="AD619" s="112"/>
      <c r="AE619" s="112"/>
      <c r="AF619" s="112"/>
      <c r="AG619" s="112"/>
      <c r="AH619" s="205"/>
    </row>
    <row r="620" spans="1:34" ht="15.95" customHeight="1" x14ac:dyDescent="0.25">
      <c r="A620" s="115">
        <v>60</v>
      </c>
      <c r="B620" s="112" t="s">
        <v>83</v>
      </c>
      <c r="C620" s="229" t="s">
        <v>81</v>
      </c>
      <c r="D620" s="34">
        <v>2014</v>
      </c>
      <c r="E620" s="112" t="s">
        <v>80</v>
      </c>
      <c r="F620" s="112" t="s">
        <v>68</v>
      </c>
      <c r="G620" s="112" t="s">
        <v>426</v>
      </c>
      <c r="H620" s="35"/>
      <c r="I620" s="35"/>
      <c r="J620" s="35">
        <v>198</v>
      </c>
      <c r="K620" s="35" t="s">
        <v>65</v>
      </c>
      <c r="L620" s="112" t="s">
        <v>66</v>
      </c>
      <c r="M620" s="112" t="s">
        <v>67</v>
      </c>
      <c r="N620" s="35" t="s">
        <v>58</v>
      </c>
      <c r="O620" s="35" t="s">
        <v>169</v>
      </c>
      <c r="P620" s="35" t="s">
        <v>112</v>
      </c>
      <c r="Q620" s="112">
        <v>276.8</v>
      </c>
      <c r="R620" s="112">
        <v>57.8</v>
      </c>
      <c r="S620" s="112">
        <v>191.3</v>
      </c>
      <c r="T620" s="112">
        <v>40.799999999999997</v>
      </c>
      <c r="U620" s="112">
        <v>3.04</v>
      </c>
      <c r="V620" s="112">
        <v>0.58399999999999996</v>
      </c>
      <c r="W620" s="112">
        <v>2.09</v>
      </c>
      <c r="X620" s="112">
        <v>0.39600000000000002</v>
      </c>
      <c r="Y620" s="112"/>
      <c r="Z620" s="112"/>
      <c r="AA620" s="112"/>
      <c r="AB620" s="112"/>
      <c r="AC620" s="112"/>
      <c r="AD620" s="112"/>
      <c r="AE620" s="112"/>
      <c r="AF620" s="112"/>
      <c r="AG620" s="112"/>
      <c r="AH620" s="205"/>
    </row>
    <row r="621" spans="1:34" ht="15.95" customHeight="1" x14ac:dyDescent="0.25">
      <c r="A621" s="112"/>
      <c r="B621" s="112"/>
      <c r="C621" s="112"/>
      <c r="D621" s="112"/>
      <c r="E621" s="112"/>
      <c r="F621" s="112"/>
      <c r="G621" s="112"/>
      <c r="H621" s="112"/>
      <c r="I621" s="112"/>
      <c r="J621" s="112"/>
      <c r="K621" s="112"/>
      <c r="L621" s="112"/>
      <c r="M621" s="112"/>
      <c r="N621" s="112"/>
      <c r="O621" s="112"/>
      <c r="P621" s="112"/>
      <c r="Q621" s="112"/>
      <c r="R621" s="112"/>
      <c r="S621" s="112"/>
      <c r="T621" s="112"/>
      <c r="U621" s="112"/>
      <c r="V621" s="112"/>
      <c r="W621" s="112"/>
      <c r="X621" s="112"/>
      <c r="Y621" s="112"/>
      <c r="Z621" s="112"/>
      <c r="AA621" s="112"/>
      <c r="AB621" s="112"/>
      <c r="AC621" s="112"/>
      <c r="AD621" s="112"/>
      <c r="AE621" s="112"/>
      <c r="AF621" s="112"/>
      <c r="AG621" s="112"/>
    </row>
    <row r="622" spans="1:34" ht="15.95" customHeight="1" x14ac:dyDescent="0.25">
      <c r="A622" s="112"/>
      <c r="B622" s="112"/>
      <c r="C622" s="112"/>
      <c r="D622" s="112"/>
      <c r="E622" s="112"/>
      <c r="F622" s="112"/>
      <c r="G622" s="112"/>
      <c r="H622" s="112"/>
      <c r="I622" s="112"/>
      <c r="J622" s="112"/>
      <c r="K622" s="112"/>
      <c r="L622" s="112"/>
      <c r="M622" s="112"/>
      <c r="N622" s="112"/>
      <c r="O622" s="112"/>
      <c r="P622" s="112"/>
      <c r="Q622" s="112"/>
      <c r="R622" s="112"/>
      <c r="S622" s="112"/>
      <c r="T622" s="112"/>
      <c r="U622" s="112"/>
      <c r="V622" s="112"/>
      <c r="W622" s="112"/>
      <c r="X622" s="112"/>
      <c r="Y622" s="112"/>
      <c r="Z622" s="112"/>
      <c r="AA622" s="112"/>
      <c r="AB622" s="112"/>
      <c r="AC622" s="112"/>
      <c r="AD622" s="112"/>
      <c r="AE622" s="112"/>
      <c r="AF622" s="112"/>
      <c r="AG622" s="112"/>
    </row>
    <row r="623" spans="1:34" ht="15.95" customHeight="1" x14ac:dyDescent="0.25">
      <c r="A623" s="112"/>
      <c r="B623" s="112"/>
      <c r="C623" s="112"/>
      <c r="D623" s="112"/>
      <c r="E623" s="112"/>
      <c r="F623" s="112"/>
      <c r="G623" s="112"/>
      <c r="H623" s="112"/>
      <c r="I623" s="112"/>
      <c r="J623" s="112"/>
      <c r="K623" s="112"/>
      <c r="L623" s="112"/>
      <c r="M623" s="112"/>
      <c r="N623" s="112"/>
      <c r="O623" s="112"/>
      <c r="P623" s="112"/>
      <c r="Q623" s="112"/>
      <c r="R623" s="112"/>
      <c r="S623" s="112"/>
      <c r="T623" s="112"/>
      <c r="U623" s="112"/>
      <c r="V623" s="112"/>
      <c r="W623" s="112"/>
      <c r="X623" s="112"/>
      <c r="Y623" s="112"/>
      <c r="Z623" s="112"/>
      <c r="AA623" s="112"/>
      <c r="AB623" s="112"/>
      <c r="AC623" s="112"/>
      <c r="AD623" s="112"/>
      <c r="AE623" s="112"/>
      <c r="AF623" s="112"/>
      <c r="AG623" s="112"/>
    </row>
    <row r="624" spans="1:34" ht="15.95" customHeight="1" x14ac:dyDescent="0.25">
      <c r="A624" s="112"/>
      <c r="B624" s="112"/>
      <c r="C624" s="112"/>
      <c r="D624" s="112"/>
      <c r="E624" s="112"/>
      <c r="F624" s="112"/>
      <c r="G624" s="112"/>
      <c r="H624" s="112"/>
      <c r="I624" s="112"/>
      <c r="J624" s="112"/>
      <c r="K624" s="112"/>
      <c r="L624" s="112"/>
      <c r="M624" s="112"/>
      <c r="N624" s="112"/>
      <c r="O624" s="112"/>
      <c r="P624" s="112"/>
      <c r="Q624" s="112"/>
      <c r="R624" s="112"/>
      <c r="S624" s="112"/>
      <c r="T624" s="112"/>
      <c r="U624" s="112"/>
      <c r="V624" s="112"/>
      <c r="W624" s="112"/>
      <c r="X624" s="112"/>
      <c r="Y624" s="112"/>
      <c r="Z624" s="112"/>
      <c r="AA624" s="112"/>
      <c r="AB624" s="112"/>
      <c r="AC624" s="112"/>
      <c r="AD624" s="112"/>
      <c r="AE624" s="112"/>
      <c r="AF624" s="112"/>
      <c r="AG624" s="112"/>
    </row>
    <row r="625" spans="1:33" ht="15.95" customHeight="1" x14ac:dyDescent="0.25">
      <c r="A625" s="112"/>
      <c r="B625" s="112"/>
      <c r="C625" s="112"/>
      <c r="D625" s="112"/>
      <c r="E625" s="112"/>
      <c r="F625" s="112"/>
      <c r="G625" s="112"/>
      <c r="H625" s="112"/>
      <c r="I625" s="112"/>
      <c r="J625" s="112"/>
      <c r="K625" s="112"/>
      <c r="L625" s="112"/>
      <c r="M625" s="112"/>
      <c r="N625" s="112"/>
      <c r="O625" s="112"/>
      <c r="P625" s="112"/>
      <c r="Q625" s="112"/>
      <c r="R625" s="112"/>
      <c r="S625" s="112"/>
      <c r="T625" s="112"/>
      <c r="U625" s="112"/>
      <c r="V625" s="112"/>
      <c r="W625" s="112"/>
      <c r="X625" s="112"/>
      <c r="Y625" s="112"/>
      <c r="Z625" s="112"/>
      <c r="AA625" s="112"/>
      <c r="AB625" s="112"/>
      <c r="AC625" s="112"/>
      <c r="AD625" s="112"/>
      <c r="AE625" s="112"/>
      <c r="AF625" s="112"/>
      <c r="AG625" s="112"/>
    </row>
    <row r="626" spans="1:33" ht="15.95" customHeight="1" x14ac:dyDescent="0.25">
      <c r="A626" s="112"/>
      <c r="B626" s="112"/>
      <c r="C626" s="112"/>
      <c r="D626" s="112"/>
      <c r="E626" s="112"/>
      <c r="F626" s="112"/>
      <c r="G626" s="112"/>
      <c r="H626" s="112"/>
      <c r="I626" s="112"/>
      <c r="J626" s="112"/>
      <c r="K626" s="112"/>
      <c r="L626" s="112"/>
      <c r="M626" s="112"/>
      <c r="N626" s="112"/>
      <c r="O626" s="112"/>
      <c r="P626" s="112"/>
      <c r="Q626" s="112"/>
      <c r="R626" s="112"/>
      <c r="S626" s="112"/>
      <c r="T626" s="112"/>
      <c r="U626" s="112"/>
      <c r="V626" s="112"/>
      <c r="W626" s="112"/>
      <c r="X626" s="112"/>
      <c r="Y626" s="112"/>
      <c r="Z626" s="112"/>
      <c r="AA626" s="112"/>
      <c r="AB626" s="112"/>
      <c r="AC626" s="112"/>
      <c r="AD626" s="112"/>
      <c r="AE626" s="112"/>
      <c r="AF626" s="112"/>
      <c r="AG626" s="112"/>
    </row>
    <row r="627" spans="1:33" ht="15.95" customHeight="1" x14ac:dyDescent="0.25">
      <c r="A627" s="112"/>
      <c r="B627" s="112"/>
      <c r="C627" s="112"/>
      <c r="D627" s="112"/>
      <c r="E627" s="112"/>
      <c r="F627" s="112"/>
      <c r="G627" s="112"/>
      <c r="H627" s="112"/>
      <c r="I627" s="112"/>
      <c r="J627" s="112"/>
      <c r="K627" s="112"/>
      <c r="L627" s="112"/>
      <c r="M627" s="112"/>
      <c r="N627" s="112"/>
      <c r="O627" s="112"/>
      <c r="P627" s="112"/>
      <c r="Q627" s="112"/>
      <c r="R627" s="112"/>
      <c r="S627" s="112"/>
      <c r="T627" s="112"/>
      <c r="U627" s="112"/>
      <c r="V627" s="112"/>
      <c r="W627" s="112"/>
      <c r="X627" s="112"/>
      <c r="Y627" s="112"/>
      <c r="Z627" s="112"/>
      <c r="AA627" s="112"/>
      <c r="AB627" s="112"/>
      <c r="AC627" s="112"/>
      <c r="AD627" s="112"/>
      <c r="AE627" s="112"/>
      <c r="AF627" s="112"/>
      <c r="AG627" s="112"/>
    </row>
    <row r="628" spans="1:33" ht="15.95" customHeight="1" x14ac:dyDescent="0.25">
      <c r="A628" s="112"/>
      <c r="B628" s="112"/>
      <c r="C628" s="112"/>
      <c r="D628" s="112"/>
      <c r="E628" s="112"/>
      <c r="F628" s="112"/>
      <c r="G628" s="112"/>
      <c r="H628" s="112"/>
      <c r="I628" s="112"/>
      <c r="J628" s="112"/>
      <c r="K628" s="112"/>
      <c r="L628" s="112"/>
      <c r="M628" s="112"/>
      <c r="N628" s="112"/>
      <c r="O628" s="112"/>
      <c r="P628" s="112"/>
      <c r="Q628" s="112"/>
      <c r="R628" s="112"/>
      <c r="S628" s="112"/>
      <c r="T628" s="112"/>
      <c r="U628" s="112"/>
      <c r="V628" s="112"/>
      <c r="W628" s="112"/>
      <c r="X628" s="112"/>
      <c r="Y628" s="112"/>
      <c r="Z628" s="112"/>
      <c r="AA628" s="112"/>
      <c r="AB628" s="112"/>
      <c r="AC628" s="112"/>
      <c r="AD628" s="112"/>
      <c r="AE628" s="112"/>
      <c r="AF628" s="112"/>
      <c r="AG628" s="112"/>
    </row>
    <row r="629" spans="1:33" ht="15.95" customHeight="1" x14ac:dyDescent="0.25">
      <c r="A629" s="112"/>
      <c r="B629" s="112"/>
      <c r="C629" s="112"/>
      <c r="D629" s="112"/>
      <c r="E629" s="112"/>
      <c r="F629" s="112"/>
      <c r="G629" s="112"/>
      <c r="H629" s="112"/>
      <c r="I629" s="112"/>
      <c r="J629" s="112"/>
      <c r="K629" s="112"/>
      <c r="L629" s="112"/>
      <c r="M629" s="112"/>
      <c r="N629" s="112"/>
      <c r="O629" s="112"/>
      <c r="P629" s="112"/>
      <c r="Q629" s="112"/>
      <c r="R629" s="112"/>
      <c r="S629" s="112"/>
      <c r="T629" s="112"/>
      <c r="U629" s="112"/>
      <c r="V629" s="112"/>
      <c r="W629" s="112"/>
      <c r="X629" s="112"/>
      <c r="Y629" s="112"/>
      <c r="Z629" s="112"/>
      <c r="AA629" s="112"/>
      <c r="AB629" s="112"/>
      <c r="AC629" s="112"/>
      <c r="AD629" s="112"/>
      <c r="AE629" s="112"/>
      <c r="AF629" s="112"/>
      <c r="AG629" s="112"/>
    </row>
    <row r="630" spans="1:33" ht="15.95" customHeight="1" x14ac:dyDescent="0.25">
      <c r="A630" s="112"/>
      <c r="B630" s="112"/>
      <c r="C630" s="112"/>
      <c r="D630" s="112"/>
      <c r="E630" s="112"/>
      <c r="F630" s="112"/>
      <c r="G630" s="112"/>
      <c r="H630" s="112"/>
      <c r="I630" s="112"/>
      <c r="J630" s="112"/>
      <c r="K630" s="112"/>
      <c r="L630" s="112"/>
      <c r="M630" s="112"/>
      <c r="N630" s="112"/>
      <c r="O630" s="112"/>
      <c r="P630" s="112"/>
      <c r="Q630" s="112"/>
      <c r="R630" s="112"/>
      <c r="S630" s="112"/>
      <c r="T630" s="112"/>
      <c r="U630" s="112"/>
      <c r="V630" s="112"/>
      <c r="W630" s="112"/>
      <c r="X630" s="112"/>
      <c r="Y630" s="112"/>
      <c r="Z630" s="112"/>
      <c r="AA630" s="112"/>
      <c r="AB630" s="112"/>
      <c r="AC630" s="112"/>
      <c r="AD630" s="112"/>
      <c r="AE630" s="112"/>
      <c r="AF630" s="112"/>
      <c r="AG630" s="112"/>
    </row>
    <row r="631" spans="1:33" ht="15.95" customHeight="1" x14ac:dyDescent="0.25">
      <c r="A631" s="112"/>
      <c r="B631" s="112"/>
      <c r="C631" s="112"/>
      <c r="D631" s="112"/>
      <c r="E631" s="112"/>
      <c r="F631" s="112"/>
      <c r="G631" s="112"/>
      <c r="H631" s="112"/>
      <c r="I631" s="112"/>
      <c r="J631" s="112"/>
      <c r="K631" s="112"/>
      <c r="L631" s="112"/>
      <c r="M631" s="112"/>
      <c r="N631" s="112"/>
      <c r="O631" s="112"/>
      <c r="P631" s="112"/>
      <c r="Q631" s="112"/>
      <c r="R631" s="112"/>
      <c r="S631" s="112"/>
      <c r="T631" s="112"/>
      <c r="U631" s="112"/>
      <c r="V631" s="112"/>
      <c r="W631" s="112"/>
      <c r="X631" s="112"/>
      <c r="Y631" s="112"/>
      <c r="Z631" s="112"/>
      <c r="AA631" s="112"/>
      <c r="AB631" s="112"/>
      <c r="AC631" s="112"/>
      <c r="AD631" s="112"/>
      <c r="AE631" s="112"/>
      <c r="AF631" s="112"/>
      <c r="AG631" s="112"/>
    </row>
    <row r="632" spans="1:33" ht="15.95" customHeight="1" x14ac:dyDescent="0.25">
      <c r="A632" s="112"/>
      <c r="B632" s="112"/>
      <c r="C632" s="112"/>
      <c r="D632" s="112"/>
      <c r="E632" s="112"/>
      <c r="F632" s="112"/>
      <c r="G632" s="112"/>
      <c r="H632" s="112"/>
      <c r="I632" s="112"/>
      <c r="J632" s="112"/>
      <c r="K632" s="112"/>
      <c r="L632" s="112"/>
      <c r="M632" s="112"/>
      <c r="N632" s="112"/>
      <c r="O632" s="112"/>
      <c r="P632" s="112"/>
      <c r="Q632" s="112"/>
      <c r="R632" s="112"/>
      <c r="S632" s="112"/>
      <c r="T632" s="112"/>
      <c r="U632" s="112"/>
      <c r="V632" s="112"/>
      <c r="W632" s="112"/>
      <c r="X632" s="112"/>
      <c r="Y632" s="112"/>
      <c r="Z632" s="112"/>
      <c r="AA632" s="112"/>
      <c r="AB632" s="112"/>
      <c r="AC632" s="112"/>
      <c r="AD632" s="112"/>
      <c r="AE632" s="112"/>
      <c r="AF632" s="112"/>
      <c r="AG632" s="112"/>
    </row>
    <row r="633" spans="1:33" ht="15.95" customHeight="1" x14ac:dyDescent="0.25">
      <c r="A633" s="112"/>
      <c r="B633" s="112"/>
      <c r="C633" s="112"/>
      <c r="D633" s="112"/>
      <c r="E633" s="112"/>
      <c r="F633" s="112"/>
      <c r="G633" s="112"/>
      <c r="H633" s="112"/>
      <c r="I633" s="112"/>
      <c r="J633" s="112"/>
      <c r="K633" s="112"/>
      <c r="L633" s="112"/>
      <c r="M633" s="112"/>
      <c r="N633" s="112"/>
      <c r="O633" s="112"/>
      <c r="P633" s="112"/>
      <c r="Q633" s="112"/>
      <c r="R633" s="112"/>
      <c r="S633" s="112"/>
      <c r="T633" s="112"/>
      <c r="U633" s="112"/>
      <c r="V633" s="112"/>
      <c r="W633" s="112"/>
      <c r="X633" s="112"/>
      <c r="Y633" s="112"/>
      <c r="Z633" s="112"/>
      <c r="AA633" s="112"/>
      <c r="AB633" s="112"/>
      <c r="AC633" s="112"/>
      <c r="AD633" s="112"/>
      <c r="AE633" s="112"/>
      <c r="AF633" s="112"/>
      <c r="AG633" s="112"/>
    </row>
    <row r="634" spans="1:33" ht="15.95" customHeight="1" x14ac:dyDescent="0.25">
      <c r="A634" s="112"/>
      <c r="B634" s="112"/>
      <c r="C634" s="112"/>
      <c r="D634" s="112"/>
      <c r="E634" s="112"/>
      <c r="F634" s="112"/>
      <c r="G634" s="112"/>
      <c r="H634" s="112"/>
      <c r="I634" s="112"/>
      <c r="J634" s="112"/>
      <c r="K634" s="112"/>
      <c r="L634" s="112"/>
      <c r="M634" s="112"/>
      <c r="N634" s="112"/>
      <c r="O634" s="112"/>
      <c r="P634" s="112"/>
      <c r="Q634" s="112"/>
      <c r="R634" s="112"/>
      <c r="S634" s="112"/>
      <c r="T634" s="112"/>
      <c r="U634" s="112"/>
      <c r="V634" s="112"/>
      <c r="W634" s="112"/>
      <c r="X634" s="112"/>
      <c r="Y634" s="112"/>
      <c r="Z634" s="112"/>
      <c r="AA634" s="112"/>
      <c r="AB634" s="112"/>
      <c r="AC634" s="112"/>
      <c r="AD634" s="112"/>
      <c r="AE634" s="112"/>
      <c r="AF634" s="112"/>
      <c r="AG634" s="112"/>
    </row>
    <row r="635" spans="1:33" ht="15.95" customHeight="1" x14ac:dyDescent="0.25">
      <c r="A635" s="112"/>
      <c r="B635" s="112"/>
      <c r="C635" s="112"/>
      <c r="D635" s="112"/>
      <c r="E635" s="112"/>
      <c r="F635" s="112"/>
      <c r="G635" s="112"/>
      <c r="H635" s="112"/>
      <c r="I635" s="112"/>
      <c r="J635" s="112"/>
      <c r="K635" s="112"/>
      <c r="L635" s="112"/>
      <c r="M635" s="112"/>
      <c r="N635" s="112"/>
      <c r="O635" s="112"/>
      <c r="P635" s="112"/>
      <c r="Q635" s="112"/>
      <c r="R635" s="112"/>
      <c r="S635" s="112"/>
      <c r="T635" s="112"/>
      <c r="U635" s="112"/>
      <c r="V635" s="112"/>
      <c r="W635" s="112"/>
      <c r="X635" s="112"/>
      <c r="Y635" s="112"/>
      <c r="Z635" s="112"/>
      <c r="AA635" s="112"/>
      <c r="AB635" s="112"/>
      <c r="AC635" s="112"/>
      <c r="AD635" s="112"/>
      <c r="AE635" s="112"/>
      <c r="AF635" s="112"/>
      <c r="AG635" s="112"/>
    </row>
    <row r="636" spans="1:33" ht="15.95" customHeight="1" x14ac:dyDescent="0.25">
      <c r="A636" s="112"/>
      <c r="B636" s="112"/>
      <c r="C636" s="112"/>
      <c r="D636" s="112"/>
      <c r="E636" s="112"/>
      <c r="F636" s="112"/>
      <c r="G636" s="112"/>
      <c r="H636" s="112"/>
      <c r="I636" s="112"/>
      <c r="J636" s="112"/>
      <c r="K636" s="112"/>
      <c r="L636" s="112"/>
      <c r="M636" s="112"/>
      <c r="N636" s="112"/>
      <c r="O636" s="112"/>
      <c r="P636" s="112"/>
      <c r="Q636" s="112"/>
      <c r="R636" s="112"/>
      <c r="S636" s="112"/>
      <c r="T636" s="112"/>
      <c r="U636" s="112"/>
      <c r="V636" s="112"/>
      <c r="W636" s="112"/>
      <c r="X636" s="112"/>
      <c r="Y636" s="112"/>
      <c r="Z636" s="112"/>
      <c r="AA636" s="112"/>
      <c r="AB636" s="112"/>
      <c r="AC636" s="112"/>
      <c r="AD636" s="112"/>
      <c r="AE636" s="112"/>
      <c r="AF636" s="112"/>
      <c r="AG636" s="112"/>
    </row>
    <row r="637" spans="1:33" ht="15.95" customHeight="1" x14ac:dyDescent="0.25">
      <c r="A637" s="112"/>
      <c r="B637" s="112"/>
      <c r="C637" s="112"/>
      <c r="D637" s="112"/>
      <c r="E637" s="112"/>
      <c r="F637" s="112"/>
      <c r="G637" s="112"/>
      <c r="H637" s="112"/>
      <c r="I637" s="112"/>
      <c r="J637" s="112"/>
      <c r="K637" s="112"/>
      <c r="L637" s="112"/>
      <c r="M637" s="112"/>
      <c r="N637" s="112"/>
      <c r="O637" s="112"/>
      <c r="P637" s="112"/>
      <c r="Q637" s="112"/>
      <c r="R637" s="112"/>
      <c r="S637" s="112"/>
      <c r="T637" s="112"/>
      <c r="U637" s="112"/>
      <c r="V637" s="112"/>
      <c r="W637" s="112"/>
      <c r="X637" s="112"/>
      <c r="Y637" s="112"/>
      <c r="Z637" s="112"/>
      <c r="AA637" s="112"/>
      <c r="AB637" s="112"/>
      <c r="AC637" s="112"/>
      <c r="AD637" s="112"/>
      <c r="AE637" s="112"/>
      <c r="AF637" s="112"/>
      <c r="AG637" s="112"/>
    </row>
    <row r="638" spans="1:33" ht="15.95" customHeight="1" x14ac:dyDescent="0.25">
      <c r="A638" s="112"/>
      <c r="B638" s="112"/>
      <c r="C638" s="112"/>
      <c r="D638" s="112"/>
      <c r="E638" s="112"/>
      <c r="F638" s="112"/>
      <c r="G638" s="112"/>
      <c r="H638" s="112"/>
      <c r="I638" s="112"/>
      <c r="J638" s="112"/>
      <c r="K638" s="112"/>
      <c r="L638" s="112"/>
      <c r="M638" s="112"/>
      <c r="N638" s="112"/>
      <c r="O638" s="112"/>
      <c r="P638" s="112"/>
      <c r="Q638" s="112"/>
      <c r="R638" s="112"/>
      <c r="S638" s="112"/>
      <c r="T638" s="112"/>
      <c r="U638" s="112"/>
      <c r="V638" s="112"/>
      <c r="W638" s="112"/>
      <c r="X638" s="112"/>
      <c r="Y638" s="112"/>
      <c r="Z638" s="112"/>
      <c r="AA638" s="112"/>
      <c r="AB638" s="112"/>
      <c r="AC638" s="112"/>
      <c r="AD638" s="112"/>
      <c r="AE638" s="112"/>
      <c r="AF638" s="112"/>
      <c r="AG638" s="112"/>
    </row>
    <row r="639" spans="1:33" ht="15.95" customHeight="1" x14ac:dyDescent="0.25">
      <c r="A639" s="112"/>
      <c r="B639" s="112"/>
      <c r="C639" s="112"/>
      <c r="D639" s="112"/>
      <c r="E639" s="112"/>
      <c r="F639" s="112"/>
      <c r="G639" s="112"/>
      <c r="H639" s="112"/>
      <c r="I639" s="112"/>
      <c r="J639" s="112"/>
      <c r="K639" s="112"/>
      <c r="L639" s="112"/>
      <c r="M639" s="112"/>
      <c r="N639" s="112"/>
      <c r="O639" s="112"/>
      <c r="P639" s="112"/>
      <c r="Q639" s="112"/>
      <c r="R639" s="112"/>
      <c r="S639" s="112"/>
      <c r="T639" s="112"/>
      <c r="U639" s="112"/>
      <c r="V639" s="112"/>
      <c r="W639" s="112"/>
      <c r="X639" s="112"/>
      <c r="Y639" s="112"/>
      <c r="Z639" s="112"/>
      <c r="AA639" s="112"/>
      <c r="AB639" s="112"/>
      <c r="AC639" s="112"/>
      <c r="AD639" s="112"/>
      <c r="AE639" s="112"/>
      <c r="AF639" s="112"/>
      <c r="AG639" s="112"/>
    </row>
    <row r="640" spans="1:33" ht="15.95" customHeight="1" x14ac:dyDescent="0.25">
      <c r="A640" s="112"/>
      <c r="B640" s="112"/>
      <c r="C640" s="112"/>
      <c r="D640" s="112"/>
      <c r="E640" s="112"/>
      <c r="F640" s="112"/>
      <c r="G640" s="112"/>
      <c r="H640" s="112"/>
      <c r="I640" s="112"/>
      <c r="J640" s="112"/>
      <c r="K640" s="112"/>
      <c r="L640" s="112"/>
      <c r="M640" s="112"/>
      <c r="N640" s="112"/>
      <c r="O640" s="112"/>
      <c r="P640" s="112"/>
      <c r="Q640" s="112"/>
      <c r="R640" s="112"/>
      <c r="S640" s="112"/>
      <c r="T640" s="112"/>
      <c r="U640" s="112"/>
      <c r="V640" s="112"/>
      <c r="W640" s="112"/>
      <c r="X640" s="112"/>
      <c r="Y640" s="112"/>
      <c r="Z640" s="112"/>
      <c r="AA640" s="112"/>
      <c r="AB640" s="112"/>
      <c r="AC640" s="112"/>
      <c r="AD640" s="112"/>
      <c r="AE640" s="112"/>
      <c r="AF640" s="112"/>
      <c r="AG640" s="112"/>
    </row>
    <row r="641" spans="1:33" ht="15.95" customHeight="1" x14ac:dyDescent="0.25">
      <c r="A641" s="112"/>
      <c r="B641" s="112"/>
      <c r="C641" s="112"/>
      <c r="D641" s="112"/>
      <c r="E641" s="112"/>
      <c r="F641" s="112"/>
      <c r="G641" s="112"/>
      <c r="H641" s="112"/>
      <c r="I641" s="112"/>
      <c r="J641" s="112"/>
      <c r="K641" s="112"/>
      <c r="L641" s="112"/>
      <c r="M641" s="112"/>
      <c r="N641" s="112"/>
      <c r="O641" s="112"/>
      <c r="P641" s="112"/>
      <c r="Q641" s="112"/>
      <c r="R641" s="112"/>
      <c r="S641" s="112"/>
      <c r="T641" s="112"/>
      <c r="U641" s="112"/>
      <c r="V641" s="112"/>
      <c r="W641" s="112"/>
      <c r="X641" s="112"/>
      <c r="Y641" s="112"/>
      <c r="Z641" s="112"/>
      <c r="AA641" s="112"/>
      <c r="AB641" s="112"/>
      <c r="AC641" s="112"/>
      <c r="AD641" s="112"/>
      <c r="AE641" s="112"/>
      <c r="AF641" s="112"/>
      <c r="AG641" s="112"/>
    </row>
    <row r="642" spans="1:33" ht="15.95" customHeight="1" x14ac:dyDescent="0.25">
      <c r="A642" s="112"/>
      <c r="B642" s="112"/>
      <c r="C642" s="112"/>
      <c r="D642" s="112"/>
      <c r="E642" s="112"/>
      <c r="F642" s="112"/>
      <c r="G642" s="112"/>
      <c r="H642" s="112"/>
      <c r="I642" s="112"/>
      <c r="J642" s="112"/>
      <c r="K642" s="112"/>
      <c r="L642" s="112"/>
      <c r="M642" s="112"/>
      <c r="N642" s="112"/>
      <c r="O642" s="112"/>
      <c r="P642" s="112"/>
      <c r="Q642" s="112"/>
      <c r="R642" s="112"/>
      <c r="S642" s="112"/>
      <c r="T642" s="112"/>
      <c r="U642" s="112"/>
      <c r="V642" s="112"/>
      <c r="W642" s="112"/>
      <c r="X642" s="112"/>
      <c r="Y642" s="112"/>
      <c r="Z642" s="112"/>
      <c r="AA642" s="112"/>
      <c r="AB642" s="112"/>
      <c r="AC642" s="112"/>
      <c r="AD642" s="112"/>
      <c r="AE642" s="112"/>
      <c r="AF642" s="112"/>
      <c r="AG642" s="112"/>
    </row>
    <row r="643" spans="1:33" ht="15.95" customHeight="1" x14ac:dyDescent="0.25">
      <c r="A643" s="112"/>
      <c r="B643" s="112"/>
      <c r="C643" s="112"/>
      <c r="D643" s="112"/>
      <c r="E643" s="112"/>
      <c r="F643" s="112"/>
      <c r="G643" s="112"/>
      <c r="H643" s="112"/>
      <c r="I643" s="112"/>
      <c r="J643" s="112"/>
      <c r="K643" s="112"/>
      <c r="L643" s="112"/>
      <c r="M643" s="112"/>
      <c r="N643" s="112"/>
      <c r="O643" s="112"/>
      <c r="P643" s="112"/>
      <c r="Q643" s="112"/>
      <c r="R643" s="112"/>
      <c r="S643" s="112"/>
      <c r="T643" s="112"/>
      <c r="U643" s="112"/>
      <c r="V643" s="112"/>
      <c r="W643" s="112"/>
      <c r="X643" s="112"/>
      <c r="Y643" s="112"/>
      <c r="Z643" s="112"/>
      <c r="AA643" s="112"/>
      <c r="AB643" s="112"/>
      <c r="AC643" s="112"/>
      <c r="AD643" s="112"/>
      <c r="AE643" s="112"/>
      <c r="AF643" s="112"/>
      <c r="AG643" s="112"/>
    </row>
    <row r="644" spans="1:33" ht="15.95" customHeight="1" x14ac:dyDescent="0.25">
      <c r="A644" s="112"/>
      <c r="B644" s="112"/>
      <c r="C644" s="112"/>
      <c r="D644" s="112"/>
      <c r="E644" s="112"/>
      <c r="F644" s="112"/>
      <c r="G644" s="112"/>
      <c r="H644" s="112"/>
      <c r="I644" s="112"/>
      <c r="J644" s="112"/>
      <c r="K644" s="112"/>
      <c r="L644" s="112"/>
      <c r="M644" s="112"/>
      <c r="N644" s="112"/>
      <c r="O644" s="112"/>
      <c r="P644" s="112"/>
      <c r="Q644" s="112"/>
      <c r="R644" s="112"/>
      <c r="S644" s="112"/>
      <c r="T644" s="112"/>
      <c r="U644" s="112"/>
      <c r="V644" s="112"/>
      <c r="W644" s="112"/>
      <c r="X644" s="112"/>
      <c r="Y644" s="112"/>
      <c r="Z644" s="112"/>
      <c r="AA644" s="112"/>
      <c r="AB644" s="112"/>
      <c r="AC644" s="112"/>
      <c r="AD644" s="112"/>
      <c r="AE644" s="112"/>
      <c r="AF644" s="112"/>
      <c r="AG644" s="112"/>
    </row>
    <row r="645" spans="1:33" ht="15.95" customHeight="1" x14ac:dyDescent="0.25">
      <c r="A645" s="112"/>
      <c r="B645" s="112"/>
      <c r="C645" s="112"/>
      <c r="D645" s="112"/>
      <c r="E645" s="112"/>
      <c r="F645" s="112"/>
      <c r="G645" s="112"/>
      <c r="H645" s="112"/>
      <c r="I645" s="112"/>
      <c r="J645" s="112"/>
      <c r="K645" s="112"/>
      <c r="L645" s="112"/>
      <c r="M645" s="112"/>
      <c r="N645" s="112"/>
      <c r="O645" s="112"/>
      <c r="P645" s="112"/>
      <c r="Q645" s="112"/>
      <c r="R645" s="112"/>
      <c r="S645" s="112"/>
      <c r="T645" s="112"/>
      <c r="U645" s="112"/>
      <c r="V645" s="112"/>
      <c r="W645" s="112"/>
      <c r="X645" s="112"/>
      <c r="Y645" s="112"/>
      <c r="Z645" s="112"/>
      <c r="AA645" s="112"/>
      <c r="AB645" s="112"/>
      <c r="AC645" s="112"/>
      <c r="AD645" s="112"/>
      <c r="AE645" s="112"/>
      <c r="AF645" s="112"/>
      <c r="AG645" s="112"/>
    </row>
    <row r="646" spans="1:33" ht="15.95" customHeight="1" x14ac:dyDescent="0.25">
      <c r="A646" s="112"/>
      <c r="B646" s="112"/>
      <c r="C646" s="112"/>
      <c r="D646" s="112"/>
      <c r="E646" s="112"/>
      <c r="F646" s="112"/>
      <c r="G646" s="112"/>
      <c r="H646" s="112"/>
      <c r="I646" s="112"/>
      <c r="J646" s="112"/>
      <c r="K646" s="112"/>
      <c r="L646" s="112"/>
      <c r="M646" s="112"/>
      <c r="N646" s="112"/>
      <c r="O646" s="112"/>
      <c r="P646" s="112"/>
      <c r="Q646" s="112"/>
      <c r="R646" s="112"/>
      <c r="S646" s="112"/>
      <c r="T646" s="112"/>
      <c r="U646" s="112"/>
      <c r="V646" s="112"/>
      <c r="W646" s="112"/>
      <c r="X646" s="112"/>
      <c r="Y646" s="112"/>
      <c r="Z646" s="112"/>
      <c r="AA646" s="112"/>
      <c r="AB646" s="112"/>
      <c r="AC646" s="112"/>
      <c r="AD646" s="112"/>
      <c r="AE646" s="112"/>
      <c r="AF646" s="112"/>
      <c r="AG646" s="112"/>
    </row>
    <row r="647" spans="1:33" ht="15.95" customHeight="1" x14ac:dyDescent="0.25">
      <c r="A647" s="112"/>
      <c r="B647" s="112"/>
      <c r="C647" s="112"/>
      <c r="D647" s="112"/>
      <c r="E647" s="112"/>
      <c r="F647" s="112"/>
      <c r="G647" s="112"/>
      <c r="H647" s="112"/>
      <c r="I647" s="112"/>
      <c r="J647" s="112"/>
      <c r="K647" s="112"/>
      <c r="L647" s="112"/>
      <c r="M647" s="112"/>
      <c r="N647" s="112"/>
      <c r="O647" s="112"/>
      <c r="P647" s="112"/>
      <c r="Q647" s="112"/>
      <c r="R647" s="112"/>
      <c r="S647" s="112"/>
      <c r="T647" s="112"/>
      <c r="U647" s="112"/>
      <c r="V647" s="112"/>
      <c r="W647" s="112"/>
      <c r="X647" s="112"/>
      <c r="Y647" s="112"/>
      <c r="Z647" s="112"/>
      <c r="AA647" s="112"/>
      <c r="AB647" s="112"/>
      <c r="AC647" s="112"/>
      <c r="AD647" s="112"/>
      <c r="AE647" s="112"/>
      <c r="AF647" s="112"/>
      <c r="AG647" s="112"/>
    </row>
    <row r="648" spans="1:33" ht="15.95" customHeight="1" x14ac:dyDescent="0.25">
      <c r="A648" s="112"/>
      <c r="B648" s="112"/>
      <c r="C648" s="112"/>
      <c r="D648" s="112"/>
      <c r="E648" s="112"/>
      <c r="F648" s="112"/>
      <c r="G648" s="112"/>
      <c r="H648" s="112"/>
      <c r="I648" s="112"/>
      <c r="J648" s="112"/>
      <c r="K648" s="112"/>
      <c r="L648" s="112"/>
      <c r="M648" s="112"/>
      <c r="N648" s="112"/>
      <c r="O648" s="112"/>
      <c r="P648" s="112"/>
      <c r="Q648" s="112"/>
      <c r="R648" s="112"/>
      <c r="S648" s="112"/>
      <c r="T648" s="112"/>
      <c r="U648" s="112"/>
      <c r="V648" s="112"/>
      <c r="W648" s="112"/>
      <c r="X648" s="112"/>
      <c r="Y648" s="112"/>
      <c r="Z648" s="112"/>
      <c r="AA648" s="112"/>
      <c r="AB648" s="112"/>
      <c r="AC648" s="112"/>
      <c r="AD648" s="112"/>
      <c r="AE648" s="112"/>
      <c r="AF648" s="112"/>
      <c r="AG648" s="112"/>
    </row>
    <row r="649" spans="1:33" ht="15.95" customHeight="1" x14ac:dyDescent="0.25">
      <c r="A649" s="112"/>
      <c r="B649" s="112"/>
      <c r="C649" s="112"/>
      <c r="D649" s="112"/>
      <c r="E649" s="112"/>
      <c r="F649" s="112"/>
      <c r="G649" s="112"/>
      <c r="H649" s="112"/>
      <c r="I649" s="112"/>
      <c r="J649" s="112"/>
      <c r="K649" s="112"/>
      <c r="L649" s="112"/>
      <c r="M649" s="112"/>
      <c r="N649" s="112"/>
      <c r="O649" s="112"/>
      <c r="P649" s="112"/>
      <c r="Q649" s="112"/>
      <c r="R649" s="112"/>
      <c r="S649" s="112"/>
      <c r="T649" s="112"/>
      <c r="U649" s="112"/>
      <c r="V649" s="112"/>
      <c r="W649" s="112"/>
      <c r="X649" s="112"/>
      <c r="Y649" s="112"/>
      <c r="Z649" s="112"/>
      <c r="AA649" s="112"/>
      <c r="AB649" s="112"/>
      <c r="AC649" s="112"/>
      <c r="AD649" s="112"/>
      <c r="AE649" s="112"/>
      <c r="AF649" s="112"/>
      <c r="AG649" s="112"/>
    </row>
    <row r="650" spans="1:33" ht="15.95" customHeight="1" x14ac:dyDescent="0.25">
      <c r="A650" s="112"/>
      <c r="B650" s="112"/>
      <c r="C650" s="112"/>
      <c r="D650" s="112"/>
      <c r="E650" s="112"/>
      <c r="F650" s="112"/>
      <c r="G650" s="112"/>
      <c r="H650" s="112"/>
      <c r="I650" s="112"/>
      <c r="J650" s="112"/>
      <c r="K650" s="112"/>
      <c r="L650" s="112"/>
      <c r="M650" s="112"/>
      <c r="N650" s="112"/>
      <c r="O650" s="112"/>
      <c r="P650" s="112"/>
      <c r="Q650" s="112"/>
      <c r="R650" s="112"/>
      <c r="S650" s="112"/>
      <c r="T650" s="112"/>
      <c r="U650" s="112"/>
      <c r="V650" s="112"/>
      <c r="W650" s="112"/>
      <c r="X650" s="112"/>
      <c r="Y650" s="112"/>
      <c r="Z650" s="112"/>
      <c r="AA650" s="112"/>
      <c r="AB650" s="112"/>
      <c r="AC650" s="112"/>
      <c r="AD650" s="112"/>
      <c r="AE650" s="112"/>
      <c r="AF650" s="112"/>
      <c r="AG650" s="112"/>
    </row>
    <row r="651" spans="1:33" ht="15.95" customHeight="1" x14ac:dyDescent="0.25">
      <c r="A651" s="112"/>
      <c r="B651" s="112"/>
      <c r="C651" s="112"/>
      <c r="D651" s="112"/>
      <c r="E651" s="112"/>
      <c r="F651" s="112"/>
      <c r="G651" s="112"/>
      <c r="H651" s="112"/>
      <c r="I651" s="112"/>
      <c r="J651" s="112"/>
      <c r="K651" s="112"/>
      <c r="L651" s="112"/>
      <c r="M651" s="112"/>
      <c r="N651" s="112"/>
      <c r="O651" s="112"/>
      <c r="P651" s="112"/>
      <c r="Q651" s="112"/>
      <c r="R651" s="112"/>
      <c r="S651" s="112"/>
      <c r="T651" s="112"/>
      <c r="U651" s="112"/>
      <c r="V651" s="112"/>
      <c r="W651" s="112"/>
      <c r="X651" s="112"/>
      <c r="Y651" s="112"/>
      <c r="Z651" s="112"/>
      <c r="AA651" s="112"/>
      <c r="AB651" s="112"/>
      <c r="AC651" s="112"/>
      <c r="AD651" s="112"/>
      <c r="AE651" s="112"/>
      <c r="AF651" s="112"/>
      <c r="AG651" s="112"/>
    </row>
    <row r="652" spans="1:33" ht="15.95" customHeight="1" x14ac:dyDescent="0.25">
      <c r="A652" s="112"/>
      <c r="B652" s="112"/>
      <c r="C652" s="112"/>
      <c r="D652" s="112"/>
      <c r="E652" s="112"/>
      <c r="F652" s="112"/>
      <c r="G652" s="112"/>
      <c r="H652" s="112"/>
      <c r="I652" s="112"/>
      <c r="J652" s="112"/>
      <c r="K652" s="112"/>
      <c r="L652" s="112"/>
      <c r="M652" s="112"/>
      <c r="N652" s="112"/>
      <c r="O652" s="112"/>
      <c r="P652" s="112"/>
      <c r="Q652" s="112"/>
      <c r="R652" s="112"/>
      <c r="S652" s="112"/>
      <c r="T652" s="112"/>
      <c r="U652" s="112"/>
      <c r="V652" s="112"/>
      <c r="W652" s="112"/>
      <c r="X652" s="112"/>
      <c r="Y652" s="112"/>
      <c r="Z652" s="112"/>
      <c r="AA652" s="112"/>
      <c r="AB652" s="112"/>
      <c r="AC652" s="112"/>
      <c r="AD652" s="112"/>
      <c r="AE652" s="112"/>
      <c r="AF652" s="112"/>
      <c r="AG652" s="112"/>
    </row>
    <row r="653" spans="1:33" ht="15.95" customHeight="1" x14ac:dyDescent="0.25">
      <c r="A653" s="112"/>
      <c r="B653" s="112"/>
      <c r="C653" s="112"/>
      <c r="D653" s="112"/>
      <c r="E653" s="112"/>
      <c r="F653" s="112"/>
      <c r="G653" s="112"/>
      <c r="H653" s="112"/>
      <c r="I653" s="112"/>
      <c r="J653" s="112"/>
      <c r="K653" s="112"/>
      <c r="L653" s="112"/>
      <c r="M653" s="112"/>
      <c r="N653" s="112"/>
      <c r="O653" s="112"/>
      <c r="P653" s="112"/>
      <c r="Q653" s="112"/>
      <c r="R653" s="112"/>
      <c r="S653" s="112"/>
      <c r="T653" s="112"/>
      <c r="U653" s="112"/>
      <c r="V653" s="112"/>
      <c r="W653" s="112"/>
      <c r="X653" s="112"/>
      <c r="Y653" s="112"/>
      <c r="Z653" s="112"/>
      <c r="AA653" s="112"/>
      <c r="AB653" s="112"/>
      <c r="AC653" s="112"/>
      <c r="AD653" s="112"/>
      <c r="AE653" s="112"/>
      <c r="AF653" s="112"/>
      <c r="AG653" s="112"/>
    </row>
    <row r="654" spans="1:33" ht="15.95" customHeight="1" x14ac:dyDescent="0.25">
      <c r="A654" s="112"/>
      <c r="B654" s="112"/>
      <c r="C654" s="112"/>
      <c r="D654" s="112"/>
      <c r="E654" s="112"/>
      <c r="F654" s="112"/>
      <c r="G654" s="112"/>
      <c r="H654" s="112"/>
      <c r="I654" s="112"/>
      <c r="J654" s="112"/>
      <c r="K654" s="112"/>
      <c r="L654" s="112"/>
      <c r="M654" s="112"/>
      <c r="N654" s="112"/>
      <c r="O654" s="112"/>
      <c r="P654" s="112"/>
      <c r="Q654" s="112"/>
      <c r="R654" s="112"/>
      <c r="S654" s="112"/>
      <c r="T654" s="112"/>
      <c r="U654" s="112"/>
      <c r="V654" s="112"/>
      <c r="W654" s="112"/>
      <c r="X654" s="112"/>
      <c r="Y654" s="112"/>
      <c r="Z654" s="112"/>
      <c r="AA654" s="112"/>
      <c r="AB654" s="112"/>
      <c r="AC654" s="112"/>
      <c r="AD654" s="112"/>
      <c r="AE654" s="112"/>
      <c r="AF654" s="112"/>
      <c r="AG654" s="112"/>
    </row>
    <row r="655" spans="1:33" ht="15.95" customHeight="1" x14ac:dyDescent="0.25">
      <c r="A655" s="112"/>
      <c r="B655" s="112"/>
      <c r="C655" s="112"/>
      <c r="D655" s="112"/>
      <c r="E655" s="112"/>
      <c r="F655" s="112"/>
      <c r="G655" s="112"/>
      <c r="H655" s="112"/>
      <c r="I655" s="112"/>
      <c r="J655" s="112"/>
      <c r="K655" s="112"/>
      <c r="L655" s="112"/>
      <c r="M655" s="112"/>
      <c r="N655" s="112"/>
      <c r="O655" s="112"/>
      <c r="P655" s="112"/>
      <c r="Q655" s="112"/>
      <c r="R655" s="112"/>
      <c r="S655" s="112"/>
      <c r="T655" s="112"/>
      <c r="U655" s="112"/>
      <c r="V655" s="112"/>
      <c r="W655" s="112"/>
      <c r="X655" s="112"/>
      <c r="Y655" s="112"/>
      <c r="Z655" s="112"/>
      <c r="AA655" s="112"/>
      <c r="AB655" s="112"/>
      <c r="AC655" s="112"/>
      <c r="AD655" s="112"/>
      <c r="AE655" s="112"/>
      <c r="AF655" s="112"/>
      <c r="AG655" s="112"/>
    </row>
    <row r="656" spans="1:33" ht="15.95" customHeight="1" x14ac:dyDescent="0.25">
      <c r="A656" s="112"/>
      <c r="B656" s="112"/>
      <c r="C656" s="112"/>
      <c r="D656" s="112"/>
      <c r="E656" s="112"/>
      <c r="F656" s="112"/>
      <c r="G656" s="112"/>
      <c r="H656" s="112"/>
      <c r="I656" s="112"/>
      <c r="J656" s="112"/>
      <c r="K656" s="112"/>
      <c r="L656" s="112"/>
      <c r="M656" s="112"/>
      <c r="N656" s="112"/>
      <c r="O656" s="112"/>
      <c r="P656" s="112"/>
      <c r="Q656" s="112"/>
      <c r="R656" s="112"/>
      <c r="S656" s="112"/>
      <c r="T656" s="112"/>
      <c r="U656" s="112"/>
      <c r="V656" s="112"/>
      <c r="W656" s="112"/>
      <c r="X656" s="112"/>
      <c r="Y656" s="112"/>
      <c r="Z656" s="112"/>
      <c r="AA656" s="112"/>
      <c r="AB656" s="112"/>
      <c r="AC656" s="112"/>
      <c r="AD656" s="112"/>
      <c r="AE656" s="112"/>
      <c r="AF656" s="112"/>
      <c r="AG656" s="112"/>
    </row>
    <row r="657" spans="1:33" ht="15.95" customHeight="1" x14ac:dyDescent="0.25">
      <c r="A657" s="112"/>
      <c r="B657" s="112"/>
      <c r="C657" s="112"/>
      <c r="D657" s="112"/>
      <c r="E657" s="112"/>
      <c r="F657" s="112"/>
      <c r="G657" s="112"/>
      <c r="H657" s="112"/>
      <c r="I657" s="112"/>
      <c r="J657" s="112"/>
      <c r="K657" s="112"/>
      <c r="L657" s="112"/>
      <c r="M657" s="112"/>
      <c r="N657" s="112"/>
      <c r="O657" s="112"/>
      <c r="P657" s="112"/>
      <c r="Q657" s="112"/>
      <c r="R657" s="112"/>
      <c r="S657" s="112"/>
      <c r="T657" s="112"/>
      <c r="U657" s="112"/>
      <c r="V657" s="112"/>
      <c r="W657" s="112"/>
      <c r="X657" s="112"/>
      <c r="Y657" s="112"/>
      <c r="Z657" s="112"/>
      <c r="AA657" s="112"/>
      <c r="AB657" s="112"/>
      <c r="AC657" s="112"/>
      <c r="AD657" s="112"/>
      <c r="AE657" s="112"/>
      <c r="AF657" s="112"/>
      <c r="AG657" s="112"/>
    </row>
    <row r="658" spans="1:33" ht="15.95" customHeight="1" x14ac:dyDescent="0.25">
      <c r="A658" s="112"/>
      <c r="B658" s="112"/>
      <c r="C658" s="112"/>
      <c r="D658" s="112"/>
      <c r="E658" s="112"/>
      <c r="F658" s="112"/>
      <c r="G658" s="112"/>
      <c r="H658" s="112"/>
      <c r="I658" s="112"/>
      <c r="J658" s="112"/>
      <c r="K658" s="112"/>
      <c r="L658" s="112"/>
      <c r="M658" s="112"/>
      <c r="N658" s="112"/>
      <c r="O658" s="112"/>
      <c r="P658" s="112"/>
      <c r="Q658" s="112"/>
      <c r="R658" s="112"/>
      <c r="S658" s="112"/>
      <c r="T658" s="112"/>
      <c r="U658" s="112"/>
      <c r="V658" s="112"/>
      <c r="W658" s="112"/>
      <c r="X658" s="112"/>
      <c r="Y658" s="112"/>
      <c r="Z658" s="112"/>
      <c r="AA658" s="112"/>
      <c r="AB658" s="112"/>
      <c r="AC658" s="112"/>
      <c r="AD658" s="112"/>
      <c r="AE658" s="112"/>
      <c r="AF658" s="112"/>
      <c r="AG658" s="112"/>
    </row>
    <row r="659" spans="1:33" ht="15.95" customHeight="1" x14ac:dyDescent="0.25">
      <c r="A659" s="112"/>
      <c r="B659" s="112"/>
      <c r="C659" s="112"/>
      <c r="D659" s="112"/>
      <c r="E659" s="112"/>
      <c r="F659" s="112"/>
      <c r="G659" s="112"/>
      <c r="H659" s="112"/>
      <c r="I659" s="112"/>
      <c r="J659" s="112"/>
      <c r="K659" s="112"/>
      <c r="L659" s="112"/>
      <c r="M659" s="112"/>
      <c r="N659" s="112"/>
      <c r="O659" s="112"/>
      <c r="P659" s="112"/>
      <c r="Q659" s="112"/>
      <c r="R659" s="112"/>
      <c r="S659" s="112"/>
      <c r="T659" s="112"/>
      <c r="U659" s="112"/>
      <c r="V659" s="112"/>
      <c r="W659" s="112"/>
      <c r="X659" s="112"/>
      <c r="Y659" s="112"/>
      <c r="Z659" s="112"/>
      <c r="AA659" s="112"/>
      <c r="AB659" s="112"/>
      <c r="AC659" s="112"/>
      <c r="AD659" s="112"/>
      <c r="AE659" s="112"/>
      <c r="AF659" s="112"/>
      <c r="AG659" s="112"/>
    </row>
    <row r="660" spans="1:33" ht="15.95" customHeight="1" x14ac:dyDescent="0.25">
      <c r="A660" s="112"/>
      <c r="B660" s="112"/>
      <c r="C660" s="112"/>
      <c r="D660" s="112"/>
      <c r="E660" s="112"/>
      <c r="F660" s="112"/>
      <c r="G660" s="112"/>
      <c r="H660" s="112"/>
      <c r="I660" s="112"/>
      <c r="J660" s="112"/>
      <c r="K660" s="112"/>
      <c r="L660" s="112"/>
      <c r="M660" s="112"/>
      <c r="N660" s="112"/>
      <c r="O660" s="112"/>
      <c r="P660" s="112"/>
      <c r="Q660" s="112"/>
      <c r="R660" s="112"/>
      <c r="S660" s="112"/>
      <c r="T660" s="112"/>
      <c r="U660" s="112"/>
      <c r="V660" s="112"/>
      <c r="W660" s="112"/>
      <c r="X660" s="112"/>
      <c r="Y660" s="112"/>
      <c r="Z660" s="112"/>
      <c r="AA660" s="112"/>
      <c r="AB660" s="112"/>
      <c r="AC660" s="112"/>
      <c r="AD660" s="112"/>
      <c r="AE660" s="112"/>
      <c r="AF660" s="112"/>
      <c r="AG660" s="112"/>
    </row>
    <row r="661" spans="1:33" ht="15.95" customHeight="1" x14ac:dyDescent="0.25">
      <c r="A661" s="112"/>
      <c r="B661" s="112"/>
      <c r="C661" s="112"/>
      <c r="D661" s="112"/>
      <c r="E661" s="112"/>
      <c r="F661" s="112"/>
      <c r="G661" s="112"/>
      <c r="H661" s="112"/>
      <c r="I661" s="112"/>
      <c r="J661" s="112"/>
      <c r="K661" s="112"/>
      <c r="L661" s="112"/>
      <c r="M661" s="112"/>
      <c r="N661" s="112"/>
      <c r="O661" s="112"/>
      <c r="P661" s="112"/>
      <c r="Q661" s="112"/>
      <c r="R661" s="112"/>
      <c r="S661" s="112"/>
      <c r="T661" s="112"/>
      <c r="U661" s="112"/>
      <c r="V661" s="112"/>
      <c r="W661" s="112"/>
      <c r="X661" s="112"/>
      <c r="Y661" s="112"/>
      <c r="Z661" s="112"/>
      <c r="AA661" s="112"/>
      <c r="AB661" s="112"/>
      <c r="AC661" s="112"/>
      <c r="AD661" s="112"/>
      <c r="AE661" s="112"/>
      <c r="AF661" s="112"/>
      <c r="AG661" s="112"/>
    </row>
    <row r="662" spans="1:33" ht="15.95" customHeight="1" x14ac:dyDescent="0.25">
      <c r="A662" s="112"/>
      <c r="B662" s="112"/>
      <c r="C662" s="112"/>
      <c r="D662" s="112"/>
      <c r="E662" s="112"/>
      <c r="F662" s="112"/>
      <c r="G662" s="112"/>
      <c r="H662" s="112"/>
      <c r="I662" s="112"/>
      <c r="J662" s="112"/>
      <c r="K662" s="112"/>
      <c r="L662" s="112"/>
      <c r="M662" s="112"/>
      <c r="N662" s="112"/>
      <c r="O662" s="112"/>
      <c r="P662" s="112"/>
      <c r="Q662" s="112"/>
      <c r="R662" s="112"/>
      <c r="S662" s="112"/>
      <c r="T662" s="112"/>
      <c r="U662" s="112"/>
      <c r="V662" s="112"/>
      <c r="W662" s="112"/>
      <c r="X662" s="112"/>
      <c r="Y662" s="112"/>
      <c r="Z662" s="112"/>
      <c r="AA662" s="112"/>
      <c r="AB662" s="112"/>
      <c r="AC662" s="112"/>
      <c r="AD662" s="112"/>
      <c r="AE662" s="112"/>
      <c r="AF662" s="112"/>
      <c r="AG662" s="112"/>
    </row>
    <row r="663" spans="1:33" ht="15.95" customHeight="1" x14ac:dyDescent="0.25">
      <c r="A663" s="112"/>
      <c r="B663" s="112"/>
      <c r="C663" s="112"/>
      <c r="D663" s="112"/>
      <c r="E663" s="112"/>
      <c r="F663" s="112"/>
      <c r="G663" s="112"/>
      <c r="H663" s="112"/>
      <c r="I663" s="112"/>
      <c r="J663" s="112"/>
      <c r="K663" s="112"/>
      <c r="L663" s="112"/>
      <c r="M663" s="112"/>
      <c r="N663" s="112"/>
      <c r="O663" s="112"/>
      <c r="P663" s="112"/>
      <c r="Q663" s="112"/>
      <c r="R663" s="112"/>
      <c r="S663" s="112"/>
      <c r="T663" s="112"/>
      <c r="U663" s="112"/>
      <c r="V663" s="112"/>
      <c r="W663" s="112"/>
      <c r="X663" s="112"/>
      <c r="Y663" s="112"/>
      <c r="Z663" s="112"/>
      <c r="AA663" s="112"/>
      <c r="AB663" s="112"/>
      <c r="AC663" s="112"/>
      <c r="AD663" s="112"/>
      <c r="AE663" s="112"/>
      <c r="AF663" s="112"/>
      <c r="AG663" s="112"/>
    </row>
    <row r="664" spans="1:33" ht="15.95" customHeight="1" x14ac:dyDescent="0.25">
      <c r="A664" s="112"/>
      <c r="B664" s="112"/>
      <c r="C664" s="112"/>
      <c r="D664" s="112"/>
      <c r="E664" s="112"/>
      <c r="F664" s="112"/>
      <c r="G664" s="112"/>
      <c r="H664" s="112"/>
      <c r="I664" s="112"/>
      <c r="J664" s="112"/>
      <c r="K664" s="112"/>
      <c r="L664" s="112"/>
      <c r="M664" s="112"/>
      <c r="N664" s="112"/>
      <c r="O664" s="112"/>
      <c r="P664" s="112"/>
      <c r="Q664" s="112"/>
      <c r="R664" s="112"/>
      <c r="S664" s="112"/>
      <c r="T664" s="112"/>
      <c r="U664" s="112"/>
      <c r="V664" s="112"/>
      <c r="W664" s="112"/>
      <c r="X664" s="112"/>
      <c r="Y664" s="112"/>
      <c r="Z664" s="112"/>
      <c r="AA664" s="112"/>
      <c r="AB664" s="112"/>
      <c r="AC664" s="112"/>
      <c r="AD664" s="112"/>
      <c r="AE664" s="112"/>
      <c r="AF664" s="112"/>
      <c r="AG664" s="112"/>
    </row>
    <row r="665" spans="1:33" ht="15.95" customHeight="1" x14ac:dyDescent="0.25">
      <c r="A665" s="112"/>
      <c r="B665" s="112"/>
      <c r="C665" s="112"/>
      <c r="D665" s="112"/>
      <c r="E665" s="112"/>
      <c r="F665" s="112"/>
      <c r="G665" s="112"/>
      <c r="H665" s="112"/>
      <c r="I665" s="112"/>
      <c r="J665" s="112"/>
      <c r="K665" s="112"/>
      <c r="L665" s="112"/>
      <c r="M665" s="112"/>
      <c r="N665" s="112"/>
      <c r="O665" s="112"/>
      <c r="P665" s="112"/>
      <c r="Q665" s="112"/>
      <c r="R665" s="112"/>
      <c r="S665" s="112"/>
      <c r="T665" s="112"/>
      <c r="U665" s="112"/>
      <c r="V665" s="112"/>
      <c r="W665" s="112"/>
      <c r="X665" s="112"/>
      <c r="Y665" s="112"/>
      <c r="Z665" s="112"/>
      <c r="AA665" s="112"/>
      <c r="AB665" s="112"/>
      <c r="AC665" s="112"/>
      <c r="AD665" s="112"/>
      <c r="AE665" s="112"/>
      <c r="AF665" s="112"/>
      <c r="AG665" s="112"/>
    </row>
    <row r="666" spans="1:33" ht="15.95" customHeight="1" x14ac:dyDescent="0.25">
      <c r="A666" s="112"/>
      <c r="B666" s="112"/>
      <c r="C666" s="112"/>
      <c r="D666" s="112"/>
      <c r="E666" s="112"/>
      <c r="F666" s="112"/>
      <c r="G666" s="112"/>
      <c r="H666" s="112"/>
      <c r="I666" s="112"/>
      <c r="J666" s="112"/>
      <c r="K666" s="112"/>
      <c r="L666" s="112"/>
      <c r="M666" s="112"/>
      <c r="N666" s="112"/>
      <c r="O666" s="112"/>
      <c r="P666" s="112"/>
      <c r="Q666" s="112"/>
      <c r="R666" s="112"/>
      <c r="S666" s="112"/>
      <c r="T666" s="112"/>
      <c r="U666" s="112"/>
      <c r="V666" s="112"/>
      <c r="W666" s="112"/>
      <c r="X666" s="112"/>
      <c r="Y666" s="112"/>
      <c r="Z666" s="112"/>
      <c r="AA666" s="112"/>
      <c r="AB666" s="112"/>
      <c r="AC666" s="112"/>
      <c r="AD666" s="112"/>
      <c r="AE666" s="112"/>
      <c r="AF666" s="112"/>
      <c r="AG666" s="112"/>
    </row>
    <row r="667" spans="1:33" ht="15.95" customHeight="1" x14ac:dyDescent="0.25">
      <c r="A667" s="112"/>
      <c r="B667" s="112"/>
      <c r="C667" s="112"/>
      <c r="D667" s="112"/>
      <c r="E667" s="112"/>
      <c r="F667" s="112"/>
      <c r="G667" s="112"/>
      <c r="H667" s="112"/>
      <c r="I667" s="112"/>
      <c r="J667" s="112"/>
      <c r="K667" s="112"/>
      <c r="L667" s="112"/>
      <c r="M667" s="112"/>
      <c r="N667" s="112"/>
      <c r="O667" s="112"/>
      <c r="P667" s="112"/>
      <c r="Q667" s="112"/>
      <c r="R667" s="112"/>
      <c r="S667" s="112"/>
      <c r="T667" s="112"/>
      <c r="U667" s="112"/>
      <c r="V667" s="112"/>
      <c r="W667" s="112"/>
      <c r="X667" s="112"/>
      <c r="Y667" s="112"/>
      <c r="Z667" s="112"/>
      <c r="AA667" s="112"/>
      <c r="AB667" s="112"/>
      <c r="AC667" s="112"/>
      <c r="AD667" s="112"/>
      <c r="AE667" s="112"/>
      <c r="AF667" s="112"/>
      <c r="AG667" s="112"/>
    </row>
    <row r="668" spans="1:33" ht="15.95" customHeight="1" x14ac:dyDescent="0.25">
      <c r="A668" s="112"/>
      <c r="B668" s="112"/>
      <c r="C668" s="112"/>
      <c r="D668" s="112"/>
      <c r="E668" s="112"/>
      <c r="F668" s="112"/>
      <c r="G668" s="112"/>
      <c r="H668" s="112"/>
      <c r="I668" s="112"/>
      <c r="J668" s="112"/>
      <c r="K668" s="112"/>
      <c r="L668" s="112"/>
      <c r="M668" s="112"/>
      <c r="N668" s="112"/>
      <c r="O668" s="112"/>
      <c r="P668" s="112"/>
      <c r="Q668" s="112"/>
      <c r="R668" s="112"/>
      <c r="S668" s="112"/>
      <c r="T668" s="112"/>
      <c r="U668" s="112"/>
      <c r="V668" s="112"/>
      <c r="W668" s="112"/>
      <c r="X668" s="112"/>
      <c r="Y668" s="112"/>
      <c r="Z668" s="112"/>
      <c r="AA668" s="112"/>
      <c r="AB668" s="112"/>
      <c r="AC668" s="112"/>
      <c r="AD668" s="112"/>
      <c r="AE668" s="112"/>
      <c r="AF668" s="112"/>
      <c r="AG668" s="112"/>
    </row>
    <row r="669" spans="1:33" ht="15.95" customHeight="1" x14ac:dyDescent="0.25">
      <c r="A669" s="112"/>
      <c r="B669" s="112"/>
      <c r="C669" s="112"/>
      <c r="D669" s="112"/>
      <c r="E669" s="112"/>
      <c r="F669" s="112"/>
      <c r="G669" s="112"/>
      <c r="H669" s="112"/>
      <c r="I669" s="112"/>
      <c r="J669" s="112"/>
      <c r="K669" s="112"/>
      <c r="L669" s="112"/>
      <c r="M669" s="112"/>
      <c r="N669" s="112"/>
      <c r="O669" s="112"/>
      <c r="P669" s="112"/>
      <c r="Q669" s="112"/>
      <c r="R669" s="112"/>
      <c r="S669" s="112"/>
      <c r="T669" s="112"/>
      <c r="U669" s="112"/>
      <c r="V669" s="112"/>
      <c r="W669" s="112"/>
      <c r="X669" s="112"/>
      <c r="Y669" s="112"/>
      <c r="Z669" s="112"/>
      <c r="AA669" s="112"/>
      <c r="AB669" s="112"/>
      <c r="AC669" s="112"/>
      <c r="AD669" s="112"/>
      <c r="AE669" s="112"/>
      <c r="AF669" s="112"/>
      <c r="AG669" s="112"/>
    </row>
    <row r="670" spans="1:33" ht="15.95" customHeight="1" x14ac:dyDescent="0.25">
      <c r="A670" s="112"/>
      <c r="B670" s="112"/>
      <c r="C670" s="112"/>
      <c r="D670" s="112"/>
      <c r="E670" s="112"/>
      <c r="F670" s="112"/>
      <c r="G670" s="112"/>
      <c r="H670" s="112"/>
      <c r="I670" s="112"/>
      <c r="J670" s="112"/>
      <c r="K670" s="112"/>
      <c r="L670" s="112"/>
      <c r="M670" s="112"/>
      <c r="N670" s="112"/>
      <c r="O670" s="112"/>
      <c r="P670" s="112"/>
      <c r="Q670" s="112"/>
      <c r="R670" s="112"/>
      <c r="S670" s="112"/>
      <c r="T670" s="112"/>
      <c r="U670" s="112"/>
      <c r="V670" s="112"/>
      <c r="W670" s="112"/>
      <c r="X670" s="112"/>
      <c r="Y670" s="112"/>
      <c r="Z670" s="112"/>
      <c r="AA670" s="112"/>
      <c r="AB670" s="112"/>
      <c r="AC670" s="112"/>
      <c r="AD670" s="112"/>
      <c r="AE670" s="112"/>
      <c r="AF670" s="112"/>
      <c r="AG670" s="112"/>
    </row>
    <row r="671" spans="1:33" ht="15.95" customHeight="1" x14ac:dyDescent="0.25">
      <c r="A671" s="112"/>
      <c r="B671" s="112"/>
      <c r="C671" s="112"/>
      <c r="D671" s="112"/>
      <c r="E671" s="112"/>
      <c r="F671" s="112"/>
      <c r="G671" s="112"/>
      <c r="H671" s="112"/>
      <c r="I671" s="112"/>
      <c r="J671" s="112"/>
      <c r="K671" s="112"/>
      <c r="L671" s="112"/>
      <c r="M671" s="112"/>
      <c r="N671" s="112"/>
      <c r="O671" s="112"/>
      <c r="P671" s="112"/>
      <c r="Q671" s="112"/>
      <c r="R671" s="112"/>
      <c r="S671" s="112"/>
      <c r="T671" s="112"/>
      <c r="U671" s="112"/>
      <c r="V671" s="112"/>
      <c r="W671" s="112"/>
      <c r="X671" s="112"/>
      <c r="Y671" s="112"/>
      <c r="Z671" s="112"/>
      <c r="AA671" s="112"/>
      <c r="AB671" s="112"/>
      <c r="AC671" s="112"/>
      <c r="AD671" s="112"/>
      <c r="AE671" s="112"/>
      <c r="AF671" s="112"/>
      <c r="AG671" s="112"/>
    </row>
    <row r="672" spans="1:33" ht="15.95" customHeight="1" x14ac:dyDescent="0.25">
      <c r="A672" s="112"/>
      <c r="B672" s="112"/>
      <c r="C672" s="112"/>
      <c r="D672" s="112"/>
      <c r="E672" s="112"/>
      <c r="F672" s="112"/>
      <c r="G672" s="112"/>
      <c r="H672" s="112"/>
      <c r="I672" s="112"/>
      <c r="J672" s="112"/>
      <c r="K672" s="112"/>
      <c r="L672" s="112"/>
      <c r="M672" s="112"/>
      <c r="N672" s="112"/>
      <c r="O672" s="112"/>
      <c r="P672" s="112"/>
      <c r="Q672" s="112"/>
      <c r="R672" s="112"/>
      <c r="S672" s="112"/>
      <c r="T672" s="112"/>
      <c r="U672" s="112"/>
      <c r="V672" s="112"/>
      <c r="W672" s="112"/>
      <c r="X672" s="112"/>
      <c r="Y672" s="112"/>
      <c r="Z672" s="112"/>
      <c r="AA672" s="112"/>
      <c r="AB672" s="112"/>
      <c r="AC672" s="112"/>
      <c r="AD672" s="112"/>
      <c r="AE672" s="112"/>
      <c r="AF672" s="112"/>
      <c r="AG672" s="112"/>
    </row>
    <row r="673" spans="1:33" ht="15.95" customHeight="1" x14ac:dyDescent="0.25">
      <c r="A673" s="112"/>
      <c r="B673" s="112"/>
      <c r="C673" s="112"/>
      <c r="D673" s="112"/>
      <c r="E673" s="112"/>
      <c r="F673" s="112"/>
      <c r="G673" s="112"/>
      <c r="H673" s="112"/>
      <c r="I673" s="112"/>
      <c r="J673" s="112"/>
      <c r="K673" s="112"/>
      <c r="L673" s="112"/>
      <c r="M673" s="112"/>
      <c r="N673" s="112"/>
      <c r="O673" s="112"/>
      <c r="P673" s="112"/>
      <c r="Q673" s="112"/>
      <c r="R673" s="112"/>
      <c r="S673" s="112"/>
      <c r="T673" s="112"/>
      <c r="U673" s="112"/>
      <c r="V673" s="112"/>
      <c r="W673" s="112"/>
      <c r="X673" s="112"/>
      <c r="Y673" s="112"/>
      <c r="Z673" s="112"/>
      <c r="AA673" s="112"/>
      <c r="AB673" s="112"/>
      <c r="AC673" s="112"/>
      <c r="AD673" s="112"/>
      <c r="AE673" s="112"/>
      <c r="AF673" s="112"/>
      <c r="AG673" s="112"/>
    </row>
    <row r="674" spans="1:33" ht="15.95" customHeight="1" x14ac:dyDescent="0.25">
      <c r="A674" s="112"/>
      <c r="B674" s="112"/>
      <c r="C674" s="112"/>
      <c r="D674" s="112"/>
      <c r="E674" s="112"/>
      <c r="F674" s="112"/>
      <c r="G674" s="112"/>
      <c r="H674" s="112"/>
      <c r="I674" s="112"/>
      <c r="J674" s="112"/>
      <c r="K674" s="112"/>
      <c r="L674" s="112"/>
      <c r="M674" s="112"/>
      <c r="N674" s="112"/>
      <c r="O674" s="112"/>
      <c r="P674" s="112"/>
      <c r="Q674" s="112"/>
      <c r="R674" s="112"/>
      <c r="S674" s="112"/>
      <c r="T674" s="112"/>
      <c r="U674" s="112"/>
      <c r="V674" s="112"/>
      <c r="W674" s="112"/>
      <c r="X674" s="112"/>
      <c r="Y674" s="112"/>
      <c r="Z674" s="112"/>
      <c r="AA674" s="112"/>
      <c r="AB674" s="112"/>
      <c r="AC674" s="112"/>
      <c r="AD674" s="112"/>
      <c r="AE674" s="112"/>
      <c r="AF674" s="112"/>
      <c r="AG674" s="112"/>
    </row>
    <row r="675" spans="1:33" ht="15.95" customHeight="1" x14ac:dyDescent="0.25">
      <c r="A675" s="112"/>
      <c r="B675" s="112"/>
      <c r="C675" s="112"/>
      <c r="D675" s="112"/>
      <c r="E675" s="112"/>
      <c r="F675" s="112"/>
      <c r="G675" s="112"/>
      <c r="H675" s="112"/>
      <c r="I675" s="112"/>
      <c r="J675" s="112"/>
      <c r="K675" s="112"/>
      <c r="L675" s="112"/>
      <c r="M675" s="112"/>
      <c r="N675" s="112"/>
      <c r="O675" s="112"/>
      <c r="P675" s="112"/>
      <c r="Q675" s="112"/>
      <c r="R675" s="112"/>
      <c r="S675" s="112"/>
      <c r="T675" s="112"/>
      <c r="U675" s="112"/>
      <c r="V675" s="112"/>
      <c r="W675" s="112"/>
      <c r="X675" s="112"/>
      <c r="Y675" s="112"/>
      <c r="Z675" s="112"/>
      <c r="AA675" s="112"/>
      <c r="AB675" s="112"/>
      <c r="AC675" s="112"/>
      <c r="AD675" s="112"/>
      <c r="AE675" s="112"/>
      <c r="AF675" s="112"/>
      <c r="AG675" s="112"/>
    </row>
    <row r="676" spans="1:33" ht="15.95" customHeight="1" x14ac:dyDescent="0.25">
      <c r="A676" s="112"/>
      <c r="B676" s="112"/>
      <c r="C676" s="112"/>
      <c r="D676" s="112"/>
      <c r="E676" s="112"/>
      <c r="F676" s="112"/>
      <c r="G676" s="112"/>
      <c r="H676" s="112"/>
      <c r="I676" s="112"/>
      <c r="J676" s="112"/>
      <c r="K676" s="112"/>
      <c r="L676" s="112"/>
      <c r="M676" s="112"/>
      <c r="N676" s="112"/>
      <c r="O676" s="112"/>
      <c r="P676" s="112"/>
      <c r="Q676" s="112"/>
      <c r="R676" s="112"/>
      <c r="S676" s="112"/>
      <c r="T676" s="112"/>
      <c r="U676" s="112"/>
      <c r="V676" s="112"/>
      <c r="W676" s="112"/>
      <c r="X676" s="112"/>
      <c r="Y676" s="112"/>
      <c r="Z676" s="112"/>
      <c r="AA676" s="112"/>
      <c r="AB676" s="112"/>
      <c r="AC676" s="112"/>
      <c r="AD676" s="112"/>
      <c r="AE676" s="112"/>
      <c r="AF676" s="112"/>
      <c r="AG676" s="112"/>
    </row>
    <row r="677" spans="1:33" ht="15.95" customHeight="1" x14ac:dyDescent="0.25">
      <c r="A677" s="112"/>
      <c r="B677" s="112"/>
      <c r="C677" s="112"/>
      <c r="D677" s="112"/>
      <c r="E677" s="112"/>
      <c r="F677" s="112"/>
      <c r="G677" s="112"/>
      <c r="H677" s="112"/>
      <c r="I677" s="112"/>
      <c r="J677" s="112"/>
      <c r="K677" s="112"/>
      <c r="L677" s="112"/>
      <c r="M677" s="112"/>
      <c r="N677" s="112"/>
      <c r="O677" s="112"/>
      <c r="P677" s="112"/>
      <c r="Q677" s="112"/>
      <c r="R677" s="112"/>
      <c r="S677" s="112"/>
      <c r="T677" s="112"/>
      <c r="U677" s="112"/>
      <c r="V677" s="112"/>
      <c r="W677" s="112"/>
      <c r="X677" s="112"/>
      <c r="Y677" s="112"/>
      <c r="Z677" s="112"/>
      <c r="AA677" s="112"/>
      <c r="AB677" s="112"/>
      <c r="AC677" s="112"/>
      <c r="AD677" s="112"/>
      <c r="AE677" s="112"/>
      <c r="AF677" s="112"/>
      <c r="AG677" s="112"/>
    </row>
    <row r="678" spans="1:33" ht="15.95" customHeight="1" x14ac:dyDescent="0.25">
      <c r="A678" s="112"/>
      <c r="B678" s="112"/>
      <c r="C678" s="112"/>
      <c r="D678" s="112"/>
      <c r="E678" s="112"/>
      <c r="F678" s="112"/>
      <c r="G678" s="112"/>
      <c r="H678" s="112"/>
      <c r="I678" s="112"/>
      <c r="J678" s="112"/>
      <c r="K678" s="112"/>
      <c r="L678" s="112"/>
      <c r="M678" s="112"/>
      <c r="N678" s="112"/>
      <c r="O678" s="112"/>
      <c r="P678" s="112"/>
      <c r="Q678" s="112"/>
      <c r="R678" s="112"/>
      <c r="S678" s="112"/>
      <c r="T678" s="112"/>
      <c r="U678" s="112"/>
      <c r="V678" s="112"/>
      <c r="W678" s="112"/>
      <c r="X678" s="112"/>
      <c r="Y678" s="112"/>
      <c r="Z678" s="112"/>
      <c r="AA678" s="112"/>
      <c r="AB678" s="112"/>
      <c r="AC678" s="112"/>
      <c r="AD678" s="112"/>
      <c r="AE678" s="112"/>
      <c r="AF678" s="112"/>
      <c r="AG678" s="112"/>
    </row>
    <row r="679" spans="1:33" ht="15.95" customHeight="1" x14ac:dyDescent="0.25">
      <c r="A679" s="112"/>
      <c r="B679" s="112"/>
      <c r="C679" s="112"/>
      <c r="D679" s="112"/>
      <c r="E679" s="112"/>
      <c r="F679" s="112"/>
      <c r="G679" s="112"/>
      <c r="H679" s="112"/>
      <c r="I679" s="112"/>
      <c r="J679" s="112"/>
      <c r="K679" s="112"/>
      <c r="L679" s="112"/>
      <c r="M679" s="112"/>
      <c r="N679" s="112"/>
      <c r="O679" s="112"/>
      <c r="P679" s="112"/>
      <c r="Q679" s="112"/>
      <c r="R679" s="112"/>
      <c r="S679" s="112"/>
      <c r="T679" s="112"/>
      <c r="U679" s="112"/>
      <c r="V679" s="112"/>
      <c r="W679" s="112"/>
      <c r="X679" s="112"/>
      <c r="Y679" s="112"/>
      <c r="Z679" s="112"/>
      <c r="AA679" s="112"/>
      <c r="AB679" s="112"/>
      <c r="AC679" s="112"/>
      <c r="AD679" s="112"/>
      <c r="AE679" s="112"/>
      <c r="AF679" s="112"/>
      <c r="AG679" s="112"/>
    </row>
    <row r="680" spans="1:33" ht="15.95" customHeight="1" x14ac:dyDescent="0.25">
      <c r="A680" s="112"/>
      <c r="B680" s="112"/>
      <c r="C680" s="112"/>
      <c r="D680" s="112"/>
      <c r="E680" s="112"/>
      <c r="F680" s="112"/>
      <c r="G680" s="112"/>
      <c r="H680" s="112"/>
      <c r="I680" s="112"/>
      <c r="J680" s="112"/>
      <c r="K680" s="112"/>
      <c r="L680" s="112"/>
      <c r="M680" s="112"/>
      <c r="N680" s="112"/>
      <c r="O680" s="112"/>
      <c r="P680" s="112"/>
      <c r="Q680" s="112"/>
      <c r="R680" s="112"/>
      <c r="S680" s="112"/>
      <c r="T680" s="112"/>
      <c r="U680" s="112"/>
      <c r="V680" s="112"/>
      <c r="W680" s="112"/>
      <c r="X680" s="112"/>
      <c r="Y680" s="112"/>
      <c r="Z680" s="112"/>
      <c r="AA680" s="112"/>
      <c r="AB680" s="112"/>
      <c r="AC680" s="112"/>
      <c r="AD680" s="112"/>
      <c r="AE680" s="112"/>
      <c r="AF680" s="112"/>
      <c r="AG680" s="112"/>
    </row>
    <row r="681" spans="1:33" ht="15.95" customHeight="1" x14ac:dyDescent="0.25">
      <c r="A681" s="112"/>
      <c r="B681" s="112"/>
      <c r="C681" s="112"/>
      <c r="D681" s="112"/>
      <c r="E681" s="112"/>
      <c r="F681" s="112"/>
      <c r="G681" s="112"/>
      <c r="H681" s="112"/>
      <c r="I681" s="112"/>
      <c r="J681" s="112"/>
      <c r="K681" s="112"/>
      <c r="L681" s="112"/>
      <c r="M681" s="112"/>
      <c r="N681" s="112"/>
      <c r="O681" s="112"/>
      <c r="P681" s="112"/>
      <c r="Q681" s="112"/>
      <c r="R681" s="112"/>
      <c r="S681" s="112"/>
      <c r="T681" s="112"/>
      <c r="U681" s="112"/>
      <c r="V681" s="112"/>
      <c r="W681" s="112"/>
      <c r="X681" s="112"/>
      <c r="Y681" s="112"/>
      <c r="Z681" s="112"/>
      <c r="AA681" s="112"/>
      <c r="AB681" s="112"/>
      <c r="AC681" s="112"/>
      <c r="AD681" s="112"/>
      <c r="AE681" s="112"/>
      <c r="AF681" s="112"/>
      <c r="AG681" s="112"/>
    </row>
    <row r="682" spans="1:33" ht="15.95" customHeight="1" x14ac:dyDescent="0.25">
      <c r="A682" s="112"/>
      <c r="B682" s="112"/>
      <c r="C682" s="112"/>
      <c r="D682" s="112"/>
      <c r="E682" s="112"/>
      <c r="F682" s="112"/>
      <c r="G682" s="112"/>
      <c r="H682" s="112"/>
      <c r="I682" s="112"/>
      <c r="J682" s="112"/>
      <c r="K682" s="112"/>
      <c r="L682" s="112"/>
      <c r="M682" s="112"/>
      <c r="N682" s="112"/>
      <c r="O682" s="112"/>
      <c r="P682" s="112"/>
      <c r="Q682" s="112"/>
      <c r="R682" s="112"/>
      <c r="S682" s="112"/>
      <c r="T682" s="112"/>
      <c r="U682" s="112"/>
      <c r="V682" s="112"/>
      <c r="W682" s="112"/>
      <c r="X682" s="112"/>
      <c r="Y682" s="112"/>
      <c r="Z682" s="112"/>
      <c r="AA682" s="112"/>
      <c r="AB682" s="112"/>
      <c r="AC682" s="112"/>
      <c r="AD682" s="112"/>
      <c r="AE682" s="112"/>
      <c r="AF682" s="112"/>
      <c r="AG682" s="112"/>
    </row>
    <row r="683" spans="1:33" ht="15.95" customHeight="1" x14ac:dyDescent="0.25">
      <c r="A683" s="112"/>
      <c r="B683" s="112"/>
      <c r="C683" s="112"/>
      <c r="D683" s="112"/>
      <c r="E683" s="112"/>
      <c r="F683" s="112"/>
      <c r="G683" s="112"/>
      <c r="H683" s="112"/>
      <c r="I683" s="112"/>
      <c r="J683" s="112"/>
      <c r="K683" s="112"/>
      <c r="L683" s="112"/>
      <c r="M683" s="112"/>
      <c r="N683" s="112"/>
      <c r="O683" s="112"/>
      <c r="P683" s="112"/>
      <c r="Q683" s="112"/>
      <c r="R683" s="112"/>
      <c r="S683" s="112"/>
      <c r="T683" s="112"/>
      <c r="U683" s="112"/>
      <c r="V683" s="112"/>
      <c r="W683" s="112"/>
      <c r="X683" s="112"/>
      <c r="Y683" s="112"/>
      <c r="Z683" s="112"/>
      <c r="AA683" s="112"/>
      <c r="AB683" s="112"/>
      <c r="AC683" s="112"/>
      <c r="AD683" s="112"/>
      <c r="AE683" s="112"/>
      <c r="AF683" s="112"/>
      <c r="AG683" s="112"/>
    </row>
    <row r="684" spans="1:33" ht="15.95" customHeight="1" x14ac:dyDescent="0.25">
      <c r="A684" s="112"/>
      <c r="B684" s="112"/>
      <c r="C684" s="112"/>
      <c r="D684" s="112"/>
      <c r="E684" s="112"/>
      <c r="F684" s="112"/>
      <c r="G684" s="112"/>
      <c r="H684" s="112"/>
      <c r="I684" s="112"/>
      <c r="J684" s="112"/>
      <c r="K684" s="112"/>
      <c r="L684" s="112"/>
      <c r="M684" s="112"/>
      <c r="N684" s="112"/>
      <c r="O684" s="112"/>
      <c r="P684" s="112"/>
      <c r="Q684" s="112"/>
      <c r="R684" s="112"/>
      <c r="S684" s="112"/>
      <c r="T684" s="112"/>
      <c r="U684" s="112"/>
      <c r="V684" s="112"/>
      <c r="W684" s="112"/>
      <c r="X684" s="112"/>
      <c r="Y684" s="112"/>
      <c r="Z684" s="112"/>
      <c r="AA684" s="112"/>
      <c r="AB684" s="112"/>
      <c r="AC684" s="112"/>
      <c r="AD684" s="112"/>
      <c r="AE684" s="112"/>
      <c r="AF684" s="112"/>
      <c r="AG684" s="112"/>
    </row>
    <row r="685" spans="1:33" ht="15.95" customHeight="1" x14ac:dyDescent="0.25">
      <c r="A685" s="112"/>
      <c r="B685" s="112"/>
      <c r="C685" s="112"/>
      <c r="D685" s="112"/>
      <c r="E685" s="112"/>
      <c r="F685" s="112"/>
      <c r="G685" s="112"/>
      <c r="H685" s="112"/>
      <c r="I685" s="112"/>
      <c r="J685" s="112"/>
      <c r="K685" s="112"/>
      <c r="L685" s="112"/>
      <c r="M685" s="112"/>
      <c r="N685" s="112"/>
      <c r="O685" s="112"/>
      <c r="P685" s="112"/>
      <c r="Q685" s="112"/>
      <c r="R685" s="112"/>
      <c r="S685" s="112"/>
      <c r="T685" s="112"/>
      <c r="U685" s="112"/>
      <c r="V685" s="112"/>
      <c r="W685" s="112"/>
      <c r="X685" s="112"/>
      <c r="Y685" s="112"/>
      <c r="Z685" s="112"/>
      <c r="AA685" s="112"/>
      <c r="AB685" s="112"/>
      <c r="AC685" s="112"/>
      <c r="AD685" s="112"/>
      <c r="AE685" s="112"/>
      <c r="AF685" s="112"/>
      <c r="AG685" s="112"/>
    </row>
    <row r="686" spans="1:33" ht="15.95" customHeight="1" x14ac:dyDescent="0.25">
      <c r="A686" s="112"/>
      <c r="B686" s="112"/>
      <c r="C686" s="112"/>
      <c r="D686" s="112"/>
      <c r="E686" s="112"/>
      <c r="F686" s="112"/>
      <c r="G686" s="112"/>
      <c r="H686" s="112"/>
      <c r="I686" s="112"/>
      <c r="J686" s="112"/>
      <c r="K686" s="112"/>
      <c r="L686" s="112"/>
      <c r="M686" s="112"/>
      <c r="N686" s="112"/>
      <c r="O686" s="112"/>
      <c r="P686" s="112"/>
      <c r="Q686" s="112"/>
      <c r="R686" s="112"/>
      <c r="S686" s="112"/>
      <c r="T686" s="112"/>
      <c r="U686" s="112"/>
      <c r="V686" s="112"/>
      <c r="W686" s="112"/>
      <c r="X686" s="112"/>
      <c r="Y686" s="112"/>
      <c r="Z686" s="112"/>
      <c r="AA686" s="112"/>
      <c r="AB686" s="112"/>
      <c r="AC686" s="112"/>
      <c r="AD686" s="112"/>
      <c r="AE686" s="112"/>
      <c r="AF686" s="112"/>
      <c r="AG686" s="112"/>
    </row>
    <row r="687" spans="1:33" ht="15.95" customHeight="1" x14ac:dyDescent="0.25">
      <c r="A687" s="112"/>
      <c r="B687" s="112"/>
      <c r="C687" s="112"/>
      <c r="D687" s="112"/>
      <c r="E687" s="112"/>
      <c r="F687" s="112"/>
      <c r="G687" s="112"/>
      <c r="H687" s="112"/>
      <c r="I687" s="112"/>
      <c r="J687" s="112"/>
      <c r="K687" s="112"/>
      <c r="L687" s="112"/>
      <c r="M687" s="112"/>
      <c r="N687" s="112"/>
      <c r="O687" s="112"/>
      <c r="P687" s="112"/>
      <c r="Q687" s="112"/>
      <c r="R687" s="112"/>
      <c r="S687" s="112"/>
      <c r="T687" s="112"/>
      <c r="U687" s="112"/>
      <c r="V687" s="112"/>
      <c r="W687" s="112"/>
      <c r="X687" s="112"/>
      <c r="Y687" s="112"/>
      <c r="Z687" s="112"/>
      <c r="AA687" s="112"/>
      <c r="AB687" s="112"/>
      <c r="AC687" s="112"/>
      <c r="AD687" s="112"/>
      <c r="AE687" s="112"/>
      <c r="AF687" s="112"/>
      <c r="AG687" s="112"/>
    </row>
    <row r="688" spans="1:33" ht="15.95" customHeight="1" x14ac:dyDescent="0.25">
      <c r="A688" s="112"/>
      <c r="B688" s="112"/>
      <c r="C688" s="112"/>
      <c r="D688" s="112"/>
      <c r="E688" s="112"/>
      <c r="F688" s="112"/>
      <c r="G688" s="112"/>
      <c r="H688" s="112"/>
      <c r="I688" s="112"/>
      <c r="J688" s="112"/>
      <c r="K688" s="112"/>
      <c r="L688" s="112"/>
      <c r="M688" s="112"/>
      <c r="N688" s="112"/>
      <c r="O688" s="112"/>
      <c r="P688" s="112"/>
      <c r="Q688" s="112"/>
      <c r="R688" s="112"/>
      <c r="S688" s="112"/>
      <c r="T688" s="112"/>
      <c r="U688" s="112"/>
      <c r="V688" s="112"/>
      <c r="W688" s="112"/>
      <c r="X688" s="112"/>
      <c r="Y688" s="112"/>
      <c r="Z688" s="112"/>
      <c r="AA688" s="112"/>
      <c r="AB688" s="112"/>
      <c r="AC688" s="112"/>
      <c r="AD688" s="112"/>
      <c r="AE688" s="112"/>
      <c r="AF688" s="112"/>
      <c r="AG688" s="112"/>
    </row>
    <row r="689" spans="1:33" ht="15.95" customHeight="1" x14ac:dyDescent="0.25">
      <c r="A689" s="112"/>
      <c r="B689" s="112"/>
      <c r="C689" s="112"/>
      <c r="D689" s="112"/>
      <c r="E689" s="112"/>
      <c r="F689" s="112"/>
      <c r="G689" s="112"/>
      <c r="H689" s="112"/>
      <c r="I689" s="112"/>
      <c r="J689" s="112"/>
      <c r="K689" s="112"/>
      <c r="L689" s="112"/>
      <c r="M689" s="112"/>
      <c r="N689" s="112"/>
      <c r="O689" s="112"/>
      <c r="P689" s="112"/>
      <c r="Q689" s="112"/>
      <c r="R689" s="112"/>
      <c r="S689" s="112"/>
      <c r="T689" s="112"/>
      <c r="U689" s="112"/>
      <c r="V689" s="112"/>
      <c r="W689" s="112"/>
      <c r="X689" s="112"/>
      <c r="Y689" s="112"/>
      <c r="Z689" s="112"/>
      <c r="AA689" s="112"/>
      <c r="AB689" s="112"/>
      <c r="AC689" s="112"/>
      <c r="AD689" s="112"/>
      <c r="AE689" s="112"/>
      <c r="AF689" s="112"/>
      <c r="AG689" s="112"/>
    </row>
    <row r="690" spans="1:33" ht="15.95" customHeight="1" x14ac:dyDescent="0.25">
      <c r="A690" s="112"/>
      <c r="B690" s="112"/>
      <c r="C690" s="112"/>
      <c r="D690" s="112"/>
      <c r="E690" s="112"/>
      <c r="F690" s="112"/>
      <c r="G690" s="112"/>
      <c r="H690" s="112"/>
      <c r="I690" s="112"/>
      <c r="J690" s="112"/>
      <c r="K690" s="112"/>
      <c r="L690" s="112"/>
      <c r="M690" s="112"/>
      <c r="N690" s="112"/>
      <c r="O690" s="112"/>
      <c r="P690" s="112"/>
      <c r="Q690" s="112"/>
      <c r="R690" s="112"/>
      <c r="S690" s="112"/>
      <c r="T690" s="112"/>
      <c r="U690" s="112"/>
      <c r="V690" s="112"/>
      <c r="W690" s="112"/>
      <c r="X690" s="112"/>
      <c r="Y690" s="112"/>
      <c r="Z690" s="112"/>
      <c r="AA690" s="112"/>
      <c r="AB690" s="112"/>
      <c r="AC690" s="112"/>
      <c r="AD690" s="112"/>
      <c r="AE690" s="112"/>
      <c r="AF690" s="112"/>
      <c r="AG690" s="112"/>
    </row>
    <row r="691" spans="1:33" ht="15.95" customHeight="1" x14ac:dyDescent="0.25">
      <c r="A691" s="112"/>
      <c r="B691" s="112"/>
      <c r="C691" s="112"/>
      <c r="D691" s="112"/>
      <c r="E691" s="112"/>
      <c r="F691" s="112"/>
      <c r="G691" s="112"/>
      <c r="H691" s="112"/>
      <c r="I691" s="112"/>
      <c r="J691" s="112"/>
      <c r="K691" s="112"/>
      <c r="L691" s="112"/>
      <c r="M691" s="112"/>
      <c r="N691" s="112"/>
      <c r="O691" s="112"/>
      <c r="P691" s="112"/>
      <c r="Q691" s="112"/>
      <c r="R691" s="112"/>
      <c r="S691" s="112"/>
      <c r="T691" s="112"/>
      <c r="U691" s="112"/>
      <c r="V691" s="112"/>
      <c r="W691" s="112"/>
      <c r="X691" s="112"/>
      <c r="Y691" s="112"/>
      <c r="Z691" s="112"/>
      <c r="AA691" s="112"/>
      <c r="AB691" s="112"/>
      <c r="AC691" s="112"/>
      <c r="AD691" s="112"/>
      <c r="AE691" s="112"/>
      <c r="AF691" s="112"/>
      <c r="AG691" s="112"/>
    </row>
    <row r="692" spans="1:33" ht="15.95" customHeight="1" x14ac:dyDescent="0.25">
      <c r="A692" s="112"/>
      <c r="B692" s="112"/>
      <c r="C692" s="112"/>
      <c r="D692" s="112"/>
      <c r="E692" s="112"/>
      <c r="F692" s="112"/>
      <c r="G692" s="112"/>
      <c r="H692" s="112"/>
      <c r="I692" s="112"/>
      <c r="J692" s="112"/>
      <c r="K692" s="112"/>
      <c r="L692" s="112"/>
      <c r="M692" s="112"/>
      <c r="N692" s="112"/>
      <c r="O692" s="112"/>
      <c r="P692" s="112"/>
      <c r="Q692" s="112"/>
      <c r="R692" s="112"/>
      <c r="S692" s="112"/>
      <c r="T692" s="112"/>
      <c r="U692" s="112"/>
      <c r="V692" s="112"/>
      <c r="W692" s="112"/>
      <c r="X692" s="112"/>
      <c r="Y692" s="112"/>
      <c r="Z692" s="112"/>
      <c r="AA692" s="112"/>
      <c r="AB692" s="112"/>
      <c r="AC692" s="112"/>
      <c r="AD692" s="112"/>
      <c r="AE692" s="112"/>
      <c r="AF692" s="112"/>
      <c r="AG692" s="112"/>
    </row>
    <row r="693" spans="1:33" ht="15.95" customHeight="1" x14ac:dyDescent="0.25">
      <c r="A693" s="112"/>
      <c r="B693" s="112"/>
      <c r="C693" s="112"/>
      <c r="D693" s="112"/>
      <c r="E693" s="112"/>
      <c r="F693" s="112"/>
      <c r="G693" s="112"/>
      <c r="H693" s="112"/>
      <c r="I693" s="112"/>
      <c r="J693" s="112"/>
      <c r="K693" s="112"/>
      <c r="L693" s="112"/>
      <c r="M693" s="112"/>
      <c r="N693" s="112"/>
      <c r="O693" s="112"/>
      <c r="P693" s="112"/>
      <c r="Q693" s="112"/>
      <c r="R693" s="112"/>
      <c r="S693" s="112"/>
      <c r="T693" s="112"/>
      <c r="U693" s="112"/>
      <c r="V693" s="112"/>
      <c r="W693" s="112"/>
      <c r="X693" s="112"/>
      <c r="Y693" s="112"/>
      <c r="Z693" s="112"/>
      <c r="AA693" s="112"/>
      <c r="AB693" s="112"/>
      <c r="AC693" s="112"/>
      <c r="AD693" s="112"/>
      <c r="AE693" s="112"/>
      <c r="AF693" s="112"/>
      <c r="AG693" s="112"/>
    </row>
    <row r="694" spans="1:33" ht="15.95" customHeight="1" x14ac:dyDescent="0.25">
      <c r="A694" s="112"/>
      <c r="B694" s="112"/>
      <c r="C694" s="112"/>
      <c r="D694" s="112"/>
      <c r="E694" s="112"/>
      <c r="F694" s="112"/>
      <c r="G694" s="112"/>
      <c r="H694" s="112"/>
      <c r="I694" s="112"/>
      <c r="J694" s="112"/>
      <c r="K694" s="112"/>
      <c r="L694" s="112"/>
      <c r="M694" s="112"/>
      <c r="N694" s="112"/>
      <c r="O694" s="112"/>
      <c r="P694" s="112"/>
      <c r="Q694" s="112"/>
      <c r="R694" s="112"/>
      <c r="S694" s="112"/>
      <c r="T694" s="112"/>
      <c r="U694" s="112"/>
      <c r="V694" s="112"/>
      <c r="W694" s="112"/>
      <c r="X694" s="112"/>
      <c r="Y694" s="112"/>
      <c r="Z694" s="112"/>
      <c r="AA694" s="112"/>
      <c r="AB694" s="112"/>
      <c r="AC694" s="112"/>
      <c r="AD694" s="112"/>
      <c r="AE694" s="112"/>
      <c r="AF694" s="112"/>
      <c r="AG694" s="112"/>
    </row>
    <row r="695" spans="1:33" ht="15.95" customHeight="1" x14ac:dyDescent="0.25">
      <c r="A695" s="112"/>
      <c r="B695" s="112"/>
      <c r="C695" s="112"/>
      <c r="D695" s="112"/>
      <c r="E695" s="112"/>
      <c r="F695" s="112"/>
      <c r="G695" s="112"/>
      <c r="H695" s="112"/>
      <c r="I695" s="112"/>
      <c r="J695" s="112"/>
      <c r="K695" s="112"/>
      <c r="L695" s="112"/>
      <c r="M695" s="112"/>
      <c r="N695" s="112"/>
      <c r="O695" s="112"/>
      <c r="P695" s="112"/>
      <c r="Q695" s="112"/>
      <c r="R695" s="112"/>
      <c r="S695" s="112"/>
      <c r="T695" s="112"/>
      <c r="U695" s="112"/>
      <c r="V695" s="112"/>
      <c r="W695" s="112"/>
      <c r="X695" s="112"/>
      <c r="Y695" s="112"/>
      <c r="Z695" s="112"/>
      <c r="AA695" s="112"/>
      <c r="AB695" s="112"/>
      <c r="AC695" s="112"/>
      <c r="AD695" s="112"/>
      <c r="AE695" s="112"/>
      <c r="AF695" s="112"/>
      <c r="AG695" s="112"/>
    </row>
    <row r="696" spans="1:33" ht="15.95" customHeight="1" x14ac:dyDescent="0.25">
      <c r="A696" s="112"/>
      <c r="B696" s="112"/>
      <c r="C696" s="112"/>
      <c r="D696" s="112"/>
      <c r="E696" s="112"/>
      <c r="F696" s="112"/>
      <c r="G696" s="112"/>
      <c r="H696" s="112"/>
      <c r="I696" s="112"/>
      <c r="J696" s="112"/>
      <c r="K696" s="112"/>
      <c r="L696" s="112"/>
      <c r="M696" s="112"/>
      <c r="N696" s="112"/>
      <c r="O696" s="112"/>
      <c r="P696" s="112"/>
      <c r="Q696" s="112"/>
      <c r="R696" s="112"/>
      <c r="S696" s="112"/>
      <c r="T696" s="112"/>
      <c r="U696" s="112"/>
      <c r="V696" s="112"/>
      <c r="W696" s="112"/>
      <c r="X696" s="112"/>
      <c r="Y696" s="112"/>
      <c r="Z696" s="112"/>
      <c r="AA696" s="112"/>
      <c r="AB696" s="112"/>
      <c r="AC696" s="112"/>
      <c r="AD696" s="112"/>
      <c r="AE696" s="112"/>
      <c r="AF696" s="112"/>
      <c r="AG696" s="112"/>
    </row>
    <row r="697" spans="1:33" ht="15.95" customHeight="1" x14ac:dyDescent="0.25">
      <c r="A697" s="112"/>
      <c r="B697" s="112"/>
      <c r="C697" s="112"/>
      <c r="D697" s="112"/>
      <c r="E697" s="112"/>
      <c r="F697" s="112"/>
      <c r="G697" s="112"/>
      <c r="H697" s="112"/>
      <c r="I697" s="112"/>
      <c r="J697" s="112"/>
      <c r="K697" s="112"/>
      <c r="L697" s="112"/>
      <c r="M697" s="112"/>
      <c r="N697" s="112"/>
      <c r="O697" s="112"/>
      <c r="P697" s="112"/>
      <c r="Q697" s="112"/>
      <c r="R697" s="112"/>
      <c r="S697" s="112"/>
      <c r="T697" s="112"/>
      <c r="U697" s="112"/>
      <c r="V697" s="112"/>
      <c r="W697" s="112"/>
      <c r="X697" s="112"/>
      <c r="Y697" s="112"/>
      <c r="Z697" s="112"/>
      <c r="AA697" s="112"/>
      <c r="AB697" s="112"/>
      <c r="AC697" s="112"/>
      <c r="AD697" s="112"/>
      <c r="AE697" s="112"/>
      <c r="AF697" s="112"/>
      <c r="AG697" s="112"/>
    </row>
    <row r="698" spans="1:33" ht="15.95" customHeight="1" x14ac:dyDescent="0.25">
      <c r="A698" s="112"/>
      <c r="B698" s="112"/>
      <c r="C698" s="112"/>
      <c r="D698" s="112"/>
      <c r="E698" s="112"/>
      <c r="F698" s="112"/>
      <c r="G698" s="112"/>
      <c r="H698" s="112"/>
      <c r="I698" s="112"/>
      <c r="J698" s="112"/>
      <c r="K698" s="112"/>
      <c r="L698" s="112"/>
      <c r="M698" s="112"/>
      <c r="N698" s="112"/>
      <c r="O698" s="112"/>
      <c r="P698" s="112"/>
      <c r="Q698" s="112"/>
      <c r="R698" s="112"/>
      <c r="S698" s="112"/>
      <c r="T698" s="112"/>
      <c r="U698" s="112"/>
      <c r="V698" s="112"/>
      <c r="W698" s="112"/>
      <c r="X698" s="112"/>
      <c r="Y698" s="112"/>
      <c r="Z698" s="112"/>
      <c r="AA698" s="112"/>
      <c r="AB698" s="112"/>
      <c r="AC698" s="112"/>
      <c r="AD698" s="112"/>
      <c r="AE698" s="112"/>
      <c r="AF698" s="112"/>
      <c r="AG698" s="112"/>
    </row>
    <row r="699" spans="1:33" ht="15.95" customHeight="1" x14ac:dyDescent="0.25">
      <c r="A699" s="112"/>
      <c r="B699" s="112"/>
      <c r="C699" s="112"/>
      <c r="D699" s="112"/>
      <c r="E699" s="112"/>
      <c r="F699" s="112"/>
      <c r="G699" s="112"/>
      <c r="H699" s="112"/>
      <c r="I699" s="112"/>
      <c r="J699" s="112"/>
      <c r="K699" s="112"/>
      <c r="L699" s="112"/>
      <c r="M699" s="112"/>
      <c r="N699" s="112"/>
      <c r="O699" s="112"/>
      <c r="P699" s="112"/>
      <c r="Q699" s="112"/>
      <c r="R699" s="112"/>
      <c r="S699" s="112"/>
      <c r="T699" s="112"/>
      <c r="U699" s="112"/>
      <c r="V699" s="112"/>
      <c r="W699" s="112"/>
      <c r="X699" s="112"/>
      <c r="Y699" s="112"/>
      <c r="Z699" s="112"/>
      <c r="AA699" s="112"/>
      <c r="AB699" s="112"/>
      <c r="AC699" s="112"/>
      <c r="AD699" s="112"/>
      <c r="AE699" s="112"/>
      <c r="AF699" s="112"/>
      <c r="AG699" s="112"/>
    </row>
    <row r="700" spans="1:33" ht="15.95" customHeight="1" x14ac:dyDescent="0.25">
      <c r="A700" s="112"/>
      <c r="B700" s="112"/>
      <c r="C700" s="112"/>
      <c r="D700" s="112"/>
      <c r="E700" s="112"/>
      <c r="F700" s="112"/>
      <c r="G700" s="112"/>
      <c r="H700" s="112"/>
      <c r="I700" s="112"/>
      <c r="J700" s="112"/>
      <c r="K700" s="112"/>
      <c r="L700" s="112"/>
      <c r="M700" s="112"/>
      <c r="N700" s="112"/>
      <c r="O700" s="112"/>
      <c r="P700" s="112"/>
      <c r="Q700" s="112"/>
      <c r="R700" s="112"/>
      <c r="S700" s="112"/>
      <c r="T700" s="112"/>
      <c r="U700" s="112"/>
      <c r="V700" s="112"/>
      <c r="W700" s="112"/>
      <c r="X700" s="112"/>
      <c r="Y700" s="112"/>
      <c r="Z700" s="112"/>
      <c r="AA700" s="112"/>
      <c r="AB700" s="112"/>
      <c r="AC700" s="112"/>
      <c r="AD700" s="112"/>
      <c r="AE700" s="112"/>
      <c r="AF700" s="112"/>
      <c r="AG700" s="112"/>
    </row>
    <row r="701" spans="1:33" ht="15.95" customHeight="1" x14ac:dyDescent="0.25">
      <c r="A701" s="112"/>
      <c r="B701" s="112"/>
      <c r="C701" s="112"/>
      <c r="D701" s="112"/>
      <c r="E701" s="112"/>
      <c r="F701" s="112"/>
      <c r="G701" s="112"/>
      <c r="H701" s="112"/>
      <c r="I701" s="112"/>
      <c r="J701" s="112"/>
      <c r="K701" s="112"/>
      <c r="L701" s="112"/>
      <c r="M701" s="112"/>
      <c r="N701" s="112"/>
      <c r="O701" s="112"/>
      <c r="P701" s="112"/>
      <c r="Q701" s="112"/>
      <c r="R701" s="112"/>
      <c r="S701" s="112"/>
      <c r="T701" s="112"/>
      <c r="U701" s="112"/>
      <c r="V701" s="112"/>
      <c r="W701" s="112"/>
      <c r="X701" s="112"/>
      <c r="Y701" s="112"/>
      <c r="Z701" s="112"/>
      <c r="AA701" s="112"/>
      <c r="AB701" s="112"/>
      <c r="AC701" s="112"/>
      <c r="AD701" s="112"/>
      <c r="AE701" s="112"/>
      <c r="AF701" s="112"/>
      <c r="AG701" s="112"/>
    </row>
    <row r="702" spans="1:33" ht="15.95" customHeight="1" x14ac:dyDescent="0.25">
      <c r="A702" s="112"/>
      <c r="B702" s="112"/>
      <c r="C702" s="112"/>
      <c r="D702" s="112"/>
      <c r="E702" s="112"/>
      <c r="F702" s="112"/>
      <c r="G702" s="112"/>
      <c r="H702" s="112"/>
      <c r="I702" s="112"/>
      <c r="J702" s="112"/>
      <c r="K702" s="112"/>
      <c r="L702" s="112"/>
      <c r="M702" s="112"/>
      <c r="N702" s="112"/>
      <c r="O702" s="112"/>
      <c r="P702" s="112"/>
      <c r="Q702" s="112"/>
      <c r="R702" s="112"/>
      <c r="S702" s="112"/>
      <c r="T702" s="112"/>
      <c r="U702" s="112"/>
      <c r="V702" s="112"/>
      <c r="W702" s="112"/>
      <c r="X702" s="112"/>
      <c r="Y702" s="112"/>
      <c r="Z702" s="112"/>
      <c r="AA702" s="112"/>
      <c r="AB702" s="112"/>
      <c r="AC702" s="112"/>
      <c r="AD702" s="112"/>
      <c r="AE702" s="112"/>
      <c r="AF702" s="112"/>
      <c r="AG702" s="112"/>
    </row>
    <row r="703" spans="1:33" ht="15.95" customHeight="1" x14ac:dyDescent="0.25">
      <c r="A703" s="112"/>
      <c r="B703" s="112"/>
      <c r="C703" s="112"/>
      <c r="D703" s="112"/>
      <c r="E703" s="112"/>
      <c r="F703" s="112"/>
      <c r="G703" s="112"/>
      <c r="H703" s="112"/>
      <c r="I703" s="112"/>
      <c r="J703" s="112"/>
      <c r="K703" s="112"/>
      <c r="L703" s="112"/>
      <c r="M703" s="112"/>
      <c r="N703" s="112"/>
      <c r="O703" s="112"/>
      <c r="P703" s="112"/>
      <c r="Q703" s="112"/>
      <c r="R703" s="112"/>
      <c r="S703" s="112"/>
      <c r="T703" s="112"/>
      <c r="U703" s="112"/>
      <c r="V703" s="112"/>
      <c r="W703" s="112"/>
      <c r="X703" s="112"/>
      <c r="Y703" s="112"/>
      <c r="Z703" s="112"/>
      <c r="AA703" s="112"/>
      <c r="AB703" s="112"/>
      <c r="AC703" s="112"/>
      <c r="AD703" s="112"/>
      <c r="AE703" s="112"/>
      <c r="AF703" s="112"/>
      <c r="AG703" s="112"/>
    </row>
    <row r="704" spans="1:33" ht="15.95" customHeight="1" x14ac:dyDescent="0.25">
      <c r="A704" s="112"/>
      <c r="B704" s="112"/>
      <c r="C704" s="112"/>
      <c r="D704" s="112"/>
      <c r="E704" s="112"/>
      <c r="F704" s="112"/>
      <c r="G704" s="112"/>
      <c r="H704" s="112"/>
      <c r="I704" s="112"/>
      <c r="J704" s="112"/>
      <c r="K704" s="112"/>
      <c r="L704" s="112"/>
      <c r="M704" s="112"/>
      <c r="N704" s="112"/>
      <c r="O704" s="112"/>
      <c r="P704" s="112"/>
      <c r="Q704" s="112"/>
      <c r="R704" s="112"/>
      <c r="S704" s="112"/>
      <c r="T704" s="112"/>
      <c r="U704" s="112"/>
      <c r="V704" s="112"/>
      <c r="W704" s="112"/>
      <c r="X704" s="112"/>
      <c r="Y704" s="112"/>
      <c r="Z704" s="112"/>
      <c r="AA704" s="112"/>
      <c r="AB704" s="112"/>
      <c r="AC704" s="112"/>
      <c r="AD704" s="112"/>
      <c r="AE704" s="112"/>
      <c r="AF704" s="112"/>
      <c r="AG704" s="112"/>
    </row>
    <row r="705" spans="1:33" ht="15.95" customHeight="1" x14ac:dyDescent="0.25">
      <c r="A705" s="112"/>
      <c r="B705" s="112"/>
      <c r="C705" s="112"/>
      <c r="D705" s="112"/>
      <c r="E705" s="112"/>
      <c r="F705" s="112"/>
      <c r="G705" s="112"/>
      <c r="H705" s="112"/>
      <c r="I705" s="112"/>
      <c r="J705" s="112"/>
      <c r="K705" s="112"/>
      <c r="L705" s="112"/>
      <c r="M705" s="112"/>
      <c r="N705" s="112"/>
      <c r="O705" s="112"/>
      <c r="P705" s="112"/>
      <c r="Q705" s="112"/>
      <c r="R705" s="112"/>
      <c r="S705" s="112"/>
      <c r="T705" s="112"/>
      <c r="U705" s="112"/>
      <c r="V705" s="112"/>
      <c r="W705" s="112"/>
      <c r="X705" s="112"/>
      <c r="Y705" s="112"/>
      <c r="Z705" s="112"/>
      <c r="AA705" s="112"/>
      <c r="AB705" s="112"/>
      <c r="AC705" s="112"/>
      <c r="AD705" s="112"/>
      <c r="AE705" s="112"/>
      <c r="AF705" s="112"/>
      <c r="AG705" s="112"/>
    </row>
    <row r="706" spans="1:33" ht="15.95" customHeight="1" x14ac:dyDescent="0.25">
      <c r="A706" s="112"/>
      <c r="B706" s="112"/>
      <c r="C706" s="112"/>
      <c r="D706" s="112"/>
      <c r="E706" s="112"/>
      <c r="F706" s="112"/>
      <c r="G706" s="112"/>
      <c r="H706" s="112"/>
      <c r="I706" s="112"/>
      <c r="J706" s="112"/>
      <c r="K706" s="112"/>
      <c r="L706" s="112"/>
      <c r="M706" s="112"/>
      <c r="N706" s="112"/>
      <c r="O706" s="112"/>
      <c r="P706" s="112"/>
      <c r="Q706" s="112"/>
      <c r="R706" s="112"/>
      <c r="S706" s="112"/>
      <c r="T706" s="112"/>
      <c r="U706" s="112"/>
      <c r="V706" s="112"/>
      <c r="W706" s="112"/>
      <c r="X706" s="112"/>
      <c r="Y706" s="112"/>
      <c r="Z706" s="112"/>
      <c r="AA706" s="112"/>
      <c r="AB706" s="112"/>
      <c r="AC706" s="112"/>
      <c r="AD706" s="112"/>
      <c r="AE706" s="112"/>
      <c r="AF706" s="112"/>
      <c r="AG706" s="112"/>
    </row>
    <row r="707" spans="1:33" ht="15.95" customHeight="1" x14ac:dyDescent="0.25">
      <c r="A707" s="112"/>
      <c r="B707" s="112"/>
      <c r="C707" s="112"/>
      <c r="D707" s="112"/>
      <c r="E707" s="112"/>
      <c r="F707" s="112"/>
      <c r="G707" s="112"/>
      <c r="H707" s="112"/>
      <c r="I707" s="112"/>
      <c r="J707" s="112"/>
      <c r="K707" s="112"/>
      <c r="L707" s="112"/>
      <c r="M707" s="112"/>
      <c r="N707" s="112"/>
      <c r="O707" s="112"/>
      <c r="P707" s="112"/>
      <c r="Q707" s="112"/>
      <c r="R707" s="112"/>
      <c r="S707" s="112"/>
      <c r="T707" s="112"/>
      <c r="U707" s="112"/>
      <c r="V707" s="112"/>
      <c r="W707" s="112"/>
      <c r="X707" s="112"/>
      <c r="Y707" s="112"/>
      <c r="Z707" s="112"/>
      <c r="AA707" s="112"/>
      <c r="AB707" s="112"/>
      <c r="AC707" s="112"/>
      <c r="AD707" s="112"/>
      <c r="AE707" s="112"/>
      <c r="AF707" s="112"/>
      <c r="AG707" s="112"/>
    </row>
    <row r="708" spans="1:33" ht="15.95" customHeight="1" x14ac:dyDescent="0.25">
      <c r="A708" s="112"/>
      <c r="B708" s="112"/>
      <c r="C708" s="112"/>
      <c r="D708" s="112"/>
      <c r="E708" s="112"/>
      <c r="F708" s="112"/>
      <c r="G708" s="112"/>
      <c r="H708" s="112"/>
      <c r="I708" s="112"/>
      <c r="J708" s="112"/>
      <c r="K708" s="112"/>
      <c r="L708" s="112"/>
      <c r="M708" s="112"/>
      <c r="N708" s="112"/>
      <c r="O708" s="112"/>
      <c r="P708" s="112"/>
      <c r="Q708" s="112"/>
      <c r="R708" s="112"/>
      <c r="S708" s="112"/>
      <c r="T708" s="112"/>
      <c r="U708" s="112"/>
      <c r="V708" s="112"/>
      <c r="W708" s="112"/>
      <c r="X708" s="112"/>
      <c r="Y708" s="112"/>
      <c r="Z708" s="112"/>
      <c r="AA708" s="112"/>
      <c r="AB708" s="112"/>
      <c r="AC708" s="112"/>
      <c r="AD708" s="112"/>
      <c r="AE708" s="112"/>
      <c r="AF708" s="112"/>
      <c r="AG708" s="112"/>
    </row>
    <row r="709" spans="1:33" ht="15.95" customHeight="1" x14ac:dyDescent="0.25">
      <c r="A709" s="112"/>
      <c r="B709" s="112"/>
      <c r="C709" s="112"/>
      <c r="D709" s="112"/>
      <c r="E709" s="112"/>
      <c r="F709" s="112"/>
      <c r="G709" s="112"/>
      <c r="H709" s="112"/>
      <c r="I709" s="112"/>
      <c r="J709" s="112"/>
      <c r="K709" s="112"/>
      <c r="L709" s="112"/>
      <c r="M709" s="112"/>
      <c r="N709" s="112"/>
      <c r="O709" s="112"/>
      <c r="P709" s="112"/>
      <c r="Q709" s="112"/>
      <c r="R709" s="112"/>
      <c r="S709" s="112"/>
      <c r="T709" s="112"/>
      <c r="U709" s="112"/>
      <c r="V709" s="112"/>
      <c r="W709" s="112"/>
      <c r="X709" s="112"/>
      <c r="Y709" s="112"/>
      <c r="Z709" s="112"/>
      <c r="AA709" s="112"/>
      <c r="AB709" s="112"/>
      <c r="AC709" s="112"/>
      <c r="AD709" s="112"/>
      <c r="AE709" s="112"/>
      <c r="AF709" s="112"/>
      <c r="AG709" s="112"/>
    </row>
    <row r="710" spans="1:33" ht="15.95" customHeight="1" x14ac:dyDescent="0.25">
      <c r="A710" s="112"/>
      <c r="B710" s="112"/>
      <c r="C710" s="112"/>
      <c r="D710" s="112"/>
      <c r="E710" s="112"/>
      <c r="F710" s="112"/>
      <c r="G710" s="112"/>
      <c r="H710" s="112"/>
      <c r="I710" s="112"/>
      <c r="J710" s="112"/>
      <c r="K710" s="112"/>
      <c r="L710" s="112"/>
      <c r="M710" s="112"/>
      <c r="N710" s="112"/>
      <c r="O710" s="112"/>
      <c r="P710" s="112"/>
      <c r="Q710" s="112"/>
      <c r="R710" s="112"/>
      <c r="S710" s="112"/>
      <c r="T710" s="112"/>
      <c r="U710" s="112"/>
      <c r="V710" s="112"/>
      <c r="W710" s="112"/>
      <c r="X710" s="112"/>
      <c r="Y710" s="112"/>
      <c r="Z710" s="112"/>
      <c r="AA710" s="112"/>
      <c r="AB710" s="112"/>
      <c r="AC710" s="112"/>
      <c r="AD710" s="112"/>
      <c r="AE710" s="112"/>
      <c r="AF710" s="112"/>
      <c r="AG710" s="112"/>
    </row>
    <row r="711" spans="1:33" ht="15.95" customHeight="1" x14ac:dyDescent="0.25">
      <c r="A711" s="112"/>
      <c r="B711" s="112"/>
      <c r="C711" s="112"/>
      <c r="D711" s="112"/>
      <c r="E711" s="112"/>
      <c r="F711" s="112"/>
      <c r="G711" s="112"/>
      <c r="H711" s="112"/>
      <c r="I711" s="112"/>
      <c r="J711" s="112"/>
      <c r="K711" s="112"/>
      <c r="L711" s="112"/>
      <c r="M711" s="112"/>
      <c r="N711" s="112"/>
      <c r="O711" s="112"/>
      <c r="P711" s="112"/>
      <c r="Q711" s="112"/>
      <c r="R711" s="112"/>
      <c r="S711" s="112"/>
      <c r="T711" s="112"/>
      <c r="U711" s="112"/>
      <c r="V711" s="112"/>
      <c r="W711" s="112"/>
      <c r="X711" s="112"/>
      <c r="Y711" s="112"/>
      <c r="Z711" s="112"/>
      <c r="AA711" s="112"/>
      <c r="AB711" s="112"/>
      <c r="AC711" s="112"/>
      <c r="AD711" s="112"/>
      <c r="AE711" s="112"/>
      <c r="AF711" s="112"/>
      <c r="AG711" s="112"/>
    </row>
    <row r="712" spans="1:33" ht="15.95" customHeight="1" x14ac:dyDescent="0.25">
      <c r="A712" s="112"/>
      <c r="B712" s="112"/>
      <c r="C712" s="112"/>
      <c r="D712" s="112"/>
      <c r="E712" s="112"/>
      <c r="F712" s="112"/>
      <c r="G712" s="112"/>
      <c r="H712" s="112"/>
      <c r="I712" s="112"/>
      <c r="J712" s="112"/>
      <c r="K712" s="112"/>
      <c r="L712" s="112"/>
      <c r="M712" s="112"/>
      <c r="N712" s="112"/>
      <c r="O712" s="112"/>
      <c r="P712" s="112"/>
      <c r="Q712" s="112"/>
      <c r="R712" s="112"/>
      <c r="S712" s="112"/>
      <c r="T712" s="112"/>
      <c r="U712" s="112"/>
      <c r="V712" s="112"/>
      <c r="W712" s="112"/>
      <c r="X712" s="112"/>
      <c r="Y712" s="112"/>
      <c r="Z712" s="112"/>
      <c r="AA712" s="112"/>
      <c r="AB712" s="112"/>
      <c r="AC712" s="112"/>
      <c r="AD712" s="112"/>
      <c r="AE712" s="112"/>
      <c r="AF712" s="112"/>
      <c r="AG712" s="112"/>
    </row>
    <row r="713" spans="1:33" ht="15.95" customHeight="1" x14ac:dyDescent="0.25">
      <c r="A713" s="112"/>
      <c r="B713" s="112"/>
      <c r="C713" s="112"/>
      <c r="D713" s="112"/>
      <c r="E713" s="112"/>
      <c r="F713" s="112"/>
      <c r="G713" s="112"/>
      <c r="H713" s="112"/>
      <c r="I713" s="112"/>
      <c r="J713" s="112"/>
      <c r="K713" s="112"/>
      <c r="L713" s="112"/>
      <c r="M713" s="112"/>
      <c r="N713" s="112"/>
      <c r="O713" s="112"/>
      <c r="P713" s="112"/>
      <c r="Q713" s="112"/>
      <c r="R713" s="112"/>
      <c r="S713" s="112"/>
      <c r="T713" s="112"/>
      <c r="U713" s="112"/>
      <c r="V713" s="112"/>
      <c r="W713" s="112"/>
      <c r="X713" s="112"/>
      <c r="Y713" s="112"/>
      <c r="Z713" s="112"/>
      <c r="AA713" s="112"/>
      <c r="AB713" s="112"/>
      <c r="AC713" s="112"/>
      <c r="AD713" s="112"/>
      <c r="AE713" s="112"/>
      <c r="AF713" s="112"/>
      <c r="AG713" s="112"/>
    </row>
    <row r="714" spans="1:33" ht="15.95" customHeight="1" x14ac:dyDescent="0.25">
      <c r="A714" s="112"/>
      <c r="B714" s="112"/>
      <c r="C714" s="112"/>
      <c r="D714" s="112"/>
      <c r="E714" s="112"/>
      <c r="F714" s="112"/>
      <c r="G714" s="112"/>
      <c r="H714" s="112"/>
      <c r="I714" s="112"/>
      <c r="J714" s="112"/>
      <c r="K714" s="112"/>
      <c r="L714" s="112"/>
      <c r="M714" s="112"/>
      <c r="N714" s="112"/>
      <c r="O714" s="112"/>
      <c r="P714" s="112"/>
      <c r="Q714" s="112"/>
      <c r="R714" s="112"/>
      <c r="S714" s="112"/>
      <c r="T714" s="112"/>
      <c r="U714" s="112"/>
      <c r="V714" s="112"/>
      <c r="W714" s="112"/>
      <c r="X714" s="112"/>
      <c r="Y714" s="112"/>
      <c r="Z714" s="112"/>
      <c r="AA714" s="112"/>
      <c r="AB714" s="112"/>
      <c r="AC714" s="112"/>
      <c r="AD714" s="112"/>
      <c r="AE714" s="112"/>
      <c r="AF714" s="112"/>
      <c r="AG714" s="112"/>
    </row>
    <row r="715" spans="1:33" ht="15.95" customHeight="1" x14ac:dyDescent="0.25">
      <c r="A715" s="112"/>
      <c r="B715" s="112"/>
      <c r="C715" s="112"/>
      <c r="D715" s="112"/>
      <c r="E715" s="112"/>
      <c r="F715" s="112"/>
      <c r="G715" s="112"/>
      <c r="H715" s="112"/>
      <c r="I715" s="112"/>
      <c r="J715" s="112"/>
      <c r="K715" s="112"/>
      <c r="L715" s="112"/>
      <c r="M715" s="112"/>
      <c r="N715" s="112"/>
      <c r="O715" s="112"/>
      <c r="P715" s="112"/>
      <c r="Q715" s="112"/>
      <c r="R715" s="112"/>
      <c r="S715" s="112"/>
      <c r="T715" s="112"/>
      <c r="U715" s="112"/>
      <c r="V715" s="112"/>
      <c r="W715" s="112"/>
      <c r="X715" s="112"/>
      <c r="Y715" s="112"/>
      <c r="Z715" s="112"/>
      <c r="AA715" s="112"/>
      <c r="AB715" s="112"/>
      <c r="AC715" s="112"/>
      <c r="AD715" s="112"/>
      <c r="AE715" s="112"/>
      <c r="AF715" s="112"/>
      <c r="AG715" s="112"/>
    </row>
    <row r="716" spans="1:33" ht="15.95" customHeight="1" x14ac:dyDescent="0.25">
      <c r="A716" s="112"/>
      <c r="B716" s="112"/>
      <c r="C716" s="112"/>
      <c r="D716" s="112"/>
      <c r="E716" s="112"/>
      <c r="F716" s="112"/>
      <c r="G716" s="112"/>
      <c r="H716" s="112"/>
      <c r="I716" s="112"/>
      <c r="J716" s="112"/>
      <c r="K716" s="112"/>
      <c r="L716" s="112"/>
      <c r="M716" s="112"/>
      <c r="N716" s="112"/>
      <c r="O716" s="112"/>
      <c r="P716" s="112"/>
      <c r="Q716" s="112"/>
      <c r="R716" s="112"/>
      <c r="S716" s="112"/>
      <c r="T716" s="112"/>
      <c r="U716" s="112"/>
      <c r="V716" s="112"/>
      <c r="W716" s="112"/>
      <c r="X716" s="112"/>
      <c r="Y716" s="112"/>
      <c r="Z716" s="112"/>
      <c r="AA716" s="112"/>
      <c r="AB716" s="112"/>
      <c r="AC716" s="112"/>
      <c r="AD716" s="112"/>
      <c r="AE716" s="112"/>
      <c r="AF716" s="112"/>
      <c r="AG716" s="112"/>
    </row>
    <row r="717" spans="1:33" ht="15.95" customHeight="1" x14ac:dyDescent="0.25">
      <c r="A717" s="112"/>
      <c r="B717" s="112"/>
      <c r="C717" s="112"/>
      <c r="D717" s="112"/>
      <c r="E717" s="112"/>
      <c r="F717" s="112"/>
      <c r="G717" s="112"/>
      <c r="H717" s="112"/>
      <c r="I717" s="112"/>
      <c r="J717" s="112"/>
      <c r="K717" s="112"/>
      <c r="L717" s="112"/>
      <c r="M717" s="112"/>
      <c r="N717" s="112"/>
      <c r="O717" s="112"/>
      <c r="P717" s="112"/>
      <c r="Q717" s="112"/>
      <c r="R717" s="112"/>
      <c r="S717" s="112"/>
      <c r="T717" s="112"/>
      <c r="U717" s="112"/>
      <c r="V717" s="112"/>
      <c r="W717" s="112"/>
      <c r="X717" s="112"/>
      <c r="Y717" s="112"/>
      <c r="Z717" s="112"/>
      <c r="AA717" s="112"/>
      <c r="AB717" s="112"/>
      <c r="AC717" s="112"/>
      <c r="AD717" s="112"/>
      <c r="AE717" s="112"/>
      <c r="AF717" s="112"/>
      <c r="AG717" s="112"/>
    </row>
    <row r="718" spans="1:33" ht="15.95" customHeight="1" x14ac:dyDescent="0.25">
      <c r="A718" s="112"/>
      <c r="B718" s="112"/>
      <c r="C718" s="112"/>
      <c r="D718" s="112"/>
      <c r="E718" s="112"/>
      <c r="F718" s="112"/>
      <c r="G718" s="112"/>
      <c r="H718" s="112"/>
      <c r="I718" s="112"/>
      <c r="J718" s="112"/>
      <c r="K718" s="112"/>
      <c r="L718" s="112"/>
      <c r="M718" s="112"/>
      <c r="N718" s="112"/>
      <c r="O718" s="112"/>
      <c r="P718" s="112"/>
      <c r="Q718" s="112"/>
      <c r="R718" s="112"/>
      <c r="S718" s="112"/>
      <c r="T718" s="112"/>
      <c r="U718" s="112"/>
      <c r="V718" s="112"/>
      <c r="W718" s="112"/>
      <c r="X718" s="112"/>
      <c r="Y718" s="112"/>
      <c r="Z718" s="112"/>
      <c r="AA718" s="112"/>
      <c r="AB718" s="112"/>
      <c r="AC718" s="112"/>
      <c r="AD718" s="112"/>
      <c r="AE718" s="112"/>
      <c r="AF718" s="112"/>
      <c r="AG718" s="112"/>
    </row>
    <row r="719" spans="1:33" ht="15.95" customHeight="1" x14ac:dyDescent="0.25">
      <c r="A719" s="112"/>
      <c r="B719" s="112"/>
      <c r="C719" s="112"/>
      <c r="D719" s="112"/>
      <c r="E719" s="112"/>
      <c r="F719" s="112"/>
      <c r="G719" s="112"/>
      <c r="H719" s="112"/>
      <c r="I719" s="112"/>
      <c r="J719" s="112"/>
      <c r="K719" s="112"/>
      <c r="L719" s="112"/>
      <c r="M719" s="112"/>
      <c r="N719" s="112"/>
      <c r="O719" s="112"/>
      <c r="P719" s="112"/>
      <c r="Q719" s="112"/>
      <c r="R719" s="112"/>
      <c r="S719" s="112"/>
      <c r="T719" s="112"/>
      <c r="U719" s="112"/>
      <c r="V719" s="112"/>
      <c r="W719" s="112"/>
      <c r="X719" s="112"/>
      <c r="Y719" s="112"/>
      <c r="Z719" s="112"/>
      <c r="AA719" s="112"/>
      <c r="AB719" s="112"/>
      <c r="AC719" s="112"/>
      <c r="AD719" s="112"/>
      <c r="AE719" s="112"/>
      <c r="AF719" s="112"/>
      <c r="AG719" s="112"/>
    </row>
    <row r="720" spans="1:33" ht="15.95" customHeight="1" x14ac:dyDescent="0.25">
      <c r="A720" s="112"/>
      <c r="B720" s="112"/>
      <c r="C720" s="112"/>
      <c r="D720" s="112"/>
      <c r="E720" s="112"/>
      <c r="F720" s="112"/>
      <c r="G720" s="112"/>
      <c r="H720" s="112"/>
      <c r="I720" s="112"/>
      <c r="J720" s="112"/>
      <c r="K720" s="112"/>
      <c r="L720" s="112"/>
      <c r="M720" s="112"/>
      <c r="N720" s="112"/>
      <c r="O720" s="112"/>
      <c r="P720" s="112"/>
      <c r="Q720" s="112"/>
      <c r="R720" s="112"/>
      <c r="S720" s="112"/>
      <c r="T720" s="112"/>
      <c r="U720" s="112"/>
      <c r="V720" s="112"/>
      <c r="W720" s="112"/>
      <c r="X720" s="112"/>
      <c r="Y720" s="112"/>
      <c r="Z720" s="112"/>
      <c r="AA720" s="112"/>
      <c r="AB720" s="112"/>
      <c r="AC720" s="112"/>
      <c r="AD720" s="112"/>
      <c r="AE720" s="112"/>
      <c r="AF720" s="112"/>
      <c r="AG720" s="112"/>
    </row>
    <row r="721" spans="1:33" ht="15.95" customHeight="1" x14ac:dyDescent="0.25">
      <c r="A721" s="112"/>
      <c r="B721" s="112"/>
      <c r="C721" s="112"/>
      <c r="D721" s="112"/>
      <c r="E721" s="112"/>
      <c r="F721" s="112"/>
      <c r="G721" s="112"/>
      <c r="H721" s="112"/>
      <c r="I721" s="112"/>
      <c r="J721" s="112"/>
      <c r="K721" s="112"/>
      <c r="L721" s="112"/>
      <c r="M721" s="112"/>
      <c r="N721" s="112"/>
      <c r="O721" s="112"/>
      <c r="P721" s="112"/>
      <c r="Q721" s="112"/>
      <c r="R721" s="112"/>
      <c r="S721" s="112"/>
      <c r="T721" s="112"/>
      <c r="U721" s="112"/>
      <c r="V721" s="112"/>
      <c r="W721" s="112"/>
      <c r="X721" s="112"/>
      <c r="Y721" s="112"/>
      <c r="Z721" s="112"/>
      <c r="AA721" s="112"/>
      <c r="AB721" s="112"/>
      <c r="AC721" s="112"/>
      <c r="AD721" s="112"/>
      <c r="AE721" s="112"/>
      <c r="AF721" s="112"/>
      <c r="AG721" s="112"/>
    </row>
    <row r="722" spans="1:33" ht="15.95" customHeight="1" x14ac:dyDescent="0.25">
      <c r="A722" s="112"/>
      <c r="B722" s="112"/>
      <c r="C722" s="112"/>
      <c r="D722" s="112"/>
      <c r="E722" s="112"/>
      <c r="F722" s="112"/>
      <c r="G722" s="112"/>
      <c r="H722" s="112"/>
      <c r="I722" s="112"/>
      <c r="J722" s="112"/>
      <c r="K722" s="112"/>
      <c r="L722" s="112"/>
      <c r="M722" s="112"/>
      <c r="N722" s="112"/>
      <c r="O722" s="112"/>
      <c r="P722" s="112"/>
      <c r="Q722" s="112"/>
      <c r="R722" s="112"/>
      <c r="S722" s="112"/>
      <c r="T722" s="112"/>
      <c r="U722" s="112"/>
      <c r="V722" s="112"/>
      <c r="W722" s="112"/>
      <c r="X722" s="112"/>
      <c r="Y722" s="112"/>
      <c r="Z722" s="112"/>
      <c r="AA722" s="112"/>
      <c r="AB722" s="112"/>
      <c r="AC722" s="112"/>
      <c r="AD722" s="112"/>
      <c r="AE722" s="112"/>
      <c r="AF722" s="112"/>
      <c r="AG722" s="112"/>
    </row>
    <row r="723" spans="1:33" ht="15.95" customHeight="1" x14ac:dyDescent="0.25">
      <c r="A723" s="112"/>
      <c r="B723" s="112"/>
      <c r="C723" s="112"/>
      <c r="D723" s="112"/>
      <c r="E723" s="112"/>
      <c r="F723" s="112"/>
      <c r="G723" s="112"/>
      <c r="H723" s="112"/>
      <c r="I723" s="112"/>
      <c r="J723" s="112"/>
      <c r="K723" s="112"/>
      <c r="L723" s="112"/>
      <c r="M723" s="112"/>
      <c r="N723" s="112"/>
      <c r="O723" s="112"/>
      <c r="P723" s="112"/>
      <c r="Q723" s="112"/>
      <c r="R723" s="112"/>
      <c r="S723" s="112"/>
      <c r="T723" s="112"/>
      <c r="U723" s="112"/>
      <c r="V723" s="112"/>
      <c r="W723" s="112"/>
      <c r="X723" s="112"/>
      <c r="Y723" s="112"/>
      <c r="Z723" s="112"/>
      <c r="AA723" s="112"/>
      <c r="AB723" s="112"/>
      <c r="AC723" s="112"/>
      <c r="AD723" s="112"/>
      <c r="AE723" s="112"/>
      <c r="AF723" s="112"/>
      <c r="AG723" s="112"/>
    </row>
    <row r="724" spans="1:33" ht="15.95" customHeight="1" x14ac:dyDescent="0.25">
      <c r="A724" s="112"/>
      <c r="B724" s="112"/>
      <c r="C724" s="112"/>
      <c r="D724" s="112"/>
      <c r="E724" s="112"/>
      <c r="F724" s="112"/>
      <c r="G724" s="112"/>
      <c r="H724" s="112"/>
      <c r="I724" s="112"/>
      <c r="J724" s="112"/>
      <c r="K724" s="112"/>
      <c r="L724" s="112"/>
      <c r="M724" s="112"/>
      <c r="N724" s="112"/>
      <c r="O724" s="112"/>
      <c r="P724" s="112"/>
      <c r="Q724" s="112"/>
      <c r="R724" s="112"/>
      <c r="S724" s="112"/>
      <c r="T724" s="112"/>
      <c r="U724" s="112"/>
      <c r="V724" s="112"/>
      <c r="W724" s="112"/>
      <c r="X724" s="112"/>
      <c r="Y724" s="112"/>
      <c r="Z724" s="112"/>
      <c r="AA724" s="112"/>
      <c r="AB724" s="112"/>
      <c r="AC724" s="112"/>
      <c r="AD724" s="112"/>
      <c r="AE724" s="112"/>
      <c r="AF724" s="112"/>
      <c r="AG724" s="112"/>
    </row>
    <row r="725" spans="1:33" ht="15.95" customHeight="1" x14ac:dyDescent="0.25">
      <c r="A725" s="112"/>
      <c r="B725" s="112"/>
      <c r="C725" s="112"/>
      <c r="D725" s="112"/>
      <c r="E725" s="112"/>
      <c r="F725" s="112"/>
      <c r="G725" s="112"/>
      <c r="H725" s="112"/>
      <c r="I725" s="112"/>
      <c r="J725" s="112"/>
      <c r="K725" s="112"/>
      <c r="L725" s="112"/>
      <c r="M725" s="112"/>
      <c r="N725" s="112"/>
      <c r="O725" s="112"/>
      <c r="P725" s="112"/>
      <c r="Q725" s="112"/>
      <c r="R725" s="112"/>
      <c r="S725" s="112"/>
      <c r="T725" s="112"/>
      <c r="U725" s="112"/>
      <c r="V725" s="112"/>
      <c r="W725" s="112"/>
      <c r="X725" s="112"/>
      <c r="Y725" s="112"/>
      <c r="Z725" s="112"/>
      <c r="AA725" s="112"/>
      <c r="AB725" s="112"/>
      <c r="AC725" s="112"/>
      <c r="AD725" s="112"/>
      <c r="AE725" s="112"/>
      <c r="AF725" s="112"/>
      <c r="AG725" s="112"/>
    </row>
    <row r="726" spans="1:33" ht="15.95" customHeight="1" x14ac:dyDescent="0.25">
      <c r="A726" s="112"/>
      <c r="B726" s="112"/>
      <c r="C726" s="112"/>
      <c r="D726" s="112"/>
      <c r="E726" s="112"/>
      <c r="F726" s="112"/>
      <c r="G726" s="112"/>
      <c r="H726" s="112"/>
      <c r="I726" s="112"/>
      <c r="J726" s="112"/>
      <c r="K726" s="112"/>
      <c r="L726" s="112"/>
      <c r="M726" s="112"/>
      <c r="N726" s="112"/>
      <c r="O726" s="112"/>
      <c r="P726" s="112"/>
      <c r="Q726" s="112"/>
      <c r="R726" s="112"/>
      <c r="S726" s="112"/>
      <c r="T726" s="112"/>
      <c r="U726" s="112"/>
      <c r="V726" s="112"/>
      <c r="W726" s="112"/>
      <c r="X726" s="112"/>
      <c r="Y726" s="112"/>
      <c r="Z726" s="112"/>
      <c r="AA726" s="112"/>
      <c r="AB726" s="112"/>
      <c r="AC726" s="112"/>
      <c r="AD726" s="112"/>
      <c r="AE726" s="112"/>
      <c r="AF726" s="112"/>
      <c r="AG726" s="112"/>
    </row>
    <row r="727" spans="1:33" ht="15.95" customHeight="1" x14ac:dyDescent="0.25">
      <c r="A727" s="112"/>
      <c r="B727" s="112"/>
      <c r="C727" s="112"/>
      <c r="D727" s="112"/>
      <c r="E727" s="112"/>
      <c r="F727" s="112"/>
      <c r="G727" s="112"/>
      <c r="H727" s="112"/>
      <c r="I727" s="112"/>
      <c r="J727" s="112"/>
      <c r="K727" s="112"/>
      <c r="L727" s="112"/>
      <c r="M727" s="112"/>
      <c r="N727" s="112"/>
      <c r="O727" s="112"/>
      <c r="P727" s="112"/>
      <c r="Q727" s="112"/>
      <c r="R727" s="112"/>
      <c r="S727" s="112"/>
      <c r="T727" s="112"/>
      <c r="U727" s="112"/>
      <c r="V727" s="112"/>
      <c r="W727" s="112"/>
      <c r="X727" s="112"/>
      <c r="Y727" s="112"/>
      <c r="Z727" s="112"/>
      <c r="AA727" s="112"/>
      <c r="AB727" s="112"/>
      <c r="AC727" s="112"/>
      <c r="AD727" s="112"/>
      <c r="AE727" s="112"/>
      <c r="AF727" s="112"/>
      <c r="AG727" s="112"/>
    </row>
    <row r="728" spans="1:33" ht="15.95" customHeight="1" x14ac:dyDescent="0.25">
      <c r="A728" s="112"/>
      <c r="B728" s="112"/>
      <c r="C728" s="112"/>
      <c r="D728" s="112"/>
      <c r="E728" s="112"/>
      <c r="F728" s="112"/>
      <c r="G728" s="112"/>
      <c r="H728" s="112"/>
      <c r="I728" s="112"/>
      <c r="J728" s="112"/>
      <c r="K728" s="112"/>
      <c r="L728" s="112"/>
      <c r="M728" s="112"/>
      <c r="N728" s="112"/>
      <c r="O728" s="112"/>
      <c r="P728" s="112"/>
      <c r="Q728" s="112"/>
      <c r="R728" s="112"/>
      <c r="S728" s="112"/>
      <c r="T728" s="112"/>
      <c r="U728" s="112"/>
      <c r="V728" s="112"/>
      <c r="W728" s="112"/>
      <c r="X728" s="112"/>
      <c r="Y728" s="112"/>
      <c r="Z728" s="112"/>
      <c r="AA728" s="112"/>
      <c r="AB728" s="112"/>
      <c r="AC728" s="112"/>
      <c r="AD728" s="112"/>
      <c r="AE728" s="112"/>
      <c r="AF728" s="112"/>
      <c r="AG728" s="112"/>
    </row>
    <row r="729" spans="1:33" ht="15.95" customHeight="1" x14ac:dyDescent="0.25">
      <c r="A729" s="112"/>
      <c r="B729" s="112"/>
      <c r="C729" s="112"/>
      <c r="D729" s="112"/>
      <c r="E729" s="112"/>
      <c r="F729" s="112"/>
      <c r="G729" s="112"/>
      <c r="H729" s="112"/>
      <c r="I729" s="112"/>
      <c r="J729" s="112"/>
      <c r="K729" s="112"/>
      <c r="L729" s="112"/>
      <c r="M729" s="112"/>
      <c r="N729" s="112"/>
      <c r="O729" s="112"/>
      <c r="P729" s="112"/>
      <c r="Q729" s="112"/>
      <c r="R729" s="112"/>
      <c r="S729" s="112"/>
      <c r="T729" s="112"/>
      <c r="U729" s="112"/>
      <c r="V729" s="112"/>
      <c r="W729" s="112"/>
      <c r="X729" s="112"/>
      <c r="Y729" s="112"/>
      <c r="Z729" s="112"/>
      <c r="AA729" s="112"/>
      <c r="AB729" s="112"/>
      <c r="AC729" s="112"/>
      <c r="AD729" s="112"/>
      <c r="AE729" s="112"/>
      <c r="AF729" s="112"/>
      <c r="AG729" s="112"/>
    </row>
    <row r="730" spans="1:33" x14ac:dyDescent="0.25">
      <c r="A730" s="112"/>
      <c r="B730" s="112"/>
      <c r="C730" s="112"/>
      <c r="D730" s="112"/>
      <c r="E730" s="112"/>
      <c r="F730" s="112"/>
      <c r="G730" s="112"/>
      <c r="H730" s="112"/>
      <c r="I730" s="112"/>
      <c r="J730" s="112"/>
      <c r="K730" s="112"/>
      <c r="L730" s="112"/>
      <c r="M730" s="112"/>
      <c r="N730" s="112"/>
      <c r="O730" s="112"/>
      <c r="P730" s="112"/>
      <c r="Q730" s="112"/>
      <c r="R730" s="112"/>
      <c r="S730" s="112"/>
      <c r="T730" s="112"/>
      <c r="U730" s="112"/>
      <c r="V730" s="112"/>
      <c r="W730" s="112"/>
      <c r="X730" s="112"/>
      <c r="Y730" s="112"/>
      <c r="Z730" s="112"/>
      <c r="AA730" s="112"/>
      <c r="AB730" s="112"/>
      <c r="AC730" s="112"/>
      <c r="AD730" s="112"/>
      <c r="AE730" s="112"/>
      <c r="AF730" s="112"/>
      <c r="AG730" s="112"/>
    </row>
    <row r="731" spans="1:33" x14ac:dyDescent="0.25">
      <c r="A731" s="112"/>
      <c r="B731" s="112"/>
      <c r="C731" s="112"/>
      <c r="D731" s="112"/>
      <c r="E731" s="112"/>
      <c r="F731" s="112"/>
      <c r="G731" s="112"/>
      <c r="H731" s="112"/>
      <c r="I731" s="112"/>
      <c r="J731" s="112"/>
      <c r="K731" s="112"/>
      <c r="L731" s="112"/>
      <c r="M731" s="112"/>
      <c r="N731" s="112"/>
      <c r="O731" s="112"/>
      <c r="P731" s="112"/>
      <c r="Q731" s="112"/>
      <c r="R731" s="112"/>
      <c r="S731" s="112"/>
      <c r="T731" s="112"/>
      <c r="U731" s="112"/>
      <c r="V731" s="112"/>
      <c r="W731" s="112"/>
      <c r="X731" s="112"/>
      <c r="Y731" s="112"/>
      <c r="Z731" s="112"/>
      <c r="AA731" s="112"/>
      <c r="AB731" s="112"/>
      <c r="AC731" s="112"/>
      <c r="AD731" s="112"/>
      <c r="AE731" s="112"/>
      <c r="AF731" s="112"/>
      <c r="AG731" s="112"/>
    </row>
    <row r="732" spans="1:33" x14ac:dyDescent="0.25">
      <c r="A732" s="112"/>
      <c r="B732" s="112"/>
      <c r="C732" s="112"/>
      <c r="D732" s="112"/>
      <c r="E732" s="112"/>
      <c r="F732" s="112"/>
      <c r="G732" s="112"/>
      <c r="H732" s="112"/>
      <c r="I732" s="112"/>
      <c r="J732" s="112"/>
      <c r="K732" s="112"/>
      <c r="L732" s="112"/>
      <c r="M732" s="112"/>
      <c r="N732" s="112"/>
      <c r="O732" s="112"/>
      <c r="P732" s="112"/>
      <c r="Q732" s="112"/>
      <c r="R732" s="112"/>
      <c r="S732" s="112"/>
      <c r="T732" s="112"/>
      <c r="U732" s="112"/>
      <c r="V732" s="112"/>
      <c r="W732" s="112"/>
      <c r="X732" s="112"/>
      <c r="Y732" s="112"/>
      <c r="Z732" s="112"/>
      <c r="AA732" s="112"/>
      <c r="AB732" s="112"/>
      <c r="AC732" s="112"/>
      <c r="AD732" s="112"/>
      <c r="AE732" s="112"/>
      <c r="AF732" s="112"/>
      <c r="AG732" s="112"/>
    </row>
    <row r="733" spans="1:33" x14ac:dyDescent="0.25">
      <c r="A733" s="112"/>
      <c r="B733" s="112"/>
      <c r="C733" s="112"/>
      <c r="D733" s="112"/>
      <c r="E733" s="112"/>
      <c r="F733" s="112"/>
      <c r="G733" s="112"/>
      <c r="H733" s="112"/>
      <c r="I733" s="112"/>
      <c r="J733" s="112"/>
      <c r="K733" s="112"/>
      <c r="L733" s="112"/>
      <c r="M733" s="112"/>
      <c r="N733" s="112"/>
      <c r="O733" s="112"/>
      <c r="P733" s="112"/>
      <c r="Q733" s="112"/>
      <c r="R733" s="112"/>
      <c r="S733" s="112"/>
      <c r="T733" s="112"/>
      <c r="U733" s="112"/>
      <c r="V733" s="112"/>
      <c r="W733" s="112"/>
      <c r="X733" s="112"/>
      <c r="Y733" s="112"/>
      <c r="Z733" s="112"/>
      <c r="AA733" s="112"/>
      <c r="AB733" s="112"/>
      <c r="AC733" s="112"/>
      <c r="AD733" s="112"/>
      <c r="AE733" s="112"/>
      <c r="AF733" s="112"/>
      <c r="AG733" s="112"/>
    </row>
    <row r="734" spans="1:33" x14ac:dyDescent="0.25">
      <c r="A734" s="112"/>
      <c r="B734" s="112"/>
      <c r="C734" s="112"/>
      <c r="D734" s="112"/>
      <c r="E734" s="112"/>
      <c r="F734" s="112"/>
      <c r="G734" s="112"/>
      <c r="H734" s="112"/>
      <c r="I734" s="112"/>
      <c r="J734" s="112"/>
      <c r="K734" s="112"/>
      <c r="L734" s="112"/>
      <c r="M734" s="112"/>
      <c r="N734" s="112"/>
      <c r="O734" s="112"/>
      <c r="P734" s="112"/>
      <c r="Q734" s="112"/>
      <c r="R734" s="112"/>
      <c r="S734" s="112"/>
      <c r="T734" s="112"/>
      <c r="U734" s="112"/>
      <c r="V734" s="112"/>
      <c r="W734" s="112"/>
      <c r="X734" s="112"/>
      <c r="Y734" s="112"/>
      <c r="Z734" s="112"/>
      <c r="AA734" s="112"/>
      <c r="AB734" s="112"/>
      <c r="AC734" s="112"/>
      <c r="AD734" s="112"/>
      <c r="AE734" s="112"/>
      <c r="AF734" s="112"/>
      <c r="AG734" s="112"/>
    </row>
    <row r="735" spans="1:33" x14ac:dyDescent="0.25">
      <c r="A735" s="112"/>
      <c r="B735" s="112"/>
      <c r="C735" s="112"/>
      <c r="D735" s="112"/>
      <c r="E735" s="112"/>
      <c r="F735" s="112"/>
      <c r="G735" s="112"/>
      <c r="H735" s="112"/>
      <c r="I735" s="112"/>
      <c r="J735" s="112"/>
      <c r="K735" s="112"/>
      <c r="L735" s="112"/>
      <c r="M735" s="112"/>
      <c r="N735" s="112"/>
      <c r="O735" s="112"/>
      <c r="P735" s="112"/>
      <c r="Q735" s="112"/>
      <c r="R735" s="112"/>
      <c r="S735" s="112"/>
      <c r="T735" s="112"/>
      <c r="U735" s="112"/>
      <c r="V735" s="112"/>
      <c r="W735" s="112"/>
      <c r="X735" s="112"/>
      <c r="Y735" s="112"/>
      <c r="Z735" s="112"/>
      <c r="AA735" s="112"/>
      <c r="AB735" s="112"/>
      <c r="AC735" s="112"/>
      <c r="AD735" s="112"/>
      <c r="AE735" s="112"/>
      <c r="AF735" s="112"/>
      <c r="AG735" s="112"/>
    </row>
    <row r="736" spans="1:33" x14ac:dyDescent="0.25">
      <c r="A736" s="112"/>
      <c r="B736" s="112"/>
      <c r="C736" s="112"/>
      <c r="D736" s="112"/>
      <c r="E736" s="112"/>
      <c r="F736" s="112"/>
      <c r="G736" s="112"/>
      <c r="H736" s="112"/>
      <c r="I736" s="112"/>
      <c r="J736" s="112"/>
      <c r="K736" s="112"/>
      <c r="L736" s="112"/>
      <c r="M736" s="112"/>
      <c r="N736" s="112"/>
      <c r="O736" s="112"/>
      <c r="P736" s="112"/>
      <c r="Q736" s="112"/>
      <c r="R736" s="112"/>
      <c r="S736" s="112"/>
      <c r="T736" s="112"/>
      <c r="U736" s="112"/>
      <c r="V736" s="112"/>
      <c r="W736" s="112"/>
      <c r="X736" s="112"/>
      <c r="Y736" s="112"/>
      <c r="Z736" s="112"/>
      <c r="AA736" s="112"/>
      <c r="AB736" s="112"/>
      <c r="AC736" s="112"/>
      <c r="AD736" s="112"/>
      <c r="AE736" s="112"/>
      <c r="AF736" s="112"/>
      <c r="AG736" s="112"/>
    </row>
    <row r="737" spans="1:33" x14ac:dyDescent="0.25">
      <c r="A737" s="112"/>
      <c r="B737" s="112"/>
      <c r="C737" s="112"/>
      <c r="D737" s="112"/>
      <c r="E737" s="112"/>
      <c r="F737" s="112"/>
      <c r="G737" s="112"/>
      <c r="H737" s="112"/>
      <c r="I737" s="112"/>
      <c r="J737" s="112"/>
      <c r="K737" s="112"/>
      <c r="L737" s="112"/>
      <c r="M737" s="112"/>
      <c r="N737" s="112"/>
      <c r="O737" s="112"/>
      <c r="P737" s="112"/>
      <c r="Q737" s="112"/>
      <c r="R737" s="112"/>
      <c r="S737" s="112"/>
      <c r="T737" s="112"/>
      <c r="U737" s="112"/>
      <c r="V737" s="112"/>
      <c r="W737" s="112"/>
      <c r="X737" s="112"/>
      <c r="Y737" s="112"/>
      <c r="Z737" s="112"/>
      <c r="AA737" s="112"/>
      <c r="AB737" s="112"/>
      <c r="AC737" s="112"/>
      <c r="AD737" s="112"/>
      <c r="AE737" s="112"/>
      <c r="AF737" s="112"/>
      <c r="AG737" s="112"/>
    </row>
    <row r="738" spans="1:33" x14ac:dyDescent="0.25">
      <c r="A738" s="112"/>
      <c r="B738" s="112"/>
      <c r="C738" s="112"/>
      <c r="D738" s="112"/>
      <c r="E738" s="112"/>
      <c r="F738" s="112"/>
      <c r="G738" s="112"/>
      <c r="H738" s="112"/>
      <c r="I738" s="112"/>
      <c r="J738" s="112"/>
      <c r="K738" s="112"/>
      <c r="L738" s="112"/>
      <c r="M738" s="112"/>
      <c r="N738" s="112"/>
      <c r="O738" s="112"/>
      <c r="P738" s="112"/>
      <c r="Q738" s="112"/>
      <c r="R738" s="112"/>
      <c r="S738" s="112"/>
      <c r="T738" s="112"/>
      <c r="U738" s="112"/>
      <c r="V738" s="112"/>
      <c r="W738" s="112"/>
      <c r="X738" s="112"/>
      <c r="Y738" s="112"/>
      <c r="Z738" s="112"/>
      <c r="AA738" s="112"/>
      <c r="AB738" s="112"/>
      <c r="AC738" s="112"/>
      <c r="AD738" s="112"/>
      <c r="AE738" s="112"/>
      <c r="AF738" s="112"/>
      <c r="AG738" s="112"/>
    </row>
    <row r="739" spans="1:33" x14ac:dyDescent="0.25">
      <c r="A739" s="112"/>
      <c r="B739" s="112"/>
      <c r="C739" s="112"/>
      <c r="D739" s="112"/>
      <c r="E739" s="112"/>
      <c r="F739" s="112"/>
      <c r="G739" s="112"/>
      <c r="H739" s="112"/>
      <c r="I739" s="112"/>
      <c r="J739" s="112"/>
      <c r="K739" s="112"/>
      <c r="L739" s="112"/>
      <c r="M739" s="112"/>
      <c r="N739" s="112"/>
      <c r="O739" s="112"/>
      <c r="P739" s="112"/>
      <c r="Q739" s="112"/>
      <c r="R739" s="112"/>
      <c r="S739" s="112"/>
      <c r="T739" s="112"/>
      <c r="U739" s="112"/>
      <c r="V739" s="112"/>
      <c r="W739" s="112"/>
      <c r="X739" s="112"/>
      <c r="Y739" s="112"/>
      <c r="Z739" s="112"/>
      <c r="AA739" s="112"/>
      <c r="AB739" s="112"/>
      <c r="AC739" s="112"/>
      <c r="AD739" s="112"/>
      <c r="AE739" s="112"/>
      <c r="AF739" s="112"/>
      <c r="AG739" s="112"/>
    </row>
    <row r="740" spans="1:33" x14ac:dyDescent="0.25">
      <c r="A740" s="112"/>
      <c r="B740" s="112"/>
      <c r="C740" s="112"/>
      <c r="D740" s="112"/>
      <c r="E740" s="112"/>
      <c r="F740" s="112"/>
      <c r="G740" s="112"/>
      <c r="H740" s="112"/>
      <c r="I740" s="112"/>
      <c r="J740" s="112"/>
      <c r="K740" s="112"/>
      <c r="L740" s="112"/>
      <c r="M740" s="112"/>
      <c r="N740" s="112"/>
      <c r="O740" s="112"/>
      <c r="P740" s="112"/>
      <c r="Q740" s="112"/>
      <c r="R740" s="112"/>
      <c r="S740" s="112"/>
      <c r="T740" s="112"/>
      <c r="U740" s="112"/>
      <c r="V740" s="112"/>
      <c r="W740" s="112"/>
      <c r="X740" s="112"/>
      <c r="Y740" s="112"/>
      <c r="Z740" s="112"/>
      <c r="AA740" s="112"/>
      <c r="AB740" s="112"/>
      <c r="AC740" s="112"/>
      <c r="AD740" s="112"/>
      <c r="AE740" s="112"/>
      <c r="AF740" s="112"/>
      <c r="AG740" s="112"/>
    </row>
    <row r="741" spans="1:33" x14ac:dyDescent="0.25">
      <c r="A741" s="112"/>
      <c r="B741" s="112"/>
      <c r="C741" s="112"/>
      <c r="D741" s="112"/>
      <c r="E741" s="112"/>
      <c r="F741" s="112"/>
      <c r="G741" s="112"/>
      <c r="H741" s="112"/>
      <c r="I741" s="112"/>
      <c r="J741" s="112"/>
      <c r="K741" s="112"/>
      <c r="L741" s="112"/>
      <c r="M741" s="112"/>
      <c r="N741" s="112"/>
      <c r="O741" s="112"/>
      <c r="P741" s="112"/>
      <c r="Q741" s="112"/>
      <c r="R741" s="112"/>
      <c r="S741" s="112"/>
      <c r="T741" s="112"/>
      <c r="U741" s="112"/>
      <c r="V741" s="112"/>
      <c r="W741" s="112"/>
      <c r="X741" s="112"/>
      <c r="Y741" s="112"/>
      <c r="Z741" s="112"/>
      <c r="AA741" s="112"/>
      <c r="AB741" s="112"/>
      <c r="AC741" s="112"/>
      <c r="AD741" s="112"/>
      <c r="AE741" s="112"/>
      <c r="AF741" s="112"/>
      <c r="AG741" s="112"/>
    </row>
  </sheetData>
  <mergeCells count="10">
    <mergeCell ref="A3:B3"/>
    <mergeCell ref="V6:W6"/>
    <mergeCell ref="C362:D362"/>
    <mergeCell ref="E1:H1"/>
    <mergeCell ref="O1:R1"/>
    <mergeCell ref="J3:K3"/>
    <mergeCell ref="L10:M10"/>
    <mergeCell ref="V3:W3"/>
    <mergeCell ref="L3:M3"/>
    <mergeCell ref="F362:H362"/>
  </mergeCells>
  <phoneticPr fontId="15" type="noConversion"/>
  <conditionalFormatting sqref="F5:H5 E6:H9">
    <cfRule type="notContainsBlanks" dxfId="156" priority="6">
      <formula>LEN(TRIM(E5))&gt;0</formula>
    </cfRule>
  </conditionalFormatting>
  <conditionalFormatting sqref="L14">
    <cfRule type="notContainsBlanks" dxfId="155" priority="3">
      <formula>LEN(TRIM(L14))&gt;0</formula>
    </cfRule>
  </conditionalFormatting>
  <conditionalFormatting sqref="O5:U11 X5:AU11 O12:AU14 O15:U18 W15:AU18 V18">
    <cfRule type="notContainsBlanks" dxfId="154" priority="4">
      <formula>LEN(TRIM(O5))&gt;0</formula>
    </cfRule>
  </conditionalFormatting>
  <conditionalFormatting sqref="P5:T5 O6:T9">
    <cfRule type="notContainsBlanks" dxfId="153" priority="5">
      <formula>LEN(TRIM(O5))&gt;0</formula>
    </cfRule>
  </conditionalFormatting>
  <conditionalFormatting sqref="V11">
    <cfRule type="notContainsBlanks" dxfId="152" priority="2">
      <formula>LEN(TRIM(V11))&gt;0</formula>
    </cfRule>
  </conditionalFormatting>
  <hyperlinks>
    <hyperlink ref="C543" r:id="rId1" xr:uid="{C5179B8E-8060-4A38-9C5F-EA45D428355A}"/>
    <hyperlink ref="C380" r:id="rId2" xr:uid="{073ABBBC-E809-4D58-8448-7311D4109122}"/>
    <hyperlink ref="C381" r:id="rId3" xr:uid="{3AB8F3D9-D107-4547-951D-4734EC08D86A}"/>
    <hyperlink ref="C509" r:id="rId4" xr:uid="{69625843-D44F-4526-88B6-679701A8E060}"/>
    <hyperlink ref="C510" r:id="rId5" xr:uid="{A8883DD0-8A48-44FC-8C68-7A81711DF0AE}"/>
    <hyperlink ref="C593" r:id="rId6" xr:uid="{B1492EA5-3574-4DC7-88F5-D3FB1AFD4C3F}"/>
    <hyperlink ref="C412:C414" r:id="rId7" display="Wilkosz" xr:uid="{AF644D65-9CE8-4CBC-976A-1F5CBAA2A0C6}"/>
    <hyperlink ref="C487" r:id="rId8" xr:uid="{A7AE0BBC-982D-4363-8660-B0E1FB0DD86C}"/>
    <hyperlink ref="C488" r:id="rId9" xr:uid="{D8FC15F5-E599-4647-9D0E-E00C266E2661}"/>
    <hyperlink ref="C549" r:id="rId10" xr:uid="{AB81D7D0-6A98-4517-ABE5-7B912E75D6A2}"/>
    <hyperlink ref="C487:C491" r:id="rId11" display="Schlitz" xr:uid="{DF4AD9CC-3B83-4DBA-9D85-6B9C99417028}"/>
    <hyperlink ref="C382" r:id="rId12" xr:uid="{10EF1DD5-7D64-43EE-B109-2833DA01B8CF}"/>
    <hyperlink ref="C383" r:id="rId13" xr:uid="{E8625E0B-5BE0-4CB9-B3CE-B6046570426D}"/>
    <hyperlink ref="C513" r:id="rId14" xr:uid="{32C5CEEB-5C81-48EC-8E80-005CAF3EE319}"/>
    <hyperlink ref="C514" r:id="rId15" xr:uid="{A1E1F41A-6F03-409C-AA47-5BC817923AF3}"/>
    <hyperlink ref="C491" r:id="rId16" xr:uid="{FDBF39D5-E04B-4DEC-AB12-B403870A01FC}"/>
    <hyperlink ref="C492" r:id="rId17" xr:uid="{BFA4E932-4721-49D6-8A76-9FE98C5CDBD3}"/>
    <hyperlink ref="C527" r:id="rId18" xr:uid="{1B2672AC-8A41-4500-9124-5B38D04C5AFD}"/>
    <hyperlink ref="C528" r:id="rId19" xr:uid="{4FB74EF8-700D-45CC-AF53-168676AE4658}"/>
    <hyperlink ref="C529" r:id="rId20" xr:uid="{B434E6BB-5229-4515-97AC-BE6B8A2E3991}"/>
    <hyperlink ref="C530" r:id="rId21" xr:uid="{EB11B5D1-4DDE-4D66-9935-90A837ACB40D}"/>
    <hyperlink ref="C401" r:id="rId22" xr:uid="{A214EFDB-ACAC-48A2-BE00-BB0D809536F8}"/>
    <hyperlink ref="C402" r:id="rId23" xr:uid="{1A1FA4F9-7860-4CAA-90A0-93A824C45503}"/>
    <hyperlink ref="C601" r:id="rId24" xr:uid="{CD3A68F8-1DBA-42BA-A93D-621C34C13022}"/>
    <hyperlink ref="C433:C451" r:id="rId25" display="Zvijac" xr:uid="{B7E9D16B-E3F2-40C2-B289-9C3B06F2C322}"/>
    <hyperlink ref="C531" r:id="rId26" xr:uid="{DD145CB5-DD1B-445B-81EB-85D7DF20433E}"/>
    <hyperlink ref="C405:C407" r:id="rId27" display="Risberg" xr:uid="{62BE785C-1699-4CAB-972C-F3F3D734E57A}"/>
    <hyperlink ref="C500:C503" r:id="rId28" display="Gorski" xr:uid="{C7A66120-385A-41DC-AB16-35FD881A2F55}"/>
    <hyperlink ref="C581" r:id="rId29" xr:uid="{66670195-1C7A-4769-9DF5-060FB67767C2}"/>
    <hyperlink ref="C600:C610" r:id="rId30" display="Wilk" xr:uid="{2039F48E-E9F9-465A-9D8F-2B3A296AFFDF}"/>
    <hyperlink ref="C469" r:id="rId31" xr:uid="{A8D90A0B-462B-439B-9168-CE8FFC08103E}"/>
    <hyperlink ref="C473" r:id="rId32" xr:uid="{FF5E158B-8C89-4C1B-9F74-FD6104435CB1}"/>
    <hyperlink ref="C460:C462" r:id="rId33" display="Gorski" xr:uid="{BC9D6C95-FDEC-4117-A920-074979ADAB9E}"/>
    <hyperlink ref="C555" r:id="rId34" xr:uid="{64172BA9-AD3A-483B-AFFC-AD1731DC9649}"/>
    <hyperlink ref="C612:C620" r:id="rId35" display="Silva" xr:uid="{ACC0847A-B045-414E-A69A-F11715850470}"/>
    <hyperlink ref="C516" r:id="rId36" xr:uid="{E8F5C578-5578-4988-9A87-F71C27EF2C0E}"/>
    <hyperlink ref="C517" r:id="rId37" xr:uid="{24C09402-37CE-4888-A6FE-C2FAFFB540AB}"/>
    <hyperlink ref="C393" r:id="rId38" xr:uid="{9D55E54C-7B2A-40EC-A2F9-E64BE37B1912}"/>
    <hyperlink ref="C467" r:id="rId39" xr:uid="{34DC76D7-7431-44F5-A069-8C95E7D322B9}"/>
    <hyperlink ref="C468" r:id="rId40" xr:uid="{8032E18C-9388-4ACE-A7A4-96AA4D2D2AE1}"/>
    <hyperlink ref="C597" r:id="rId41" xr:uid="{6CC4D29F-87B9-4B15-B549-03AC90872019}"/>
    <hyperlink ref="C403" r:id="rId42" xr:uid="{8EC6BE75-584D-467F-B6A5-636350B79C8F}"/>
    <hyperlink ref="C571" r:id="rId43" xr:uid="{36FA6ADC-DC76-4AE1-A591-9DF6831F5A14}"/>
    <hyperlink ref="C596:C598" r:id="rId44" display="Tatlıcıoğlu" xr:uid="{8111CE35-CA51-408D-81C9-BB7B4B60FDE7}"/>
    <hyperlink ref="C569" r:id="rId45" xr:uid="{FD1D44C0-4F27-4B29-A959-57C343127AEA}"/>
    <hyperlink ref="C570" r:id="rId46" xr:uid="{E4A89609-D244-4525-984E-7045E012D3E8}"/>
    <hyperlink ref="C501" r:id="rId47" xr:uid="{DBE671C6-CE89-49E8-BE0D-B5AE5C280B29}"/>
    <hyperlink ref="C538:C544" r:id="rId48" display="Housh" xr:uid="{8A0BA514-1C43-4E3E-84CB-6F569488E29A}"/>
    <hyperlink ref="C455" r:id="rId49" xr:uid="{E92AEC72-C177-4C19-A73F-68FA19589517}"/>
    <hyperlink ref="C456" r:id="rId50" xr:uid="{A4B09680-27F6-430C-927B-61531E5B30D7}"/>
    <hyperlink ref="C481" r:id="rId51" xr:uid="{44FB752A-EF26-432D-934B-0E35F836D176}"/>
    <hyperlink ref="C482" r:id="rId52" xr:uid="{2833C767-1E1C-4034-9DB3-777CFB851985}"/>
    <hyperlink ref="C483" r:id="rId53" xr:uid="{564BD5AE-0564-4BBA-BC7B-4AD71176CAA2}"/>
    <hyperlink ref="C484" r:id="rId54" xr:uid="{7E2E3F17-A14C-45D3-960C-3B4C28D7B899}"/>
    <hyperlink ref="C515" r:id="rId55" xr:uid="{78500737-C837-4A41-9656-D4954DF891D0}"/>
    <hyperlink ref="C541" r:id="rId56" xr:uid="{F2B6AFD8-AA07-4E78-AF28-84BDB8AF93BD}"/>
    <hyperlink ref="C579" r:id="rId57" xr:uid="{6C399768-B3D1-46EB-8FBB-88969C287AB3}"/>
    <hyperlink ref="C580" r:id="rId58" xr:uid="{35C5E679-8133-4DE2-B301-B70659E937F2}"/>
    <hyperlink ref="C384" r:id="rId59" xr:uid="{D3DC8AB1-975C-4CF0-8389-9A886398DDEF}"/>
    <hyperlink ref="C416:C419" r:id="rId60" display="Bonetti" xr:uid="{FAF99AAF-354F-41DC-B8B8-9467F5B28946}"/>
    <hyperlink ref="C457" r:id="rId61" xr:uid="{0F811AFA-B5AC-456A-8ABB-FED7D95E7988}"/>
    <hyperlink ref="C421:C423" r:id="rId62" display="Fousekis" xr:uid="{9EFDA35B-9722-4A6D-AA66-7FD78428B692}"/>
    <hyperlink ref="C575" r:id="rId63" xr:uid="{CFDC5D96-6A65-4CF3-8884-FE56C8A7EA20}"/>
    <hyperlink ref="C525" r:id="rId64" xr:uid="{530DD7BE-E8E1-4699-9DCF-C7E83339E259}"/>
    <hyperlink ref="C526" r:id="rId65" xr:uid="{62E460A3-41D3-4A78-BF8D-4F75EC35A06E}"/>
    <hyperlink ref="C371" r:id="rId66" xr:uid="{FEFDA663-D2D6-4E10-980A-8C6022A3E7E7}"/>
    <hyperlink ref="C472:C473" r:id="rId67" display="Bamaç" xr:uid="{EB9B24C7-9046-4CE1-8CED-5244AFC74117}"/>
    <hyperlink ref="C493" r:id="rId68" xr:uid="{DE85BA59-D252-4FB8-B01D-2AAC36E437CD}"/>
    <hyperlink ref="C477:C483" r:id="rId69" display="Housh" xr:uid="{766F2C28-1C63-405D-99EF-6944DE2D40D1}"/>
    <hyperlink ref="C518" r:id="rId70" xr:uid="{C999E167-64A9-483A-8BD4-4DEAC08C6246}"/>
    <hyperlink ref="C519" r:id="rId71" xr:uid="{CF418BEA-B92C-4F11-A9F3-B8D30309C96A}"/>
    <hyperlink ref="C535" r:id="rId72" xr:uid="{4960C43B-D7BA-4E66-A8C6-9AD0BD516253}"/>
    <hyperlink ref="C536" r:id="rId73" xr:uid="{2F85B99A-77D0-4886-8800-413566F4D5BE}"/>
    <hyperlink ref="C389" r:id="rId74" xr:uid="{36A623F5-F5B5-4858-BE22-AFC8C46F50F8}"/>
    <hyperlink ref="C390" r:id="rId75" xr:uid="{C27D9FBE-1793-4EDE-8D8E-0E3B51C7EECA}"/>
    <hyperlink ref="C461" r:id="rId76" xr:uid="{A550453A-B2FB-40E3-823F-820D344EBFC8}"/>
    <hyperlink ref="C462" r:id="rId77" xr:uid="{6774CCDF-CCC6-47D5-9889-C987A557FF8D}"/>
    <hyperlink ref="C485" r:id="rId78" xr:uid="{2DE9A160-D624-45B9-95B7-877B86AE8592}"/>
    <hyperlink ref="C486" r:id="rId79" xr:uid="{BE68AAC3-0E6D-442D-9FE7-23950022D9EA}"/>
    <hyperlink ref="C489" r:id="rId80" xr:uid="{E4F78726-C2AF-4F9C-9603-B32CE8878643}"/>
    <hyperlink ref="C490" r:id="rId81" xr:uid="{1E113976-6F0D-4ED1-943D-97EB4814BF16}"/>
    <hyperlink ref="C542" r:id="rId82" xr:uid="{6044A47D-8A72-481E-BB62-EAC34E913058}"/>
    <hyperlink ref="C565" r:id="rId83" xr:uid="{DD7F4394-47A4-49C9-AE85-624CCD5A36E7}"/>
    <hyperlink ref="C566" r:id="rId84" xr:uid="{266AE361-3947-40B8-A9EC-40D8BFAE542F}"/>
    <hyperlink ref="C522:C523" r:id="rId85" display="Takey" xr:uid="{83D22A68-5151-4CC5-B3C5-36129E3E5205}"/>
    <hyperlink ref="C451:C454" r:id="rId86" display="Fenandez" xr:uid="{6FA782F9-6472-4C54-B349-7DE2F324CEAE}"/>
    <hyperlink ref="C372:C379" r:id="rId87" display="Bamaç" xr:uid="{A5AE6437-AE3C-4B8D-9A9A-828C051C1CAC}"/>
    <hyperlink ref="C394:C400" r:id="rId88" display="Bradic" xr:uid="{88776358-AF9F-4F0D-8EEE-6B6D9DB6C4E6}"/>
    <hyperlink ref="C463:C466" r:id="rId89" display="Gorski" xr:uid="{2764CD6C-9950-4025-99F7-542BBCC1DC06}"/>
    <hyperlink ref="C520:C521" r:id="rId90" display="Pekel" xr:uid="{93ACB995-6973-482E-A266-CF33A03A84EB}"/>
    <hyperlink ref="C523:C524" r:id="rId91" display="Takey" xr:uid="{B6A5FC68-0578-4AF6-978A-C0705EC89F63}"/>
    <hyperlink ref="C537:C540" r:id="rId92" display="Rouis" xr:uid="{54F29B04-A27E-4BE7-8689-2C729AEAF03C}"/>
    <hyperlink ref="C576:C578" r:id="rId93" display="Theoharopoulos" xr:uid="{24B83C5B-2E1D-4EAA-95F7-A761518141E0}"/>
    <hyperlink ref="C391:C392" r:id="rId94" display="Bonetti" xr:uid="{6CB4F18D-047A-4B9A-88A2-86FA881369A4}"/>
  </hyperlinks>
  <pageMargins left="0.7" right="0.7" top="0.75" bottom="0.75" header="0.3" footer="0.3"/>
  <pageSetup orientation="portrait" r:id="rId95"/>
  <drawing r:id="rId96"/>
  <legacyDrawing r:id="rId97"/>
  <controls>
    <mc:AlternateContent xmlns:mc="http://schemas.openxmlformats.org/markup-compatibility/2006">
      <mc:Choice Requires="x14">
        <control shapeId="1030" r:id="rId98" name="TextBox1">
          <controlPr defaultSize="0" autoLine="0" linkedCell="O2" r:id="rId99">
            <anchor moveWithCells="1">
              <from>
                <xdr:col>14</xdr:col>
                <xdr:colOff>400050</xdr:colOff>
                <xdr:row>1</xdr:row>
                <xdr:rowOff>28575</xdr:rowOff>
              </from>
              <to>
                <xdr:col>18</xdr:col>
                <xdr:colOff>619125</xdr:colOff>
                <xdr:row>2</xdr:row>
                <xdr:rowOff>9525</xdr:rowOff>
              </to>
            </anchor>
          </controlPr>
        </control>
      </mc:Choice>
      <mc:Fallback>
        <control shapeId="1030" r:id="rId98" name="TextBox1"/>
      </mc:Fallback>
    </mc:AlternateContent>
  </controls>
  <tableParts count="1">
    <tablePart r:id="rId100"/>
  </tableParts>
  <extLst>
    <ext xmlns:x15="http://schemas.microsoft.com/office/spreadsheetml/2010/11/main" uri="{3A4CF648-6AED-40f4-86FF-DC5316D8AED3}">
      <x14:slicerList xmlns:x14="http://schemas.microsoft.com/office/spreadsheetml/2009/9/main">
        <x14:slicer r:id="rId101"/>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D79A1-4378-4780-9A83-DD9E8FF80C16}">
  <sheetPr codeName="Sheet3"/>
  <dimension ref="A1:AS323"/>
  <sheetViews>
    <sheetView zoomScale="70" zoomScaleNormal="70" workbookViewId="0">
      <selection activeCell="T6" sqref="T6"/>
    </sheetView>
  </sheetViews>
  <sheetFormatPr defaultRowHeight="15" x14ac:dyDescent="0.25"/>
  <cols>
    <col min="1" max="1" width="8.7109375" customWidth="1"/>
    <col min="2" max="2" width="22.5703125" customWidth="1"/>
    <col min="3" max="3" width="14.42578125" customWidth="1"/>
    <col min="4" max="5" width="10.7109375" customWidth="1"/>
    <col min="6" max="6" width="12.5703125" customWidth="1"/>
    <col min="7" max="7" width="11.140625" customWidth="1"/>
    <col min="8" max="8" width="12.5703125" customWidth="1"/>
    <col min="9" max="10" width="10.7109375" customWidth="1"/>
    <col min="11" max="11" width="15.7109375" customWidth="1"/>
    <col min="12" max="13" width="10.7109375" customWidth="1"/>
    <col min="14" max="14" width="13.7109375" customWidth="1"/>
    <col min="15" max="19" width="10.7109375" customWidth="1"/>
    <col min="20" max="20" width="17.5703125" customWidth="1"/>
    <col min="21" max="22" width="20.85546875" customWidth="1"/>
    <col min="23" max="24" width="10.7109375" customWidth="1"/>
    <col min="25" max="25" width="12.28515625" customWidth="1"/>
    <col min="26" max="26" width="11.140625" customWidth="1"/>
    <col min="27" max="27" width="12.140625" customWidth="1"/>
    <col min="28" max="28" width="15.85546875" customWidth="1"/>
    <col min="29" max="29" width="10.7109375" customWidth="1"/>
    <col min="30" max="30" width="16.85546875" customWidth="1"/>
    <col min="31" max="31" width="10.7109375" customWidth="1"/>
    <col min="32" max="32" width="16.42578125" customWidth="1"/>
    <col min="33" max="35" width="10.7109375" customWidth="1"/>
    <col min="36" max="36" width="11.140625" customWidth="1"/>
    <col min="37" max="37" width="10.7109375" customWidth="1"/>
    <col min="38" max="38" width="16" customWidth="1"/>
    <col min="39" max="39" width="11.7109375" customWidth="1"/>
    <col min="40" max="40" width="15.5703125" customWidth="1"/>
    <col min="41" max="41" width="11.42578125" customWidth="1"/>
    <col min="42" max="42" width="15.5703125" customWidth="1"/>
    <col min="43" max="43" width="13" customWidth="1"/>
    <col min="44" max="44" width="15.28515625" customWidth="1"/>
    <col min="45" max="45" width="12.5703125" customWidth="1"/>
    <col min="46" max="46" width="11.7109375" customWidth="1"/>
    <col min="47" max="47" width="10.7109375" customWidth="1"/>
  </cols>
  <sheetData>
    <row r="1" spans="1:45" ht="15" customHeight="1" x14ac:dyDescent="0.25">
      <c r="A1" s="53"/>
      <c r="B1" s="53"/>
      <c r="C1" s="53"/>
      <c r="D1" s="53"/>
      <c r="E1" s="53"/>
      <c r="F1" s="53"/>
      <c r="G1" s="53"/>
      <c r="H1" s="53"/>
      <c r="I1" s="53"/>
      <c r="J1" s="53"/>
      <c r="K1" s="53"/>
      <c r="L1" s="53"/>
      <c r="M1" s="53"/>
      <c r="N1" s="53"/>
      <c r="O1" s="53"/>
      <c r="P1" s="53"/>
      <c r="Q1" s="53"/>
      <c r="R1" s="53"/>
      <c r="S1" s="53"/>
      <c r="T1" s="53"/>
      <c r="U1" s="254" t="s">
        <v>1</v>
      </c>
      <c r="V1" s="254"/>
      <c r="W1" s="254"/>
      <c r="X1" s="254"/>
      <c r="Y1" s="254"/>
      <c r="Z1" s="53"/>
      <c r="AA1" s="53"/>
      <c r="AB1" s="53"/>
      <c r="AC1" s="53"/>
      <c r="AD1" s="53"/>
      <c r="AE1" s="53"/>
      <c r="AF1" s="53"/>
      <c r="AG1" s="53"/>
      <c r="AH1" s="53"/>
      <c r="AI1" s="53"/>
      <c r="AJ1" s="53"/>
      <c r="AK1" s="53"/>
      <c r="AL1" s="53"/>
      <c r="AM1" s="53"/>
      <c r="AN1" s="53"/>
      <c r="AO1" s="53"/>
      <c r="AP1" s="53"/>
      <c r="AQ1" s="53"/>
      <c r="AR1" s="53"/>
      <c r="AS1" s="53"/>
    </row>
    <row r="2" spans="1:45" ht="15" customHeight="1" x14ac:dyDescent="0.25">
      <c r="A2" s="53"/>
      <c r="B2" s="53"/>
      <c r="C2" s="53"/>
      <c r="D2" s="53"/>
      <c r="E2" s="53"/>
      <c r="F2" s="53"/>
      <c r="G2" s="53"/>
      <c r="H2" s="53"/>
      <c r="I2" s="53"/>
      <c r="J2" s="53"/>
      <c r="K2" s="53"/>
      <c r="L2" s="53"/>
      <c r="M2" s="53"/>
      <c r="N2" s="53"/>
      <c r="O2" s="53"/>
      <c r="P2" s="53"/>
      <c r="Q2" s="53"/>
      <c r="R2" s="53"/>
      <c r="S2" s="53"/>
      <c r="T2" s="53"/>
      <c r="U2" s="254"/>
      <c r="V2" s="254"/>
      <c r="W2" s="254"/>
      <c r="X2" s="254"/>
      <c r="Y2" s="254"/>
      <c r="Z2" s="53"/>
      <c r="AA2" s="53" t="s">
        <v>415</v>
      </c>
      <c r="AB2" s="53"/>
      <c r="AC2" s="53"/>
      <c r="AD2" s="53"/>
      <c r="AE2" s="53"/>
      <c r="AF2" s="53"/>
      <c r="AG2" s="53"/>
      <c r="AH2" s="53"/>
      <c r="AI2" s="53"/>
      <c r="AJ2" s="53"/>
      <c r="AK2" s="53"/>
      <c r="AL2" s="53"/>
      <c r="AM2" s="53"/>
      <c r="AN2" s="53"/>
      <c r="AO2" s="53"/>
      <c r="AP2" s="53"/>
      <c r="AQ2" s="53"/>
      <c r="AR2" s="53"/>
      <c r="AS2" s="53"/>
    </row>
    <row r="3" spans="1:45" x14ac:dyDescent="0.25">
      <c r="A3" s="53"/>
      <c r="B3" s="53"/>
      <c r="C3" s="53"/>
      <c r="D3" s="53"/>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row>
    <row r="4" spans="1:45" x14ac:dyDescent="0.25">
      <c r="A4" s="30"/>
      <c r="B4" s="30"/>
      <c r="C4" s="30"/>
      <c r="D4" s="30"/>
      <c r="E4" s="30"/>
      <c r="F4" s="30"/>
      <c r="G4" s="30"/>
      <c r="H4" s="30"/>
      <c r="I4" s="30"/>
      <c r="J4" s="30"/>
      <c r="K4" s="30"/>
      <c r="L4" s="30"/>
      <c r="M4" s="30"/>
      <c r="N4" s="30"/>
      <c r="O4" s="30"/>
      <c r="P4" s="30"/>
      <c r="Q4" s="30"/>
      <c r="R4" s="30"/>
      <c r="S4" s="30"/>
      <c r="T4" s="30"/>
      <c r="U4" s="30"/>
      <c r="V4" s="30" t="s">
        <v>149</v>
      </c>
      <c r="W4" s="30"/>
      <c r="X4" s="30"/>
      <c r="Y4" s="30"/>
      <c r="Z4" s="30"/>
      <c r="AA4" s="30"/>
      <c r="AB4" s="30"/>
      <c r="AC4" s="30"/>
      <c r="AD4" s="30"/>
      <c r="AE4" s="30"/>
      <c r="AF4" s="30"/>
      <c r="AG4" s="30"/>
      <c r="AH4" s="30"/>
      <c r="AI4" s="30"/>
      <c r="AJ4" s="30"/>
      <c r="AK4" s="30"/>
      <c r="AL4" s="30"/>
      <c r="AM4" s="30"/>
      <c r="AN4" s="30"/>
      <c r="AO4" s="30"/>
      <c r="AP4" s="30"/>
      <c r="AQ4" s="30"/>
      <c r="AR4" s="30"/>
      <c r="AS4" s="30"/>
    </row>
    <row r="5" spans="1:45" x14ac:dyDescent="0.25">
      <c r="A5" s="30"/>
      <c r="B5" s="30"/>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row>
    <row r="6" spans="1:45" ht="15.75" x14ac:dyDescent="0.25">
      <c r="A6" s="30"/>
      <c r="B6" s="30"/>
      <c r="C6" s="30"/>
      <c r="D6" s="30"/>
      <c r="E6" s="30"/>
      <c r="F6" s="30"/>
      <c r="G6" s="30"/>
      <c r="H6" s="30"/>
      <c r="I6" s="30"/>
      <c r="J6" s="30"/>
      <c r="K6" s="30"/>
      <c r="L6" s="30"/>
      <c r="M6" s="30"/>
      <c r="N6" s="30"/>
      <c r="O6" s="30"/>
      <c r="P6" s="30"/>
      <c r="Q6" s="30"/>
      <c r="R6" s="30"/>
      <c r="S6" s="30"/>
      <c r="T6" s="30"/>
      <c r="U6" s="242" t="s">
        <v>3</v>
      </c>
      <c r="V6" s="242" t="s">
        <v>4</v>
      </c>
      <c r="W6" s="242" t="s">
        <v>6</v>
      </c>
      <c r="X6" s="242" t="s">
        <v>5</v>
      </c>
      <c r="Y6" s="242" t="s">
        <v>11</v>
      </c>
      <c r="Z6" s="242" t="s">
        <v>180</v>
      </c>
      <c r="AA6" s="30"/>
      <c r="AB6" s="252"/>
      <c r="AC6" s="252"/>
      <c r="AD6" s="252"/>
      <c r="AE6" s="252"/>
      <c r="AF6" s="30"/>
      <c r="AG6" s="30"/>
      <c r="AH6" s="30"/>
      <c r="AI6" s="30"/>
      <c r="AJ6" s="30"/>
      <c r="AK6" s="30"/>
      <c r="AL6" s="30"/>
      <c r="AM6" s="30"/>
      <c r="AN6" s="30"/>
      <c r="AO6" s="30"/>
      <c r="AP6" s="30"/>
      <c r="AQ6" s="30"/>
      <c r="AR6" s="30"/>
      <c r="AS6" s="30"/>
    </row>
    <row r="7" spans="1:45" x14ac:dyDescent="0.25">
      <c r="A7" s="30"/>
      <c r="B7" s="30"/>
      <c r="C7" s="30"/>
      <c r="D7" s="30"/>
      <c r="E7" s="30"/>
      <c r="F7" s="30"/>
      <c r="G7" s="30"/>
      <c r="H7" s="30"/>
      <c r="I7" s="30"/>
      <c r="J7" s="30"/>
      <c r="K7" s="30"/>
      <c r="L7" s="30"/>
      <c r="M7" s="30"/>
      <c r="N7" s="30"/>
      <c r="O7" s="30"/>
      <c r="P7" s="30"/>
      <c r="Q7" s="30"/>
      <c r="R7" s="30"/>
      <c r="S7" s="30"/>
      <c r="T7" s="30"/>
      <c r="U7" s="243" t="str" cm="1">
        <f t="array" ref="U7:Z152">_xlfn.CHOOSECOLS(
    _xlfn._xlws.FILTER(
        Table1[],
        (ISNUMBER(SEARCH(V4, Table1[Source])) +
         ISNUMBER(SEARCH(V4, Table1[Sport])) +
         ISNUMBER(SEARCH(V4, Table1[Group])) +
         ISNUMBER(SEARCH(V4, Table1[Positions])) +
         ISNUMBER(SEARCH(V4, Table1[Gender])) +
         ISNUMBER(SEARCH(V4, Table1[Machine Type]))) &gt; 0,
        "No Results Found"
    ),
    3, 5, 6, 7, 12, 14
)</f>
        <v>Kuhlman</v>
      </c>
      <c r="V7" s="243" t="str">
        <v>Gen Pop</v>
      </c>
      <c r="W7" s="243" t="str">
        <v>Adults</v>
      </c>
      <c r="X7" s="243" t="str">
        <v>N/A</v>
      </c>
      <c r="Y7" s="243" t="str">
        <v>Male</v>
      </c>
      <c r="Z7" s="243" t="str">
        <v>Biodex</v>
      </c>
      <c r="AA7" s="30"/>
      <c r="AB7" s="171"/>
      <c r="AC7" s="30"/>
      <c r="AD7" s="171"/>
      <c r="AE7" s="30"/>
      <c r="AF7" s="30"/>
      <c r="AG7" s="30"/>
      <c r="AH7" s="30"/>
      <c r="AI7" s="30"/>
      <c r="AJ7" s="30"/>
      <c r="AK7" s="30"/>
      <c r="AL7" s="30"/>
      <c r="AM7" s="30"/>
      <c r="AN7" s="30"/>
      <c r="AO7" s="30"/>
      <c r="AP7" s="30"/>
      <c r="AQ7" s="30"/>
      <c r="AR7" s="30"/>
      <c r="AS7" s="30"/>
    </row>
    <row r="8" spans="1:45" x14ac:dyDescent="0.25">
      <c r="A8" s="30"/>
      <c r="B8" s="30"/>
      <c r="C8" s="30"/>
      <c r="D8" s="30"/>
      <c r="E8" s="30"/>
      <c r="F8" s="30"/>
      <c r="G8" s="30"/>
      <c r="H8" s="30"/>
      <c r="I8" s="30"/>
      <c r="J8" s="30"/>
      <c r="K8" s="30"/>
      <c r="L8" s="30"/>
      <c r="M8" s="30"/>
      <c r="N8" s="30"/>
      <c r="O8" s="30"/>
      <c r="P8" s="30"/>
      <c r="Q8" s="30"/>
      <c r="R8" s="30"/>
      <c r="S8" s="30"/>
      <c r="T8" s="30"/>
      <c r="U8" s="39" t="str">
        <v>Kuhlman</v>
      </c>
      <c r="V8" s="39" t="str">
        <v>Gen Pop</v>
      </c>
      <c r="W8" s="39" t="str">
        <v>Adults</v>
      </c>
      <c r="X8" s="39" t="str">
        <v>N/A</v>
      </c>
      <c r="Y8" s="39" t="str">
        <v>Male</v>
      </c>
      <c r="Z8" s="39" t="str">
        <v>Biodex</v>
      </c>
      <c r="AA8" s="30"/>
      <c r="AB8" s="171"/>
      <c r="AC8" s="30"/>
      <c r="AD8" s="171"/>
      <c r="AE8" s="30"/>
      <c r="AF8" s="30"/>
      <c r="AG8" s="30"/>
      <c r="AH8" s="30"/>
      <c r="AI8" s="30"/>
      <c r="AJ8" s="30"/>
      <c r="AK8" s="30"/>
      <c r="AL8" s="30"/>
      <c r="AM8" s="30"/>
      <c r="AN8" s="30"/>
      <c r="AO8" s="30"/>
      <c r="AP8" s="30"/>
      <c r="AQ8" s="30"/>
      <c r="AR8" s="30"/>
      <c r="AS8" s="30"/>
    </row>
    <row r="9" spans="1:45" x14ac:dyDescent="0.25">
      <c r="A9" s="30"/>
      <c r="B9" s="30"/>
      <c r="C9" s="30"/>
      <c r="D9" s="30"/>
      <c r="E9" s="30"/>
      <c r="F9" s="30"/>
      <c r="G9" s="30"/>
      <c r="H9" s="30"/>
      <c r="I9" s="30"/>
      <c r="J9" s="30"/>
      <c r="K9" s="30"/>
      <c r="L9" s="30"/>
      <c r="M9" s="30"/>
      <c r="N9" s="30"/>
      <c r="O9" s="30"/>
      <c r="P9" s="30"/>
      <c r="Q9" s="30"/>
      <c r="R9" s="30"/>
      <c r="S9" s="30"/>
      <c r="T9" s="30"/>
      <c r="U9" s="39" t="str">
        <v>Kuhlman</v>
      </c>
      <c r="V9" s="39" t="str">
        <v>Gen Pop</v>
      </c>
      <c r="W9" s="39" t="str">
        <v xml:space="preserve">Elderly </v>
      </c>
      <c r="X9" s="39" t="str">
        <v>N/A</v>
      </c>
      <c r="Y9" s="39" t="str">
        <v>Male</v>
      </c>
      <c r="Z9" s="39" t="str">
        <v>Biodex</v>
      </c>
      <c r="AA9" s="30"/>
      <c r="AB9" s="171"/>
      <c r="AC9" s="30"/>
      <c r="AD9" s="171"/>
      <c r="AE9" s="30"/>
      <c r="AF9" s="30"/>
      <c r="AG9" s="30"/>
      <c r="AH9" s="30"/>
      <c r="AI9" s="30"/>
      <c r="AJ9" s="30"/>
      <c r="AK9" s="30"/>
      <c r="AL9" s="30"/>
      <c r="AM9" s="30"/>
      <c r="AN9" s="30"/>
      <c r="AO9" s="30"/>
      <c r="AP9" s="30"/>
      <c r="AQ9" s="30"/>
      <c r="AR9" s="30"/>
      <c r="AS9" s="30"/>
    </row>
    <row r="10" spans="1:45" x14ac:dyDescent="0.25">
      <c r="A10" s="30"/>
      <c r="B10" s="30"/>
      <c r="C10" s="30"/>
      <c r="D10" s="30"/>
      <c r="E10" s="30"/>
      <c r="F10" s="30"/>
      <c r="G10" s="30"/>
      <c r="H10" s="30"/>
      <c r="I10" s="30"/>
      <c r="J10" s="30"/>
      <c r="K10" s="30"/>
      <c r="L10" s="30"/>
      <c r="M10" s="30"/>
      <c r="N10" s="30"/>
      <c r="O10" s="30"/>
      <c r="P10" s="30"/>
      <c r="Q10" s="30"/>
      <c r="R10" s="30"/>
      <c r="S10" s="30"/>
      <c r="T10" s="30"/>
      <c r="U10" s="39" t="str">
        <v>Kuhlman</v>
      </c>
      <c r="V10" s="39" t="str">
        <v>Gen Pop</v>
      </c>
      <c r="W10" s="39" t="str">
        <v xml:space="preserve">Elderly </v>
      </c>
      <c r="X10" s="39" t="str">
        <v>N/A</v>
      </c>
      <c r="Y10" s="39" t="str">
        <v>Male</v>
      </c>
      <c r="Z10" s="39" t="str">
        <v>Biodex</v>
      </c>
      <c r="AA10" s="30"/>
      <c r="AB10" s="54"/>
      <c r="AC10" s="30"/>
      <c r="AD10" s="54"/>
      <c r="AE10" s="30"/>
      <c r="AF10" s="30"/>
      <c r="AG10" s="30"/>
      <c r="AH10" s="30"/>
      <c r="AI10" s="30"/>
      <c r="AJ10" s="30"/>
      <c r="AK10" s="30"/>
      <c r="AL10" s="30"/>
      <c r="AM10" s="30"/>
      <c r="AN10" s="30"/>
      <c r="AO10" s="30"/>
      <c r="AP10" s="30"/>
      <c r="AQ10" s="30"/>
      <c r="AR10" s="30"/>
      <c r="AS10" s="30"/>
    </row>
    <row r="11" spans="1:45" x14ac:dyDescent="0.25">
      <c r="A11" s="30"/>
      <c r="B11" s="30"/>
      <c r="C11" s="30"/>
      <c r="D11" s="30"/>
      <c r="E11" s="30"/>
      <c r="F11" s="30"/>
      <c r="G11" s="30"/>
      <c r="H11" s="30"/>
      <c r="I11" s="30"/>
      <c r="J11" s="30"/>
      <c r="K11" s="30"/>
      <c r="L11" s="30"/>
      <c r="M11" s="30"/>
      <c r="N11" s="30"/>
      <c r="O11" s="30"/>
      <c r="P11" s="30"/>
      <c r="Q11" s="30"/>
      <c r="R11" s="30"/>
      <c r="S11" s="30"/>
      <c r="T11" s="30"/>
      <c r="U11" s="39" t="str">
        <v>Kuhlman</v>
      </c>
      <c r="V11" s="39" t="str">
        <v>Gen Pop</v>
      </c>
      <c r="W11" s="39" t="str">
        <v xml:space="preserve">Elderly </v>
      </c>
      <c r="X11" s="39" t="str">
        <v>N/A</v>
      </c>
      <c r="Y11" s="39" t="str">
        <v>Female</v>
      </c>
      <c r="Z11" s="39" t="str">
        <v>Biodex</v>
      </c>
      <c r="AA11" s="30"/>
      <c r="AB11" s="30"/>
      <c r="AC11" s="30"/>
      <c r="AD11" s="30"/>
      <c r="AE11" s="30"/>
      <c r="AF11" s="30"/>
      <c r="AG11" s="30"/>
      <c r="AH11" s="30"/>
      <c r="AI11" s="30"/>
      <c r="AJ11" s="30"/>
      <c r="AK11" s="30"/>
      <c r="AL11" s="30"/>
      <c r="AM11" s="30"/>
      <c r="AN11" s="30"/>
      <c r="AO11" s="30"/>
      <c r="AP11" s="30"/>
      <c r="AQ11" s="30"/>
      <c r="AR11" s="30"/>
      <c r="AS11" s="30"/>
    </row>
    <row r="12" spans="1:45" x14ac:dyDescent="0.25">
      <c r="A12" s="30"/>
      <c r="B12" s="30"/>
      <c r="C12" s="30"/>
      <c r="D12" s="30"/>
      <c r="E12" s="30"/>
      <c r="F12" s="30"/>
      <c r="G12" s="30"/>
      <c r="H12" s="30"/>
      <c r="I12" s="30"/>
      <c r="J12" s="30"/>
      <c r="K12" s="30"/>
      <c r="L12" s="30"/>
      <c r="M12" s="30"/>
      <c r="N12" s="30"/>
      <c r="O12" s="30"/>
      <c r="P12" s="30"/>
      <c r="Q12" s="30"/>
      <c r="R12" s="30"/>
      <c r="S12" s="30"/>
      <c r="T12" s="30"/>
      <c r="U12" s="39" t="str">
        <v>Kuhlman</v>
      </c>
      <c r="V12" s="39" t="str">
        <v>Gen Pop</v>
      </c>
      <c r="W12" s="39" t="str">
        <v xml:space="preserve">Elderly </v>
      </c>
      <c r="X12" s="39" t="str">
        <v>N/A</v>
      </c>
      <c r="Y12" s="39" t="str">
        <v>Female</v>
      </c>
      <c r="Z12" s="39" t="str">
        <v>Biodex</v>
      </c>
      <c r="AA12" s="30"/>
      <c r="AB12" s="30"/>
      <c r="AC12" s="30"/>
      <c r="AD12" s="30"/>
      <c r="AE12" s="30"/>
      <c r="AF12" s="30"/>
      <c r="AG12" s="30"/>
      <c r="AH12" s="30"/>
      <c r="AI12" s="30"/>
      <c r="AJ12" s="30"/>
      <c r="AK12" s="30"/>
      <c r="AL12" s="30"/>
      <c r="AM12" s="30"/>
      <c r="AN12" s="30"/>
      <c r="AO12" s="30"/>
      <c r="AP12" s="30"/>
      <c r="AQ12" s="30"/>
      <c r="AR12" s="30"/>
      <c r="AS12" s="30"/>
    </row>
    <row r="13" spans="1:45" x14ac:dyDescent="0.25">
      <c r="A13" s="30"/>
      <c r="B13" s="30"/>
      <c r="C13" s="30"/>
      <c r="D13" s="30"/>
      <c r="E13" s="30"/>
      <c r="F13" s="30"/>
      <c r="G13" s="30"/>
      <c r="H13" s="30"/>
      <c r="I13" s="30"/>
      <c r="J13" s="30"/>
      <c r="K13" s="30"/>
      <c r="L13" s="30"/>
      <c r="M13" s="30"/>
      <c r="N13" s="30"/>
      <c r="O13" s="30"/>
      <c r="P13" s="30"/>
      <c r="Q13" s="30"/>
      <c r="R13" s="30"/>
      <c r="S13" s="30"/>
      <c r="T13" s="30"/>
      <c r="U13" s="39" t="str">
        <v>Ellenbecker</v>
      </c>
      <c r="V13" s="39" t="str">
        <v>Baseball</v>
      </c>
      <c r="W13" s="39" t="str">
        <v>Professional</v>
      </c>
      <c r="X13" s="39" t="str">
        <v>Pitchers</v>
      </c>
      <c r="Y13" s="39" t="str">
        <v>Male</v>
      </c>
      <c r="Z13" s="39" t="str">
        <v>Cybex</v>
      </c>
      <c r="AA13" s="30"/>
      <c r="AB13" s="30"/>
      <c r="AC13" s="30"/>
      <c r="AD13" s="30"/>
      <c r="AE13" s="30"/>
      <c r="AF13" s="30"/>
      <c r="AG13" s="30"/>
      <c r="AH13" s="30"/>
      <c r="AI13" s="30"/>
      <c r="AJ13" s="30"/>
      <c r="AK13" s="30"/>
      <c r="AL13" s="30"/>
      <c r="AM13" s="30"/>
      <c r="AN13" s="30"/>
      <c r="AO13" s="30"/>
      <c r="AP13" s="30"/>
      <c r="AQ13" s="30"/>
      <c r="AR13" s="30"/>
      <c r="AS13" s="30"/>
    </row>
    <row r="14" spans="1:45" x14ac:dyDescent="0.25">
      <c r="A14" s="30"/>
      <c r="B14" s="30"/>
      <c r="C14" s="30"/>
      <c r="D14" s="30"/>
      <c r="E14" s="30"/>
      <c r="F14" s="30"/>
      <c r="G14" s="30"/>
      <c r="H14" s="30"/>
      <c r="I14" s="30"/>
      <c r="J14" s="30"/>
      <c r="K14" s="30"/>
      <c r="L14" s="30"/>
      <c r="M14" s="30"/>
      <c r="N14" s="30"/>
      <c r="O14" s="30"/>
      <c r="P14" s="30"/>
      <c r="Q14" s="30"/>
      <c r="R14" s="30"/>
      <c r="S14" s="30"/>
      <c r="T14" s="30"/>
      <c r="U14" s="39" t="str">
        <v>Ellenbecker</v>
      </c>
      <c r="V14" s="39" t="str">
        <v>Baseball</v>
      </c>
      <c r="W14" s="39" t="str">
        <v>Professional</v>
      </c>
      <c r="X14" s="39" t="str">
        <v>Pitchers</v>
      </c>
      <c r="Y14" s="39" t="str">
        <v>Male</v>
      </c>
      <c r="Z14" s="39" t="str">
        <v>Cybex</v>
      </c>
      <c r="AA14" s="30"/>
      <c r="AB14" s="30"/>
      <c r="AC14" s="30"/>
      <c r="AD14" s="30"/>
      <c r="AE14" s="30"/>
      <c r="AF14" s="30"/>
      <c r="AG14" s="30"/>
      <c r="AH14" s="30"/>
      <c r="AI14" s="30"/>
      <c r="AJ14" s="30"/>
      <c r="AK14" s="30"/>
      <c r="AL14" s="30"/>
      <c r="AM14" s="30"/>
      <c r="AN14" s="30"/>
      <c r="AO14" s="30"/>
      <c r="AP14" s="30"/>
      <c r="AQ14" s="30"/>
      <c r="AR14" s="30"/>
      <c r="AS14" s="30"/>
    </row>
    <row r="15" spans="1:45" x14ac:dyDescent="0.25">
      <c r="A15" s="30"/>
      <c r="B15" s="30"/>
      <c r="C15" s="30"/>
      <c r="D15" s="30"/>
      <c r="E15" s="30"/>
      <c r="F15" s="30"/>
      <c r="G15" s="30"/>
      <c r="H15" s="30"/>
      <c r="I15" s="30"/>
      <c r="J15" s="30"/>
      <c r="K15" s="30"/>
      <c r="L15" s="30"/>
      <c r="M15" s="30"/>
      <c r="N15" s="30"/>
      <c r="O15" s="30"/>
      <c r="P15" s="30"/>
      <c r="Q15" s="30"/>
      <c r="R15" s="30"/>
      <c r="S15" s="30"/>
      <c r="T15" s="30"/>
      <c r="U15" s="39" t="str">
        <v>Ellenbecker</v>
      </c>
      <c r="V15" s="39" t="str">
        <v>Baseball</v>
      </c>
      <c r="W15" s="39" t="str">
        <v>Professional</v>
      </c>
      <c r="X15" s="39" t="str">
        <v>Pitchers</v>
      </c>
      <c r="Y15" s="39" t="str">
        <v>Male</v>
      </c>
      <c r="Z15" s="39" t="str">
        <v>Cybex</v>
      </c>
      <c r="AA15" s="30"/>
      <c r="AB15" s="30"/>
      <c r="AC15" s="30"/>
      <c r="AD15" s="30"/>
      <c r="AE15" s="30"/>
      <c r="AF15" s="30"/>
      <c r="AG15" s="30"/>
      <c r="AH15" s="30"/>
      <c r="AI15" s="30"/>
      <c r="AJ15" s="30"/>
      <c r="AK15" s="30"/>
      <c r="AL15" s="30"/>
      <c r="AM15" s="30"/>
      <c r="AN15" s="30"/>
      <c r="AO15" s="30"/>
      <c r="AP15" s="30"/>
      <c r="AQ15" s="30"/>
      <c r="AR15" s="30"/>
      <c r="AS15" s="30"/>
    </row>
    <row r="16" spans="1:45" x14ac:dyDescent="0.25">
      <c r="A16" s="30"/>
      <c r="B16" s="30"/>
      <c r="C16" s="30"/>
      <c r="D16" s="30"/>
      <c r="E16" s="30"/>
      <c r="F16" s="30"/>
      <c r="G16" s="30"/>
      <c r="H16" s="30"/>
      <c r="I16" s="30"/>
      <c r="J16" s="30"/>
      <c r="K16" s="30"/>
      <c r="L16" s="30"/>
      <c r="M16" s="30"/>
      <c r="N16" s="30"/>
      <c r="O16" s="30"/>
      <c r="P16" s="30"/>
      <c r="Q16" s="30"/>
      <c r="R16" s="30"/>
      <c r="S16" s="30"/>
      <c r="T16" s="30"/>
      <c r="U16" s="39" t="str">
        <v>Ellenbecker</v>
      </c>
      <c r="V16" s="39" t="str">
        <v>Baseball</v>
      </c>
      <c r="W16" s="39" t="str">
        <v>Professional</v>
      </c>
      <c r="X16" s="39" t="str">
        <v>Pitchers</v>
      </c>
      <c r="Y16" s="39" t="str">
        <v>Male</v>
      </c>
      <c r="Z16" s="39" t="str">
        <v>Cybex</v>
      </c>
      <c r="AA16" s="30"/>
      <c r="AB16" s="30"/>
      <c r="AC16" s="30"/>
      <c r="AD16" s="30"/>
      <c r="AE16" s="30"/>
      <c r="AF16" s="30"/>
      <c r="AG16" s="30"/>
      <c r="AH16" s="30"/>
      <c r="AI16" s="30"/>
      <c r="AJ16" s="30"/>
      <c r="AK16" s="30"/>
      <c r="AL16" s="30"/>
      <c r="AM16" s="30"/>
      <c r="AN16" s="30"/>
      <c r="AO16" s="30"/>
      <c r="AP16" s="30"/>
      <c r="AQ16" s="30"/>
      <c r="AR16" s="30"/>
      <c r="AS16" s="30"/>
    </row>
    <row r="17" spans="1:45" x14ac:dyDescent="0.25">
      <c r="A17" s="30"/>
      <c r="B17" s="30"/>
      <c r="C17" s="30"/>
      <c r="D17" s="30"/>
      <c r="E17" s="30"/>
      <c r="F17" s="30"/>
      <c r="G17" s="30"/>
      <c r="H17" s="30"/>
      <c r="I17" s="30"/>
      <c r="J17" s="30"/>
      <c r="K17" s="30"/>
      <c r="L17" s="30"/>
      <c r="M17" s="30"/>
      <c r="N17" s="30"/>
      <c r="O17" s="30"/>
      <c r="P17" s="30"/>
      <c r="Q17" s="30"/>
      <c r="R17" s="30"/>
      <c r="S17" s="30"/>
      <c r="T17" s="30"/>
      <c r="U17" s="39" t="str">
        <v xml:space="preserve"> Batalha</v>
      </c>
      <c r="V17" s="39" t="str">
        <v>Swimming</v>
      </c>
      <c r="W17" s="39" t="str">
        <v>Adolescent</v>
      </c>
      <c r="X17" s="39" t="str">
        <v>N/A</v>
      </c>
      <c r="Y17" s="39" t="str">
        <v>Male</v>
      </c>
      <c r="Z17" s="39" t="str">
        <v>Biodex</v>
      </c>
      <c r="AA17" s="30"/>
      <c r="AB17" s="30"/>
      <c r="AC17" s="30"/>
      <c r="AD17" s="30"/>
      <c r="AE17" s="30"/>
      <c r="AF17" s="30"/>
      <c r="AG17" s="30"/>
      <c r="AH17" s="30"/>
      <c r="AI17" s="30"/>
      <c r="AJ17" s="30"/>
      <c r="AK17" s="30"/>
      <c r="AL17" s="30"/>
      <c r="AM17" s="30"/>
      <c r="AN17" s="30"/>
      <c r="AO17" s="30"/>
      <c r="AP17" s="30"/>
      <c r="AQ17" s="30"/>
      <c r="AR17" s="30"/>
      <c r="AS17" s="30"/>
    </row>
    <row r="18" spans="1:45" x14ac:dyDescent="0.25">
      <c r="A18" s="30"/>
      <c r="B18" s="30"/>
      <c r="C18" s="30"/>
      <c r="D18" s="30"/>
      <c r="E18" s="30"/>
      <c r="F18" s="30"/>
      <c r="G18" s="30"/>
      <c r="H18" s="30"/>
      <c r="I18" s="30"/>
      <c r="J18" s="30"/>
      <c r="K18" s="30"/>
      <c r="L18" s="30"/>
      <c r="M18" s="30"/>
      <c r="N18" s="30"/>
      <c r="O18" s="30"/>
      <c r="P18" s="30"/>
      <c r="Q18" s="30"/>
      <c r="R18" s="30"/>
      <c r="S18" s="30"/>
      <c r="T18" s="30"/>
      <c r="U18" s="39" t="str">
        <v xml:space="preserve"> Batalha</v>
      </c>
      <c r="V18" s="39" t="str">
        <v>Swimming</v>
      </c>
      <c r="W18" s="39" t="str">
        <v>Adolescent</v>
      </c>
      <c r="X18" s="39" t="str">
        <v>N/A</v>
      </c>
      <c r="Y18" s="39" t="str">
        <v>Male</v>
      </c>
      <c r="Z18" s="39" t="str">
        <v>Biodex</v>
      </c>
      <c r="AA18" s="30"/>
      <c r="AB18" s="30"/>
      <c r="AC18" s="30"/>
      <c r="AD18" s="30"/>
      <c r="AE18" s="30"/>
      <c r="AF18" s="30"/>
      <c r="AG18" s="30"/>
      <c r="AH18" s="30"/>
      <c r="AI18" s="30"/>
      <c r="AJ18" s="30"/>
      <c r="AK18" s="30"/>
      <c r="AL18" s="30"/>
      <c r="AM18" s="30"/>
      <c r="AN18" s="30"/>
      <c r="AO18" s="30"/>
      <c r="AP18" s="30"/>
      <c r="AQ18" s="30"/>
      <c r="AR18" s="30"/>
      <c r="AS18" s="30"/>
    </row>
    <row r="19" spans="1:45" x14ac:dyDescent="0.25">
      <c r="A19" s="30"/>
      <c r="B19" s="30"/>
      <c r="C19" s="30"/>
      <c r="D19" s="30"/>
      <c r="E19" s="30"/>
      <c r="F19" s="30"/>
      <c r="G19" s="30"/>
      <c r="H19" s="30"/>
      <c r="I19" s="30"/>
      <c r="J19" s="30"/>
      <c r="K19" s="30"/>
      <c r="L19" s="30"/>
      <c r="M19" s="30"/>
      <c r="N19" s="30"/>
      <c r="O19" s="30"/>
      <c r="P19" s="30"/>
      <c r="Q19" s="30"/>
      <c r="R19" s="30"/>
      <c r="S19" s="30"/>
      <c r="T19" s="30"/>
      <c r="U19" s="39" t="str">
        <v xml:space="preserve"> Batalha</v>
      </c>
      <c r="V19" s="39" t="str">
        <v>Swimming</v>
      </c>
      <c r="W19" s="39" t="str">
        <v>Adolescent</v>
      </c>
      <c r="X19" s="39" t="str">
        <v>N/A</v>
      </c>
      <c r="Y19" s="39" t="str">
        <v>Male</v>
      </c>
      <c r="Z19" s="39" t="str">
        <v>Biodex</v>
      </c>
      <c r="AA19" s="30"/>
      <c r="AB19" s="30"/>
      <c r="AC19" s="30"/>
      <c r="AD19" s="30"/>
      <c r="AE19" s="30"/>
      <c r="AF19" s="30"/>
      <c r="AG19" s="30"/>
      <c r="AH19" s="30"/>
      <c r="AI19" s="30"/>
      <c r="AJ19" s="30"/>
      <c r="AK19" s="30"/>
      <c r="AL19" s="30"/>
      <c r="AM19" s="30"/>
      <c r="AN19" s="30"/>
      <c r="AO19" s="30"/>
      <c r="AP19" s="30"/>
      <c r="AQ19" s="30"/>
      <c r="AR19" s="30"/>
      <c r="AS19" s="30"/>
    </row>
    <row r="20" spans="1:45" ht="15.75" x14ac:dyDescent="0.25">
      <c r="A20" s="30"/>
      <c r="B20" s="30"/>
      <c r="C20" s="30"/>
      <c r="D20" s="252"/>
      <c r="E20" s="252"/>
      <c r="F20" s="252"/>
      <c r="G20" s="252"/>
      <c r="H20" s="30"/>
      <c r="I20" s="30"/>
      <c r="J20" s="30"/>
      <c r="K20" s="30"/>
      <c r="L20" s="30"/>
      <c r="M20" s="30"/>
      <c r="N20" s="30"/>
      <c r="O20" s="30"/>
      <c r="P20" s="30"/>
      <c r="Q20" s="30"/>
      <c r="R20" s="30"/>
      <c r="S20" s="30"/>
      <c r="T20" s="30"/>
      <c r="U20" s="39" t="str">
        <v xml:space="preserve"> Batalha</v>
      </c>
      <c r="V20" s="39" t="str">
        <v>Swimming</v>
      </c>
      <c r="W20" s="39" t="str">
        <v>Adolescent</v>
      </c>
      <c r="X20" s="39" t="str">
        <v>N/A</v>
      </c>
      <c r="Y20" s="39" t="str">
        <v>Male</v>
      </c>
      <c r="Z20" s="39" t="str">
        <v>Biodex</v>
      </c>
      <c r="AA20" s="30"/>
      <c r="AB20" s="30"/>
      <c r="AC20" s="30"/>
      <c r="AD20" s="30"/>
      <c r="AE20" s="30"/>
      <c r="AF20" s="30"/>
      <c r="AG20" s="30"/>
      <c r="AH20" s="30"/>
      <c r="AI20" s="30"/>
      <c r="AJ20" s="30"/>
      <c r="AK20" s="30"/>
      <c r="AL20" s="30"/>
      <c r="AM20" s="30"/>
      <c r="AN20" s="30"/>
      <c r="AO20" s="30"/>
      <c r="AP20" s="30"/>
      <c r="AQ20" s="30"/>
      <c r="AR20" s="30"/>
      <c r="AS20" s="30"/>
    </row>
    <row r="21" spans="1:45" ht="16.5" thickBot="1" x14ac:dyDescent="0.3">
      <c r="A21" s="30"/>
      <c r="B21" s="30"/>
      <c r="C21" s="30"/>
      <c r="D21" s="253" t="s">
        <v>2</v>
      </c>
      <c r="E21" s="253"/>
      <c r="F21" s="253"/>
      <c r="G21" s="253"/>
      <c r="H21" s="30"/>
      <c r="I21" s="30"/>
      <c r="J21" s="30"/>
      <c r="K21" s="30"/>
      <c r="L21" s="30"/>
      <c r="M21" s="30"/>
      <c r="N21" s="30"/>
      <c r="O21" s="30"/>
      <c r="P21" s="30"/>
      <c r="Q21" s="30"/>
      <c r="R21" s="30"/>
      <c r="S21" s="30"/>
      <c r="T21" s="30"/>
      <c r="U21" s="39" t="str">
        <v xml:space="preserve"> Batalha</v>
      </c>
      <c r="V21" s="39" t="str">
        <v>Swimming</v>
      </c>
      <c r="W21" s="39" t="str">
        <v>Adolescent</v>
      </c>
      <c r="X21" s="39" t="str">
        <v>N/A</v>
      </c>
      <c r="Y21" s="39" t="str">
        <v>Male</v>
      </c>
      <c r="Z21" s="39" t="str">
        <v>Biodex</v>
      </c>
      <c r="AA21" s="30"/>
      <c r="AB21" s="30"/>
      <c r="AC21" s="30"/>
      <c r="AD21" s="30"/>
      <c r="AE21" s="30"/>
      <c r="AF21" s="30"/>
      <c r="AG21" s="30"/>
      <c r="AH21" s="30"/>
      <c r="AI21" s="30"/>
      <c r="AJ21" s="30"/>
      <c r="AK21" s="30"/>
      <c r="AL21" s="30"/>
      <c r="AM21" s="30"/>
      <c r="AN21" s="30"/>
      <c r="AO21" s="30"/>
      <c r="AP21" s="30"/>
      <c r="AQ21" s="30"/>
      <c r="AR21" s="30"/>
      <c r="AS21" s="30"/>
    </row>
    <row r="22" spans="1:45" x14ac:dyDescent="0.25">
      <c r="A22" s="30"/>
      <c r="B22" s="30"/>
      <c r="C22" s="30"/>
      <c r="D22" s="218" t="s">
        <v>182</v>
      </c>
      <c r="E22" s="219">
        <f>COUNTIF(A:A, "60")</f>
        <v>47</v>
      </c>
      <c r="F22" s="220" t="s">
        <v>239</v>
      </c>
      <c r="G22" s="221">
        <f>COUNTIF(A:A, "210")</f>
        <v>5</v>
      </c>
      <c r="H22" s="30"/>
      <c r="I22" s="30"/>
      <c r="J22" s="30"/>
      <c r="K22" s="30"/>
      <c r="L22" s="30"/>
      <c r="M22" s="30"/>
      <c r="N22" s="30"/>
      <c r="O22" s="30"/>
      <c r="P22" s="30"/>
      <c r="Q22" s="30"/>
      <c r="R22" s="30"/>
      <c r="S22" s="30"/>
      <c r="T22" s="30"/>
      <c r="U22" s="39" t="str">
        <v xml:space="preserve"> Batalha</v>
      </c>
      <c r="V22" s="39" t="str">
        <v>Swimming</v>
      </c>
      <c r="W22" s="39" t="str">
        <v>Adolescent</v>
      </c>
      <c r="X22" s="39" t="str">
        <v>N/A</v>
      </c>
      <c r="Y22" s="39" t="str">
        <v>Male</v>
      </c>
      <c r="Z22" s="39" t="str">
        <v>Biodex</v>
      </c>
      <c r="AA22" s="30"/>
      <c r="AB22" s="30"/>
      <c r="AC22" s="30"/>
      <c r="AD22" s="30"/>
      <c r="AE22" s="30"/>
      <c r="AF22" s="30"/>
      <c r="AG22" s="30"/>
      <c r="AH22" s="30"/>
      <c r="AI22" s="30"/>
      <c r="AJ22" s="30"/>
      <c r="AK22" s="30"/>
      <c r="AL22" s="30"/>
      <c r="AM22" s="30"/>
      <c r="AN22" s="30"/>
      <c r="AO22" s="30"/>
      <c r="AP22" s="30"/>
      <c r="AQ22" s="30"/>
      <c r="AR22" s="30"/>
      <c r="AS22" s="30"/>
    </row>
    <row r="23" spans="1:45" x14ac:dyDescent="0.25">
      <c r="A23" s="30"/>
      <c r="B23" s="30"/>
      <c r="C23" s="30"/>
      <c r="D23" s="222" t="s">
        <v>237</v>
      </c>
      <c r="E23" s="39">
        <f>COUNTIF(A:A, "90")</f>
        <v>9</v>
      </c>
      <c r="F23" s="40" t="s">
        <v>186</v>
      </c>
      <c r="G23" s="223">
        <f>COUNTIF(A:A, "240")</f>
        <v>4</v>
      </c>
      <c r="H23" s="30"/>
      <c r="I23" s="30"/>
      <c r="J23" s="30"/>
      <c r="K23" s="30"/>
      <c r="L23" s="30"/>
      <c r="M23" s="30"/>
      <c r="N23" s="30"/>
      <c r="O23" s="30"/>
      <c r="P23" s="30"/>
      <c r="Q23" s="30"/>
      <c r="R23" s="30"/>
      <c r="S23" s="30"/>
      <c r="T23" s="30"/>
      <c r="U23" s="39" t="str">
        <v xml:space="preserve"> Batalha</v>
      </c>
      <c r="V23" s="39" t="str">
        <v>Swimming</v>
      </c>
      <c r="W23" s="39" t="str">
        <v>Adolescent</v>
      </c>
      <c r="X23" s="39" t="str">
        <v>N/A</v>
      </c>
      <c r="Y23" s="39" t="str">
        <v>Male</v>
      </c>
      <c r="Z23" s="39" t="str">
        <v>Biodex</v>
      </c>
      <c r="AA23" s="30"/>
      <c r="AB23" s="30"/>
      <c r="AC23" s="30"/>
      <c r="AD23" s="30"/>
      <c r="AE23" s="30"/>
      <c r="AF23" s="30"/>
      <c r="AG23" s="30"/>
      <c r="AH23" s="30"/>
      <c r="AI23" s="30"/>
      <c r="AJ23" s="30"/>
      <c r="AK23" s="30"/>
      <c r="AL23" s="30"/>
      <c r="AM23" s="30"/>
      <c r="AN23" s="30"/>
      <c r="AO23" s="30"/>
      <c r="AP23" s="30"/>
      <c r="AQ23" s="30"/>
      <c r="AR23" s="30"/>
      <c r="AS23" s="30"/>
    </row>
    <row r="24" spans="1:45" ht="15.75" thickBot="1" x14ac:dyDescent="0.3">
      <c r="A24" s="30"/>
      <c r="B24" s="30"/>
      <c r="C24" s="30"/>
      <c r="D24" s="224" t="s">
        <v>238</v>
      </c>
      <c r="E24" s="225">
        <f>COUNTIF(A:A, "120")</f>
        <v>22</v>
      </c>
      <c r="F24" s="226" t="s">
        <v>184</v>
      </c>
      <c r="G24" s="227">
        <f>COUNTIF(A:A, "300")</f>
        <v>13</v>
      </c>
      <c r="H24" s="30"/>
      <c r="I24" s="30"/>
      <c r="J24" s="30"/>
      <c r="K24" s="30"/>
      <c r="L24" s="30"/>
      <c r="M24" s="30"/>
      <c r="N24" s="30"/>
      <c r="O24" s="30"/>
      <c r="P24" s="30"/>
      <c r="Q24" s="30"/>
      <c r="R24" s="30"/>
      <c r="S24" s="30"/>
      <c r="T24" s="30"/>
      <c r="U24" s="39" t="str">
        <v xml:space="preserve"> Batalha</v>
      </c>
      <c r="V24" s="39" t="str">
        <v>Swimming</v>
      </c>
      <c r="W24" s="39" t="str">
        <v>Adolescent</v>
      </c>
      <c r="X24" s="39" t="str">
        <v>N/A</v>
      </c>
      <c r="Y24" s="39" t="str">
        <v>Male</v>
      </c>
      <c r="Z24" s="39" t="str">
        <v>Biodex</v>
      </c>
      <c r="AA24" s="30"/>
      <c r="AB24" s="30"/>
      <c r="AC24" s="30"/>
      <c r="AD24" s="30"/>
      <c r="AE24" s="30"/>
      <c r="AF24" s="30"/>
      <c r="AG24" s="30"/>
      <c r="AH24" s="30"/>
      <c r="AI24" s="30"/>
      <c r="AJ24" s="30"/>
      <c r="AK24" s="30"/>
      <c r="AL24" s="30"/>
      <c r="AM24" s="30"/>
      <c r="AN24" s="30"/>
      <c r="AO24" s="30"/>
      <c r="AP24" s="30"/>
      <c r="AQ24" s="30"/>
      <c r="AR24" s="30"/>
      <c r="AS24" s="30"/>
    </row>
    <row r="25" spans="1:45" ht="15" hidden="1" customHeight="1" x14ac:dyDescent="0.25">
      <c r="A25" s="30"/>
      <c r="B25" s="30"/>
      <c r="C25" s="30"/>
      <c r="D25" s="216" t="s">
        <v>185</v>
      </c>
      <c r="E25" s="217">
        <f>COUNTIF(A:A, "180")</f>
        <v>46</v>
      </c>
      <c r="F25" s="54"/>
      <c r="G25" s="30"/>
      <c r="H25" s="30"/>
      <c r="I25" s="30"/>
      <c r="J25" s="30"/>
      <c r="K25" s="30"/>
      <c r="L25" s="30"/>
      <c r="M25" s="30"/>
      <c r="N25" s="30"/>
      <c r="O25" s="30"/>
      <c r="P25" s="30"/>
      <c r="Q25" s="30"/>
      <c r="R25" s="30"/>
      <c r="S25" s="30"/>
      <c r="T25" s="30"/>
      <c r="U25" s="30" t="str">
        <v>Clements</v>
      </c>
      <c r="V25" s="30" t="str">
        <v>Baseball</v>
      </c>
      <c r="W25" s="30" t="str">
        <v>Adolescent</v>
      </c>
      <c r="X25" s="30" t="str">
        <v>N/A</v>
      </c>
      <c r="Y25" s="30" t="str">
        <v>Male</v>
      </c>
      <c r="Z25" s="30" t="str">
        <v>Biodex</v>
      </c>
      <c r="AA25" s="30"/>
      <c r="AB25" s="30"/>
      <c r="AC25" s="30"/>
      <c r="AD25" s="30"/>
      <c r="AE25" s="30"/>
      <c r="AF25" s="30"/>
      <c r="AG25" s="30"/>
      <c r="AH25" s="30"/>
      <c r="AI25" s="30"/>
      <c r="AJ25" s="30"/>
      <c r="AK25" s="30"/>
      <c r="AL25" s="30"/>
      <c r="AM25" s="30"/>
      <c r="AN25" s="30"/>
      <c r="AO25" s="30"/>
      <c r="AP25" s="30"/>
      <c r="AQ25" s="30"/>
      <c r="AR25" s="30"/>
      <c r="AS25" s="30"/>
    </row>
    <row r="26" spans="1:45" hidden="1" x14ac:dyDescent="0.25">
      <c r="A26" s="30"/>
      <c r="B26" s="30"/>
      <c r="C26" s="30"/>
      <c r="D26" s="30"/>
      <c r="E26" s="30"/>
      <c r="F26" s="30"/>
      <c r="G26" s="30"/>
      <c r="H26" s="30"/>
      <c r="I26" s="30"/>
      <c r="J26" s="30"/>
      <c r="K26" s="30"/>
      <c r="L26" s="30"/>
      <c r="M26" s="30"/>
      <c r="N26" s="30"/>
      <c r="O26" s="30"/>
      <c r="P26" s="30"/>
      <c r="Q26" s="30"/>
      <c r="R26" s="30"/>
      <c r="S26" s="30"/>
      <c r="T26" s="30"/>
      <c r="U26" s="30" t="str">
        <v>Clements</v>
      </c>
      <c r="V26" s="30" t="str">
        <v>Baseball</v>
      </c>
      <c r="W26" s="30" t="str">
        <v>Adolescent</v>
      </c>
      <c r="X26" s="30" t="str">
        <v>N/A</v>
      </c>
      <c r="Y26" s="30" t="str">
        <v>Male</v>
      </c>
      <c r="Z26" s="30" t="str">
        <v>Biodex</v>
      </c>
      <c r="AA26" s="30"/>
      <c r="AB26" s="30"/>
      <c r="AC26" s="30"/>
      <c r="AD26" s="30"/>
      <c r="AE26" s="30"/>
      <c r="AF26" s="30"/>
      <c r="AG26" s="30"/>
      <c r="AH26" s="30"/>
      <c r="AI26" s="30"/>
      <c r="AJ26" s="30"/>
      <c r="AK26" s="30"/>
      <c r="AL26" s="30"/>
      <c r="AM26" s="30"/>
      <c r="AN26" s="30"/>
      <c r="AO26" s="30"/>
      <c r="AP26" s="30"/>
      <c r="AQ26" s="30"/>
      <c r="AR26" s="30"/>
      <c r="AS26" s="30"/>
    </row>
    <row r="27" spans="1:45" hidden="1" x14ac:dyDescent="0.25">
      <c r="A27" s="30"/>
      <c r="B27" s="30"/>
      <c r="C27" s="30"/>
      <c r="D27" s="30"/>
      <c r="E27" s="30"/>
      <c r="F27" s="30"/>
      <c r="G27" s="30"/>
      <c r="H27" s="30"/>
      <c r="I27" s="30"/>
      <c r="J27" s="30"/>
      <c r="K27" s="30"/>
      <c r="L27" s="30"/>
      <c r="M27" s="30"/>
      <c r="N27" s="30"/>
      <c r="O27" s="30"/>
      <c r="P27" s="30"/>
      <c r="Q27" s="30"/>
      <c r="R27" s="30"/>
      <c r="S27" s="30"/>
      <c r="T27" s="30"/>
      <c r="U27" s="30" t="str">
        <v>Lira</v>
      </c>
      <c r="V27" s="30" t="str">
        <v>Volleyball</v>
      </c>
      <c r="W27" s="30" t="str">
        <v>Adolescent</v>
      </c>
      <c r="X27" s="30" t="str">
        <v>N/A</v>
      </c>
      <c r="Y27" s="30" t="str">
        <v>Male</v>
      </c>
      <c r="Z27" s="30" t="str">
        <v>Biodex</v>
      </c>
      <c r="AA27" s="30"/>
      <c r="AB27" s="30"/>
      <c r="AC27" s="30"/>
      <c r="AD27" s="30"/>
      <c r="AE27" s="30"/>
      <c r="AF27" s="30"/>
      <c r="AG27" s="30"/>
      <c r="AH27" s="30"/>
      <c r="AI27" s="30"/>
      <c r="AJ27" s="30"/>
      <c r="AK27" s="30"/>
      <c r="AL27" s="30"/>
      <c r="AM27" s="30"/>
      <c r="AN27" s="30"/>
      <c r="AO27" s="30"/>
      <c r="AP27" s="30"/>
      <c r="AQ27" s="30"/>
      <c r="AR27" s="30"/>
      <c r="AS27" s="30"/>
    </row>
    <row r="28" spans="1:45" hidden="1" x14ac:dyDescent="0.25">
      <c r="A28" s="30"/>
      <c r="B28" s="30"/>
      <c r="C28" s="30"/>
      <c r="D28" s="30"/>
      <c r="E28" s="30"/>
      <c r="F28" s="30"/>
      <c r="G28" s="30"/>
      <c r="H28" s="30"/>
      <c r="I28" s="30"/>
      <c r="J28" s="30"/>
      <c r="K28" s="30"/>
      <c r="L28" s="30"/>
      <c r="M28" s="30"/>
      <c r="N28" s="30"/>
      <c r="O28" s="30"/>
      <c r="P28" s="30"/>
      <c r="Q28" s="30"/>
      <c r="R28" s="30"/>
      <c r="S28" s="30"/>
      <c r="T28" s="30"/>
      <c r="U28" s="30" t="str">
        <v>Lira</v>
      </c>
      <c r="V28" s="30" t="str">
        <v>Volleyball</v>
      </c>
      <c r="W28" s="30" t="str">
        <v>Adolescent</v>
      </c>
      <c r="X28" s="30" t="str">
        <v>N/A</v>
      </c>
      <c r="Y28" s="30" t="str">
        <v>Male</v>
      </c>
      <c r="Z28" s="30" t="str">
        <v>Biodex</v>
      </c>
      <c r="AA28" s="30"/>
      <c r="AB28" s="30"/>
      <c r="AC28" s="30"/>
      <c r="AD28" s="30"/>
      <c r="AE28" s="30"/>
      <c r="AF28" s="30"/>
      <c r="AG28" s="30"/>
      <c r="AH28" s="30"/>
      <c r="AI28" s="30"/>
      <c r="AJ28" s="30"/>
      <c r="AK28" s="30"/>
      <c r="AL28" s="30"/>
      <c r="AM28" s="30"/>
      <c r="AN28" s="30"/>
      <c r="AO28" s="30"/>
      <c r="AP28" s="30"/>
      <c r="AQ28" s="30"/>
      <c r="AR28" s="30"/>
      <c r="AS28" s="30"/>
    </row>
    <row r="29" spans="1:45" hidden="1" x14ac:dyDescent="0.25">
      <c r="A29" s="30"/>
      <c r="B29" s="30"/>
      <c r="C29" s="30"/>
      <c r="D29" s="30"/>
      <c r="E29" s="30"/>
      <c r="F29" s="30"/>
      <c r="G29" s="30"/>
      <c r="H29" s="30"/>
      <c r="I29" s="30"/>
      <c r="J29" s="30"/>
      <c r="K29" s="30"/>
      <c r="L29" s="30"/>
      <c r="M29" s="30"/>
      <c r="N29" s="30"/>
      <c r="O29" s="30"/>
      <c r="P29" s="30"/>
      <c r="Q29" s="30"/>
      <c r="R29" s="30"/>
      <c r="S29" s="30"/>
      <c r="T29" s="30"/>
      <c r="U29" s="30" t="str">
        <v>Lira</v>
      </c>
      <c r="V29" s="30" t="str">
        <v>Volleyball</v>
      </c>
      <c r="W29" s="30" t="str">
        <v>Adolescent</v>
      </c>
      <c r="X29" s="30" t="str">
        <v>N/A</v>
      </c>
      <c r="Y29" s="30" t="str">
        <v>Male</v>
      </c>
      <c r="Z29" s="30" t="str">
        <v>Biodex</v>
      </c>
      <c r="AA29" s="30"/>
      <c r="AB29" s="30"/>
      <c r="AC29" s="30"/>
      <c r="AD29" s="30"/>
      <c r="AE29" s="30"/>
      <c r="AF29" s="30"/>
      <c r="AG29" s="30"/>
      <c r="AH29" s="30"/>
      <c r="AI29" s="30"/>
      <c r="AJ29" s="30"/>
      <c r="AK29" s="30"/>
      <c r="AL29" s="30"/>
      <c r="AM29" s="30"/>
      <c r="AN29" s="30"/>
      <c r="AO29" s="30"/>
      <c r="AP29" s="30"/>
      <c r="AQ29" s="30"/>
      <c r="AR29" s="30"/>
      <c r="AS29" s="30"/>
    </row>
    <row r="30" spans="1:45" hidden="1" x14ac:dyDescent="0.25">
      <c r="A30" s="30"/>
      <c r="B30" s="30"/>
      <c r="C30" s="30"/>
      <c r="D30" s="30"/>
      <c r="E30" s="30"/>
      <c r="F30" s="30"/>
      <c r="G30" s="30"/>
      <c r="H30" s="30"/>
      <c r="I30" s="30"/>
      <c r="J30" s="30"/>
      <c r="K30" s="30"/>
      <c r="L30" s="30"/>
      <c r="M30" s="30"/>
      <c r="N30" s="30"/>
      <c r="O30" s="30"/>
      <c r="P30" s="30"/>
      <c r="Q30" s="30"/>
      <c r="R30" s="30"/>
      <c r="S30" s="30"/>
      <c r="T30" s="30"/>
      <c r="U30" s="30" t="str">
        <v>Lira</v>
      </c>
      <c r="V30" s="30" t="str">
        <v>Volleyball</v>
      </c>
      <c r="W30" s="30" t="str">
        <v>Adolescent</v>
      </c>
      <c r="X30" s="30" t="str">
        <v>N/A</v>
      </c>
      <c r="Y30" s="30" t="str">
        <v>Male</v>
      </c>
      <c r="Z30" s="30" t="str">
        <v>Biodex</v>
      </c>
      <c r="AA30" s="30"/>
      <c r="AB30" s="30"/>
      <c r="AC30" s="30"/>
      <c r="AD30" s="30"/>
      <c r="AE30" s="30"/>
      <c r="AF30" s="30"/>
      <c r="AG30" s="30"/>
      <c r="AH30" s="30"/>
      <c r="AI30" s="30"/>
      <c r="AJ30" s="30"/>
      <c r="AK30" s="30"/>
      <c r="AL30" s="30"/>
      <c r="AM30" s="30"/>
      <c r="AN30" s="30"/>
      <c r="AO30" s="30"/>
      <c r="AP30" s="30"/>
      <c r="AQ30" s="30"/>
      <c r="AR30" s="30"/>
      <c r="AS30" s="30"/>
    </row>
    <row r="31" spans="1:45" hidden="1" x14ac:dyDescent="0.25">
      <c r="A31" s="30"/>
      <c r="B31" s="30"/>
      <c r="C31" s="30"/>
      <c r="D31" s="30"/>
      <c r="E31" s="30"/>
      <c r="F31" s="30"/>
      <c r="G31" s="30"/>
      <c r="H31" s="30"/>
      <c r="I31" s="30"/>
      <c r="J31" s="30"/>
      <c r="K31" s="30"/>
      <c r="L31" s="30"/>
      <c r="M31" s="30"/>
      <c r="N31" s="30"/>
      <c r="O31" s="30"/>
      <c r="P31" s="30"/>
      <c r="Q31" s="30"/>
      <c r="R31" s="30"/>
      <c r="S31" s="30"/>
      <c r="T31" s="30"/>
      <c r="U31" s="30" t="str">
        <v>Lira</v>
      </c>
      <c r="V31" s="30" t="str">
        <v>Volleyball</v>
      </c>
      <c r="W31" s="30" t="str">
        <v>Adolescent</v>
      </c>
      <c r="X31" s="30" t="str">
        <v>N/A</v>
      </c>
      <c r="Y31" s="30" t="str">
        <v>Male</v>
      </c>
      <c r="Z31" s="30" t="str">
        <v>Biodex</v>
      </c>
      <c r="AA31" s="30"/>
      <c r="AB31" s="30"/>
      <c r="AC31" s="30"/>
      <c r="AD31" s="30"/>
      <c r="AE31" s="30"/>
      <c r="AF31" s="30"/>
      <c r="AG31" s="30"/>
      <c r="AH31" s="30"/>
      <c r="AI31" s="30"/>
      <c r="AJ31" s="30"/>
      <c r="AK31" s="30"/>
      <c r="AL31" s="30"/>
      <c r="AM31" s="30"/>
      <c r="AN31" s="30"/>
      <c r="AO31" s="30"/>
      <c r="AP31" s="30"/>
      <c r="AQ31" s="30"/>
      <c r="AR31" s="30"/>
      <c r="AS31" s="30"/>
    </row>
    <row r="32" spans="1:45" hidden="1" x14ac:dyDescent="0.25">
      <c r="A32" s="30"/>
      <c r="B32" s="30"/>
      <c r="C32" s="30"/>
      <c r="D32" s="30"/>
      <c r="E32" s="30"/>
      <c r="F32" s="30"/>
      <c r="G32" s="30"/>
      <c r="H32" s="30"/>
      <c r="I32" s="30"/>
      <c r="J32" s="30"/>
      <c r="K32" s="30"/>
      <c r="L32" s="30"/>
      <c r="M32" s="30"/>
      <c r="N32" s="30"/>
      <c r="O32" s="30"/>
      <c r="P32" s="30"/>
      <c r="Q32" s="30"/>
      <c r="R32" s="30"/>
      <c r="S32" s="30"/>
      <c r="T32" s="30"/>
      <c r="U32" s="30" t="str">
        <v>Lira</v>
      </c>
      <c r="V32" s="30" t="str">
        <v>Volleyball</v>
      </c>
      <c r="W32" s="30" t="str">
        <v>Adolescent</v>
      </c>
      <c r="X32" s="30" t="str">
        <v>N/A</v>
      </c>
      <c r="Y32" s="30" t="str">
        <v>Male</v>
      </c>
      <c r="Z32" s="30" t="str">
        <v>Biodex</v>
      </c>
      <c r="AA32" s="30"/>
      <c r="AB32" s="30"/>
      <c r="AC32" s="30"/>
      <c r="AD32" s="30"/>
      <c r="AE32" s="30"/>
      <c r="AF32" s="30"/>
      <c r="AG32" s="30"/>
      <c r="AH32" s="30"/>
      <c r="AI32" s="30"/>
      <c r="AJ32" s="30"/>
      <c r="AK32" s="30"/>
      <c r="AL32" s="30"/>
      <c r="AM32" s="30"/>
      <c r="AN32" s="30"/>
      <c r="AO32" s="30"/>
      <c r="AP32" s="30"/>
      <c r="AQ32" s="30"/>
      <c r="AR32" s="30"/>
      <c r="AS32" s="30"/>
    </row>
    <row r="33" spans="1:45" hidden="1" x14ac:dyDescent="0.25">
      <c r="A33" s="30"/>
      <c r="B33" s="30"/>
      <c r="C33" s="30"/>
      <c r="D33" s="30"/>
      <c r="E33" s="30"/>
      <c r="F33" s="30"/>
      <c r="G33" s="30"/>
      <c r="H33" s="30"/>
      <c r="I33" s="30"/>
      <c r="J33" s="30"/>
      <c r="K33" s="30"/>
      <c r="L33" s="30"/>
      <c r="M33" s="30"/>
      <c r="N33" s="30"/>
      <c r="O33" s="30"/>
      <c r="P33" s="30"/>
      <c r="Q33" s="30"/>
      <c r="R33" s="30"/>
      <c r="S33" s="30"/>
      <c r="T33" s="30"/>
      <c r="U33" s="30" t="str">
        <v>Dodds</v>
      </c>
      <c r="V33" s="30" t="str">
        <v>Baseball</v>
      </c>
      <c r="W33" s="30" t="str">
        <v>Elite</v>
      </c>
      <c r="X33" s="30" t="str">
        <v>Pitchers</v>
      </c>
      <c r="Y33" s="30" t="str">
        <v>Male</v>
      </c>
      <c r="Z33" s="30" t="str">
        <v>CSMi</v>
      </c>
      <c r="AA33" s="30"/>
      <c r="AB33" s="30"/>
      <c r="AC33" s="30"/>
      <c r="AD33" s="30"/>
      <c r="AE33" s="30"/>
      <c r="AF33" s="30"/>
      <c r="AG33" s="30"/>
      <c r="AH33" s="30"/>
      <c r="AI33" s="30"/>
      <c r="AJ33" s="30"/>
      <c r="AK33" s="30"/>
      <c r="AL33" s="30"/>
      <c r="AM33" s="30"/>
      <c r="AN33" s="30"/>
      <c r="AO33" s="30"/>
      <c r="AP33" s="30"/>
      <c r="AQ33" s="30"/>
      <c r="AR33" s="30"/>
      <c r="AS33" s="30"/>
    </row>
    <row r="34" spans="1:45" hidden="1" x14ac:dyDescent="0.25">
      <c r="A34" s="30"/>
      <c r="B34" s="30"/>
      <c r="C34" s="30"/>
      <c r="D34" s="30"/>
      <c r="E34" s="30"/>
      <c r="F34" s="30"/>
      <c r="G34" s="30"/>
      <c r="H34" s="30"/>
      <c r="I34" s="30"/>
      <c r="J34" s="30"/>
      <c r="K34" s="30"/>
      <c r="L34" s="30"/>
      <c r="M34" s="30"/>
      <c r="N34" s="30"/>
      <c r="O34" s="30"/>
      <c r="P34" s="30"/>
      <c r="Q34" s="30"/>
      <c r="R34" s="30"/>
      <c r="S34" s="30"/>
      <c r="T34" s="30"/>
      <c r="U34" s="30" t="str">
        <v>Dodds</v>
      </c>
      <c r="V34" s="30" t="str">
        <v>Baseball</v>
      </c>
      <c r="W34" s="30" t="str">
        <v>Elite</v>
      </c>
      <c r="X34" s="30" t="str">
        <v>Fielders</v>
      </c>
      <c r="Y34" s="30" t="str">
        <v>Male</v>
      </c>
      <c r="Z34" s="30" t="str">
        <v>CSMi</v>
      </c>
      <c r="AA34" s="30"/>
      <c r="AB34" s="30"/>
      <c r="AC34" s="30"/>
      <c r="AD34" s="30"/>
      <c r="AE34" s="30"/>
      <c r="AF34" s="30"/>
      <c r="AG34" s="30"/>
      <c r="AH34" s="30"/>
      <c r="AI34" s="30"/>
      <c r="AJ34" s="30"/>
      <c r="AK34" s="30"/>
      <c r="AL34" s="30"/>
      <c r="AM34" s="30"/>
      <c r="AN34" s="30"/>
      <c r="AO34" s="30"/>
      <c r="AP34" s="30"/>
      <c r="AQ34" s="30"/>
      <c r="AR34" s="30"/>
      <c r="AS34" s="30"/>
    </row>
    <row r="35" spans="1:45" hidden="1" x14ac:dyDescent="0.25">
      <c r="A35" s="30"/>
      <c r="B35" s="30"/>
      <c r="C35" s="30"/>
      <c r="D35" s="30"/>
      <c r="E35" s="30"/>
      <c r="F35" s="30"/>
      <c r="G35" s="30"/>
      <c r="H35" s="30"/>
      <c r="I35" s="30"/>
      <c r="J35" s="30"/>
      <c r="K35" s="30"/>
      <c r="L35" s="30"/>
      <c r="M35" s="30"/>
      <c r="N35" s="30"/>
      <c r="O35" s="30"/>
      <c r="P35" s="30"/>
      <c r="Q35" s="30"/>
      <c r="R35" s="30"/>
      <c r="S35" s="30"/>
      <c r="T35" s="30"/>
      <c r="U35" s="30" t="str">
        <v>Dodds</v>
      </c>
      <c r="V35" s="30" t="str">
        <v>Baseball</v>
      </c>
      <c r="W35" s="30" t="str">
        <v>Elite</v>
      </c>
      <c r="X35" s="30" t="str">
        <v>Pitchers</v>
      </c>
      <c r="Y35" s="30" t="str">
        <v>Male</v>
      </c>
      <c r="Z35" s="30" t="str">
        <v>CSMi</v>
      </c>
      <c r="AA35" s="30"/>
      <c r="AB35" s="30"/>
      <c r="AC35" s="30"/>
      <c r="AD35" s="30"/>
      <c r="AE35" s="30"/>
      <c r="AF35" s="30"/>
      <c r="AG35" s="30"/>
      <c r="AH35" s="30"/>
      <c r="AI35" s="30"/>
      <c r="AJ35" s="30"/>
      <c r="AK35" s="30"/>
      <c r="AL35" s="30"/>
      <c r="AM35" s="30"/>
      <c r="AN35" s="30"/>
      <c r="AO35" s="30"/>
      <c r="AP35" s="30"/>
      <c r="AQ35" s="30"/>
      <c r="AR35" s="30"/>
      <c r="AS35" s="30"/>
    </row>
    <row r="36" spans="1:45" hidden="1" x14ac:dyDescent="0.25">
      <c r="A36" s="30"/>
      <c r="B36" s="30"/>
      <c r="C36" s="30"/>
      <c r="D36" s="30"/>
      <c r="E36" s="30"/>
      <c r="F36" s="30"/>
      <c r="G36" s="30"/>
      <c r="H36" s="30"/>
      <c r="I36" s="30"/>
      <c r="J36" s="30"/>
      <c r="K36" s="30"/>
      <c r="L36" s="30"/>
      <c r="M36" s="30"/>
      <c r="N36" s="30"/>
      <c r="O36" s="30"/>
      <c r="P36" s="30"/>
      <c r="Q36" s="30"/>
      <c r="R36" s="30"/>
      <c r="S36" s="30"/>
      <c r="T36" s="30"/>
      <c r="U36" s="30" t="str">
        <v>Dodds</v>
      </c>
      <c r="V36" s="30" t="str">
        <v>Baseball</v>
      </c>
      <c r="W36" s="30" t="str">
        <v>Elite</v>
      </c>
      <c r="X36" s="30" t="str">
        <v>Fielders</v>
      </c>
      <c r="Y36" s="30" t="str">
        <v>Male</v>
      </c>
      <c r="Z36" s="30" t="str">
        <v>CSMi</v>
      </c>
      <c r="AA36" s="30"/>
      <c r="AB36" s="30"/>
      <c r="AC36" s="30"/>
      <c r="AD36" s="30"/>
      <c r="AE36" s="30"/>
      <c r="AF36" s="30"/>
      <c r="AG36" s="30"/>
      <c r="AH36" s="30"/>
      <c r="AI36" s="30"/>
      <c r="AJ36" s="30"/>
      <c r="AK36" s="30"/>
      <c r="AL36" s="30"/>
      <c r="AM36" s="30"/>
      <c r="AN36" s="30"/>
      <c r="AO36" s="30"/>
      <c r="AP36" s="30"/>
      <c r="AQ36" s="30"/>
      <c r="AR36" s="30"/>
      <c r="AS36" s="30"/>
    </row>
    <row r="37" spans="1:45" hidden="1" x14ac:dyDescent="0.25">
      <c r="A37" s="30"/>
      <c r="B37" s="30"/>
      <c r="C37" s="30"/>
      <c r="D37" s="30"/>
      <c r="E37" s="30"/>
      <c r="F37" s="30"/>
      <c r="G37" s="30"/>
      <c r="H37" s="30"/>
      <c r="I37" s="30"/>
      <c r="J37" s="30"/>
      <c r="K37" s="30"/>
      <c r="L37" s="30"/>
      <c r="M37" s="30"/>
      <c r="N37" s="30"/>
      <c r="O37" s="30"/>
      <c r="P37" s="30"/>
      <c r="Q37" s="30"/>
      <c r="R37" s="30"/>
      <c r="S37" s="30"/>
      <c r="T37" s="30"/>
      <c r="U37" s="30" t="str">
        <v>Laudner</v>
      </c>
      <c r="V37" s="30" t="str">
        <v>Baseball</v>
      </c>
      <c r="W37" s="30" t="str">
        <v>Elite</v>
      </c>
      <c r="X37" s="30" t="str">
        <v>N/A</v>
      </c>
      <c r="Y37" s="30" t="str">
        <v>Male</v>
      </c>
      <c r="Z37" s="30" t="str">
        <v>Cybex</v>
      </c>
      <c r="AA37" s="30"/>
      <c r="AB37" s="30"/>
      <c r="AC37" s="30"/>
      <c r="AD37" s="30"/>
      <c r="AE37" s="30"/>
      <c r="AF37" s="30"/>
      <c r="AG37" s="30"/>
      <c r="AH37" s="30"/>
      <c r="AI37" s="30"/>
      <c r="AJ37" s="30"/>
      <c r="AK37" s="30"/>
      <c r="AL37" s="30"/>
      <c r="AM37" s="30"/>
      <c r="AN37" s="30"/>
      <c r="AO37" s="30"/>
      <c r="AP37" s="30"/>
      <c r="AQ37" s="30"/>
      <c r="AR37" s="30"/>
      <c r="AS37" s="30"/>
    </row>
    <row r="38" spans="1:45" hidden="1" x14ac:dyDescent="0.25">
      <c r="A38" s="30"/>
      <c r="B38" s="30"/>
      <c r="C38" s="30"/>
      <c r="D38" s="30"/>
      <c r="E38" s="30"/>
      <c r="F38" s="30"/>
      <c r="G38" s="30"/>
      <c r="H38" s="30"/>
      <c r="I38" s="30"/>
      <c r="J38" s="30"/>
      <c r="K38" s="30"/>
      <c r="L38" s="30"/>
      <c r="M38" s="30"/>
      <c r="N38" s="30"/>
      <c r="O38" s="30"/>
      <c r="P38" s="30"/>
      <c r="Q38" s="30"/>
      <c r="R38" s="30"/>
      <c r="S38" s="30"/>
      <c r="T38" s="30"/>
      <c r="U38" s="30" t="str">
        <v>Laudner</v>
      </c>
      <c r="V38" s="30" t="str">
        <v>Baseball</v>
      </c>
      <c r="W38" s="30" t="str">
        <v>Elite</v>
      </c>
      <c r="X38" s="30" t="str">
        <v>N/A</v>
      </c>
      <c r="Y38" s="30" t="str">
        <v>Male</v>
      </c>
      <c r="Z38" s="30" t="str">
        <v>Cybex</v>
      </c>
      <c r="AA38" s="30"/>
      <c r="AB38" s="30"/>
      <c r="AC38" s="30"/>
      <c r="AD38" s="30"/>
      <c r="AE38" s="30"/>
      <c r="AF38" s="30"/>
      <c r="AG38" s="30"/>
      <c r="AH38" s="30"/>
      <c r="AI38" s="30"/>
      <c r="AJ38" s="30"/>
      <c r="AK38" s="30"/>
      <c r="AL38" s="30"/>
      <c r="AM38" s="30"/>
      <c r="AN38" s="30"/>
      <c r="AO38" s="30"/>
      <c r="AP38" s="30"/>
      <c r="AQ38" s="30"/>
      <c r="AR38" s="30"/>
      <c r="AS38" s="30"/>
    </row>
    <row r="39" spans="1:45" hidden="1" x14ac:dyDescent="0.25">
      <c r="A39" s="30"/>
      <c r="B39" s="30"/>
      <c r="C39" s="30"/>
      <c r="D39" s="30"/>
      <c r="E39" s="30"/>
      <c r="F39" s="30"/>
      <c r="G39" s="30"/>
      <c r="H39" s="30"/>
      <c r="I39" s="30"/>
      <c r="J39" s="30"/>
      <c r="K39" s="30"/>
      <c r="L39" s="30"/>
      <c r="M39" s="30"/>
      <c r="N39" s="30"/>
      <c r="O39" s="30"/>
      <c r="P39" s="30"/>
      <c r="Q39" s="30"/>
      <c r="R39" s="30"/>
      <c r="S39" s="30"/>
      <c r="T39" s="30"/>
      <c r="U39" s="30" t="str">
        <v>Laudner</v>
      </c>
      <c r="V39" s="30" t="str">
        <v>Baseball</v>
      </c>
      <c r="W39" s="30" t="str">
        <v>Elite</v>
      </c>
      <c r="X39" s="30" t="str">
        <v>N/A</v>
      </c>
      <c r="Y39" s="30" t="str">
        <v>Male</v>
      </c>
      <c r="Z39" s="30" t="str">
        <v>Cybex</v>
      </c>
      <c r="AA39" s="30"/>
      <c r="AB39" s="30"/>
      <c r="AC39" s="30"/>
      <c r="AD39" s="30"/>
      <c r="AE39" s="30"/>
      <c r="AF39" s="30"/>
      <c r="AG39" s="30"/>
      <c r="AH39" s="30"/>
      <c r="AI39" s="30"/>
      <c r="AJ39" s="30"/>
      <c r="AK39" s="30"/>
      <c r="AL39" s="30"/>
      <c r="AM39" s="30"/>
      <c r="AN39" s="30"/>
      <c r="AO39" s="30"/>
      <c r="AP39" s="30"/>
      <c r="AQ39" s="30"/>
      <c r="AR39" s="30"/>
      <c r="AS39" s="30"/>
    </row>
    <row r="40" spans="1:45" hidden="1" x14ac:dyDescent="0.25">
      <c r="A40" s="30"/>
      <c r="B40" s="30"/>
      <c r="C40" s="30"/>
      <c r="D40" s="30"/>
      <c r="E40" s="30"/>
      <c r="F40" s="30"/>
      <c r="G40" s="30"/>
      <c r="H40" s="30"/>
      <c r="I40" s="30"/>
      <c r="J40" s="30"/>
      <c r="K40" s="30"/>
      <c r="L40" s="30"/>
      <c r="M40" s="30"/>
      <c r="N40" s="30"/>
      <c r="O40" s="30"/>
      <c r="P40" s="30"/>
      <c r="Q40" s="30"/>
      <c r="R40" s="30"/>
      <c r="S40" s="30"/>
      <c r="T40" s="30"/>
      <c r="U40" s="30" t="str">
        <v>Laudner</v>
      </c>
      <c r="V40" s="30" t="str">
        <v>Baseball</v>
      </c>
      <c r="W40" s="30" t="str">
        <v>Elite</v>
      </c>
      <c r="X40" s="30" t="str">
        <v>N/A</v>
      </c>
      <c r="Y40" s="30" t="str">
        <v>Male</v>
      </c>
      <c r="Z40" s="30" t="str">
        <v>Cybex</v>
      </c>
      <c r="AA40" s="30"/>
      <c r="AB40" s="30"/>
      <c r="AC40" s="30"/>
      <c r="AD40" s="30"/>
      <c r="AE40" s="30"/>
      <c r="AF40" s="30"/>
      <c r="AG40" s="30"/>
      <c r="AH40" s="30"/>
      <c r="AI40" s="30"/>
      <c r="AJ40" s="30"/>
      <c r="AK40" s="30"/>
      <c r="AL40" s="30"/>
      <c r="AM40" s="30"/>
      <c r="AN40" s="30"/>
      <c r="AO40" s="30"/>
      <c r="AP40" s="30"/>
      <c r="AQ40" s="30"/>
      <c r="AR40" s="30"/>
      <c r="AS40" s="30"/>
    </row>
    <row r="41" spans="1:45" hidden="1" x14ac:dyDescent="0.25">
      <c r="A41" s="30"/>
      <c r="B41" s="30"/>
      <c r="C41" s="30"/>
      <c r="D41" s="30"/>
      <c r="E41" s="30"/>
      <c r="F41" s="30"/>
      <c r="G41" s="30"/>
      <c r="H41" s="30"/>
      <c r="I41" s="30"/>
      <c r="J41" s="30"/>
      <c r="K41" s="30"/>
      <c r="L41" s="30"/>
      <c r="M41" s="30"/>
      <c r="N41" s="30"/>
      <c r="O41" s="30"/>
      <c r="P41" s="30"/>
      <c r="Q41" s="30"/>
      <c r="R41" s="30"/>
      <c r="S41" s="30"/>
      <c r="T41" s="30"/>
      <c r="U41" s="30" t="str">
        <v>Brito</v>
      </c>
      <c r="V41" s="30" t="str">
        <v>Tennis</v>
      </c>
      <c r="W41" s="30" t="str">
        <v>Elite</v>
      </c>
      <c r="X41" s="30" t="str">
        <v>N/A</v>
      </c>
      <c r="Y41" s="30" t="str">
        <v>Mixed</v>
      </c>
      <c r="Z41" s="30" t="str">
        <v>Biodex</v>
      </c>
      <c r="AA41" s="30"/>
      <c r="AB41" s="30"/>
      <c r="AC41" s="30"/>
      <c r="AD41" s="30"/>
      <c r="AE41" s="30"/>
      <c r="AF41" s="30"/>
      <c r="AG41" s="30"/>
      <c r="AH41" s="30"/>
      <c r="AI41" s="30"/>
      <c r="AJ41" s="30"/>
      <c r="AK41" s="30"/>
      <c r="AL41" s="30"/>
      <c r="AM41" s="30"/>
      <c r="AN41" s="30"/>
      <c r="AO41" s="30"/>
      <c r="AP41" s="30"/>
      <c r="AQ41" s="30"/>
      <c r="AR41" s="30"/>
      <c r="AS41" s="30"/>
    </row>
    <row r="42" spans="1:45" hidden="1" x14ac:dyDescent="0.25">
      <c r="A42" s="30"/>
      <c r="B42" s="30"/>
      <c r="C42" s="30"/>
      <c r="D42" s="30"/>
      <c r="E42" s="30"/>
      <c r="F42" s="30"/>
      <c r="G42" s="30"/>
      <c r="H42" s="30"/>
      <c r="I42" s="30"/>
      <c r="J42" s="30"/>
      <c r="K42" s="30"/>
      <c r="L42" s="30"/>
      <c r="M42" s="30"/>
      <c r="N42" s="30"/>
      <c r="O42" s="30"/>
      <c r="P42" s="30"/>
      <c r="Q42" s="30"/>
      <c r="R42" s="30"/>
      <c r="S42" s="30"/>
      <c r="T42" s="30"/>
      <c r="U42" s="30" t="str">
        <v>Brito</v>
      </c>
      <c r="V42" s="30" t="str">
        <v>Tennis</v>
      </c>
      <c r="W42" s="30" t="str">
        <v>Elite</v>
      </c>
      <c r="X42" s="30" t="str">
        <v>N/A</v>
      </c>
      <c r="Y42" s="30" t="str">
        <v>Mixed</v>
      </c>
      <c r="Z42" s="30" t="str">
        <v>Biodex</v>
      </c>
      <c r="AA42" s="30"/>
      <c r="AB42" s="30"/>
      <c r="AC42" s="30"/>
      <c r="AD42" s="30"/>
      <c r="AE42" s="30"/>
      <c r="AF42" s="30"/>
      <c r="AG42" s="30"/>
      <c r="AH42" s="30"/>
      <c r="AI42" s="30"/>
      <c r="AJ42" s="30"/>
      <c r="AK42" s="30"/>
      <c r="AL42" s="30"/>
      <c r="AM42" s="30"/>
      <c r="AN42" s="30"/>
      <c r="AO42" s="30"/>
      <c r="AP42" s="30"/>
      <c r="AQ42" s="30"/>
      <c r="AR42" s="30"/>
      <c r="AS42" s="30"/>
    </row>
    <row r="43" spans="1:45" hidden="1" x14ac:dyDescent="0.25">
      <c r="A43" s="30"/>
      <c r="B43" s="30"/>
      <c r="C43" s="30"/>
      <c r="D43" s="30"/>
      <c r="E43" s="30"/>
      <c r="F43" s="30"/>
      <c r="G43" s="30"/>
      <c r="H43" s="30"/>
      <c r="I43" s="30"/>
      <c r="J43" s="30"/>
      <c r="K43" s="30"/>
      <c r="L43" s="30"/>
      <c r="M43" s="30"/>
      <c r="N43" s="30"/>
      <c r="O43" s="30"/>
      <c r="P43" s="30"/>
      <c r="Q43" s="30"/>
      <c r="R43" s="30"/>
      <c r="S43" s="30"/>
      <c r="T43" s="30"/>
      <c r="U43" s="30" t="str">
        <v>Brito</v>
      </c>
      <c r="V43" s="30" t="str">
        <v>Tennis</v>
      </c>
      <c r="W43" s="30" t="str">
        <v>Elite</v>
      </c>
      <c r="X43" s="30" t="str">
        <v>N/A</v>
      </c>
      <c r="Y43" s="30" t="str">
        <v>Mixed</v>
      </c>
      <c r="Z43" s="30" t="str">
        <v>Biodex</v>
      </c>
      <c r="AA43" s="30"/>
      <c r="AB43" s="30"/>
      <c r="AC43" s="30"/>
      <c r="AD43" s="30"/>
      <c r="AE43" s="30"/>
      <c r="AF43" s="30"/>
      <c r="AG43" s="30"/>
      <c r="AH43" s="30"/>
      <c r="AI43" s="30"/>
      <c r="AJ43" s="30"/>
      <c r="AK43" s="30"/>
      <c r="AL43" s="30"/>
      <c r="AM43" s="30"/>
      <c r="AN43" s="30"/>
      <c r="AO43" s="30"/>
      <c r="AP43" s="30"/>
      <c r="AQ43" s="30"/>
      <c r="AR43" s="30"/>
      <c r="AS43" s="30"/>
    </row>
    <row r="44" spans="1:45" hidden="1" x14ac:dyDescent="0.25">
      <c r="A44" s="30"/>
      <c r="B44" s="30"/>
      <c r="C44" s="30"/>
      <c r="D44" s="30"/>
      <c r="E44" s="30"/>
      <c r="F44" s="30"/>
      <c r="G44" s="30"/>
      <c r="H44" s="30"/>
      <c r="I44" s="30"/>
      <c r="J44" s="30"/>
      <c r="K44" s="30"/>
      <c r="L44" s="30"/>
      <c r="M44" s="30"/>
      <c r="N44" s="30"/>
      <c r="O44" s="30"/>
      <c r="P44" s="30"/>
      <c r="Q44" s="30"/>
      <c r="R44" s="30"/>
      <c r="S44" s="30"/>
      <c r="T44" s="30"/>
      <c r="U44" s="30" t="str">
        <v>Brito</v>
      </c>
      <c r="V44" s="30" t="str">
        <v>Tennis</v>
      </c>
      <c r="W44" s="30" t="str">
        <v>Elite</v>
      </c>
      <c r="X44" s="30" t="str">
        <v>N/A</v>
      </c>
      <c r="Y44" s="30" t="str">
        <v>Mixed</v>
      </c>
      <c r="Z44" s="30" t="str">
        <v>Biodex</v>
      </c>
      <c r="AA44" s="30"/>
      <c r="AB44" s="30"/>
      <c r="AC44" s="30"/>
      <c r="AD44" s="30"/>
      <c r="AE44" s="30"/>
      <c r="AF44" s="30"/>
      <c r="AG44" s="30"/>
      <c r="AH44" s="30"/>
      <c r="AI44" s="30"/>
      <c r="AJ44" s="30"/>
      <c r="AK44" s="30"/>
      <c r="AL44" s="30"/>
      <c r="AM44" s="30"/>
      <c r="AN44" s="30"/>
      <c r="AO44" s="30"/>
      <c r="AP44" s="30"/>
      <c r="AQ44" s="30"/>
      <c r="AR44" s="30"/>
      <c r="AS44" s="30"/>
    </row>
    <row r="45" spans="1:45" hidden="1" x14ac:dyDescent="0.25">
      <c r="A45" s="30"/>
      <c r="B45" s="30"/>
      <c r="C45" s="30"/>
      <c r="D45" s="30"/>
      <c r="E45" s="30"/>
      <c r="F45" s="30"/>
      <c r="G45" s="30"/>
      <c r="H45" s="30"/>
      <c r="I45" s="30"/>
      <c r="J45" s="30"/>
      <c r="K45" s="30"/>
      <c r="L45" s="30"/>
      <c r="M45" s="30"/>
      <c r="N45" s="30"/>
      <c r="O45" s="30"/>
      <c r="P45" s="30"/>
      <c r="Q45" s="30"/>
      <c r="R45" s="30"/>
      <c r="S45" s="30"/>
      <c r="T45" s="30"/>
      <c r="U45" s="30" t="str">
        <v>Tyler</v>
      </c>
      <c r="V45" s="30" t="str">
        <v>Gen Pop</v>
      </c>
      <c r="W45" s="30" t="str">
        <v>Adults</v>
      </c>
      <c r="X45" s="30" t="str">
        <v>Patients</v>
      </c>
      <c r="Y45" s="30" t="str">
        <v>Male</v>
      </c>
      <c r="Z45" s="30" t="str">
        <v>Biodex</v>
      </c>
      <c r="AA45" s="30"/>
      <c r="AB45" s="30"/>
      <c r="AC45" s="30"/>
      <c r="AD45" s="30"/>
      <c r="AE45" s="30"/>
      <c r="AF45" s="30"/>
      <c r="AG45" s="30"/>
      <c r="AH45" s="30"/>
      <c r="AI45" s="30"/>
      <c r="AJ45" s="30"/>
      <c r="AK45" s="30"/>
      <c r="AL45" s="30"/>
      <c r="AM45" s="30"/>
      <c r="AN45" s="30"/>
      <c r="AO45" s="30"/>
      <c r="AP45" s="30"/>
      <c r="AQ45" s="30"/>
      <c r="AR45" s="30"/>
      <c r="AS45" s="30"/>
    </row>
    <row r="46" spans="1:45" hidden="1" x14ac:dyDescent="0.25">
      <c r="A46" s="30"/>
      <c r="B46" s="30"/>
      <c r="C46" s="30"/>
      <c r="D46" s="30"/>
      <c r="E46" s="30"/>
      <c r="F46" s="30"/>
      <c r="G46" s="30"/>
      <c r="H46" s="30"/>
      <c r="I46" s="30"/>
      <c r="J46" s="30"/>
      <c r="K46" s="30"/>
      <c r="L46" s="30"/>
      <c r="M46" s="30"/>
      <c r="N46" s="30"/>
      <c r="O46" s="30"/>
      <c r="P46" s="30"/>
      <c r="Q46" s="30"/>
      <c r="R46" s="30"/>
      <c r="S46" s="30"/>
      <c r="T46" s="30"/>
      <c r="U46" s="30" t="str">
        <v>Tyler</v>
      </c>
      <c r="V46" s="30" t="str">
        <v>Gen Pop</v>
      </c>
      <c r="W46" s="30" t="str">
        <v>Adults</v>
      </c>
      <c r="X46" s="30" t="str">
        <v>Patients</v>
      </c>
      <c r="Y46" s="30" t="str">
        <v>Male</v>
      </c>
      <c r="Z46" s="30" t="str">
        <v>Biodex</v>
      </c>
      <c r="AA46" s="30"/>
      <c r="AB46" s="30"/>
      <c r="AC46" s="30"/>
      <c r="AD46" s="30"/>
      <c r="AE46" s="30"/>
      <c r="AF46" s="30"/>
      <c r="AG46" s="30"/>
      <c r="AH46" s="30"/>
      <c r="AI46" s="30"/>
      <c r="AJ46" s="30"/>
      <c r="AK46" s="30"/>
      <c r="AL46" s="30"/>
      <c r="AM46" s="30"/>
      <c r="AN46" s="30"/>
      <c r="AO46" s="30"/>
      <c r="AP46" s="30"/>
      <c r="AQ46" s="30"/>
      <c r="AR46" s="30"/>
      <c r="AS46" s="30"/>
    </row>
    <row r="47" spans="1:45" hidden="1" x14ac:dyDescent="0.25">
      <c r="A47" s="30"/>
      <c r="B47" s="30"/>
      <c r="C47" s="30"/>
      <c r="D47" s="30"/>
      <c r="E47" s="30"/>
      <c r="F47" s="30"/>
      <c r="G47" s="30"/>
      <c r="H47" s="30"/>
      <c r="I47" s="30"/>
      <c r="J47" s="30"/>
      <c r="K47" s="30"/>
      <c r="L47" s="30"/>
      <c r="M47" s="30"/>
      <c r="N47" s="30"/>
      <c r="O47" s="30"/>
      <c r="P47" s="30"/>
      <c r="Q47" s="30"/>
      <c r="R47" s="30"/>
      <c r="S47" s="30"/>
      <c r="T47" s="30"/>
      <c r="U47" s="30" t="str">
        <v>Tyler</v>
      </c>
      <c r="V47" s="30" t="str">
        <v>Gen Pop</v>
      </c>
      <c r="W47" s="30" t="str">
        <v>Adults</v>
      </c>
      <c r="X47" s="30" t="str">
        <v>Controls</v>
      </c>
      <c r="Y47" s="30" t="str">
        <v>Male</v>
      </c>
      <c r="Z47" s="30" t="str">
        <v>Biodex</v>
      </c>
      <c r="AA47" s="30"/>
      <c r="AB47" s="30"/>
      <c r="AC47" s="30"/>
      <c r="AD47" s="30"/>
      <c r="AE47" s="30"/>
      <c r="AF47" s="30"/>
      <c r="AG47" s="30"/>
      <c r="AH47" s="30"/>
      <c r="AI47" s="30"/>
      <c r="AJ47" s="30"/>
      <c r="AK47" s="30"/>
      <c r="AL47" s="30"/>
      <c r="AM47" s="30"/>
      <c r="AN47" s="30"/>
      <c r="AO47" s="30"/>
      <c r="AP47" s="30"/>
      <c r="AQ47" s="30"/>
      <c r="AR47" s="30"/>
      <c r="AS47" s="30"/>
    </row>
    <row r="48" spans="1:45" hidden="1" x14ac:dyDescent="0.25">
      <c r="A48" s="30"/>
      <c r="B48" s="30"/>
      <c r="C48" s="30"/>
      <c r="D48" s="30"/>
      <c r="E48" s="30"/>
      <c r="F48" s="30"/>
      <c r="G48" s="30"/>
      <c r="H48" s="30"/>
      <c r="I48" s="30"/>
      <c r="J48" s="30"/>
      <c r="K48" s="30"/>
      <c r="L48" s="30"/>
      <c r="M48" s="30"/>
      <c r="N48" s="30"/>
      <c r="O48" s="30"/>
      <c r="P48" s="30"/>
      <c r="Q48" s="30"/>
      <c r="R48" s="30"/>
      <c r="S48" s="30"/>
      <c r="T48" s="30"/>
      <c r="U48" s="30" t="str">
        <v>Tyler</v>
      </c>
      <c r="V48" s="30" t="str">
        <v>Gen Pop</v>
      </c>
      <c r="W48" s="30" t="str">
        <v>Adults</v>
      </c>
      <c r="X48" s="30" t="str">
        <v>Controls</v>
      </c>
      <c r="Y48" s="30" t="str">
        <v>Male</v>
      </c>
      <c r="Z48" s="30" t="str">
        <v>Biodex</v>
      </c>
      <c r="AA48" s="30"/>
      <c r="AB48" s="30"/>
      <c r="AC48" s="30"/>
      <c r="AD48" s="30"/>
      <c r="AE48" s="30"/>
      <c r="AF48" s="30"/>
      <c r="AG48" s="30"/>
      <c r="AH48" s="30"/>
      <c r="AI48" s="30"/>
      <c r="AJ48" s="30"/>
      <c r="AK48" s="30"/>
      <c r="AL48" s="30"/>
      <c r="AM48" s="30"/>
      <c r="AN48" s="30"/>
      <c r="AO48" s="30"/>
      <c r="AP48" s="30"/>
      <c r="AQ48" s="30"/>
      <c r="AR48" s="30"/>
      <c r="AS48" s="30"/>
    </row>
    <row r="49" spans="1:45" hidden="1" x14ac:dyDescent="0.25">
      <c r="A49" s="30"/>
      <c r="B49" s="30"/>
      <c r="C49" s="30"/>
      <c r="D49" s="30"/>
      <c r="E49" s="30"/>
      <c r="F49" s="30"/>
      <c r="G49" s="30"/>
      <c r="H49" s="30"/>
      <c r="I49" s="30"/>
      <c r="J49" s="30"/>
      <c r="K49" s="30"/>
      <c r="L49" s="30"/>
      <c r="M49" s="30"/>
      <c r="N49" s="30"/>
      <c r="O49" s="30"/>
      <c r="P49" s="30"/>
      <c r="Q49" s="30"/>
      <c r="R49" s="30"/>
      <c r="S49" s="30"/>
      <c r="T49" s="30"/>
      <c r="U49" s="30" t="str">
        <v>Saccol</v>
      </c>
      <c r="V49" s="30" t="str">
        <v>Tennis</v>
      </c>
      <c r="W49" s="30" t="str">
        <v>Elite</v>
      </c>
      <c r="X49" s="30" t="str">
        <v>Boys</v>
      </c>
      <c r="Y49" s="30" t="str">
        <v>Male</v>
      </c>
      <c r="Z49" s="30" t="str">
        <v>Cybex</v>
      </c>
      <c r="AA49" s="30"/>
      <c r="AB49" s="30"/>
      <c r="AC49" s="30"/>
      <c r="AD49" s="30"/>
      <c r="AE49" s="30"/>
      <c r="AF49" s="30"/>
      <c r="AG49" s="30"/>
      <c r="AH49" s="30"/>
      <c r="AI49" s="30"/>
      <c r="AJ49" s="30"/>
      <c r="AK49" s="30"/>
      <c r="AL49" s="30"/>
      <c r="AM49" s="30"/>
      <c r="AN49" s="30"/>
      <c r="AO49" s="30"/>
      <c r="AP49" s="30"/>
      <c r="AQ49" s="30"/>
      <c r="AR49" s="30"/>
      <c r="AS49" s="30"/>
    </row>
    <row r="50" spans="1:45" hidden="1" x14ac:dyDescent="0.25">
      <c r="A50" s="30"/>
      <c r="B50" s="30"/>
      <c r="C50" s="30"/>
      <c r="D50" s="30"/>
      <c r="E50" s="30"/>
      <c r="F50" s="30"/>
      <c r="G50" s="30"/>
      <c r="H50" s="30"/>
      <c r="I50" s="30"/>
      <c r="J50" s="30"/>
      <c r="K50" s="30"/>
      <c r="L50" s="30"/>
      <c r="M50" s="30"/>
      <c r="N50" s="30"/>
      <c r="O50" s="30"/>
      <c r="P50" s="30"/>
      <c r="Q50" s="30"/>
      <c r="R50" s="30"/>
      <c r="S50" s="30"/>
      <c r="T50" s="30"/>
      <c r="U50" s="30" t="str">
        <v>Saccol</v>
      </c>
      <c r="V50" s="30" t="str">
        <v>Tennis</v>
      </c>
      <c r="W50" s="30" t="str">
        <v>Elite</v>
      </c>
      <c r="X50" s="30" t="str">
        <v>Boys</v>
      </c>
      <c r="Y50" s="30" t="str">
        <v>Male</v>
      </c>
      <c r="Z50" s="30" t="str">
        <v>Cybex</v>
      </c>
      <c r="AA50" s="30"/>
      <c r="AB50" s="30"/>
      <c r="AC50" s="30"/>
      <c r="AD50" s="30"/>
      <c r="AE50" s="30"/>
      <c r="AF50" s="30"/>
      <c r="AG50" s="30"/>
      <c r="AH50" s="30"/>
      <c r="AI50" s="30"/>
      <c r="AJ50" s="30"/>
      <c r="AK50" s="30"/>
      <c r="AL50" s="30"/>
      <c r="AM50" s="30"/>
      <c r="AN50" s="30"/>
      <c r="AO50" s="30"/>
      <c r="AP50" s="30"/>
      <c r="AQ50" s="30"/>
      <c r="AR50" s="30"/>
      <c r="AS50" s="30"/>
    </row>
    <row r="51" spans="1:45" hidden="1" x14ac:dyDescent="0.25">
      <c r="A51" s="30"/>
      <c r="B51" s="30"/>
      <c r="C51" s="30"/>
      <c r="D51" s="30"/>
      <c r="E51" s="30"/>
      <c r="F51" s="30"/>
      <c r="G51" s="30"/>
      <c r="H51" s="30"/>
      <c r="I51" s="30"/>
      <c r="J51" s="30"/>
      <c r="K51" s="30"/>
      <c r="L51" s="30"/>
      <c r="M51" s="30"/>
      <c r="N51" s="30"/>
      <c r="O51" s="30"/>
      <c r="P51" s="30"/>
      <c r="Q51" s="30"/>
      <c r="R51" s="30"/>
      <c r="S51" s="30"/>
      <c r="T51" s="30"/>
      <c r="U51" s="30" t="str">
        <v>Saccol</v>
      </c>
      <c r="V51" s="30" t="str">
        <v>Tennis</v>
      </c>
      <c r="W51" s="30" t="str">
        <v>Elite</v>
      </c>
      <c r="X51" s="30" t="str">
        <v>Boys</v>
      </c>
      <c r="Y51" s="30" t="str">
        <v>Male</v>
      </c>
      <c r="Z51" s="30" t="str">
        <v>Cybex</v>
      </c>
      <c r="AA51" s="30"/>
      <c r="AB51" s="30"/>
      <c r="AC51" s="30"/>
      <c r="AD51" s="30"/>
      <c r="AE51" s="30"/>
      <c r="AF51" s="30"/>
      <c r="AG51" s="30"/>
      <c r="AH51" s="30"/>
      <c r="AI51" s="30"/>
      <c r="AJ51" s="30"/>
      <c r="AK51" s="30"/>
      <c r="AL51" s="30"/>
      <c r="AM51" s="30"/>
      <c r="AN51" s="30"/>
      <c r="AO51" s="30"/>
      <c r="AP51" s="30"/>
      <c r="AQ51" s="30"/>
      <c r="AR51" s="30"/>
      <c r="AS51" s="30"/>
    </row>
    <row r="52" spans="1:45" hidden="1" x14ac:dyDescent="0.25">
      <c r="A52" s="30"/>
      <c r="B52" s="30"/>
      <c r="C52" s="30"/>
      <c r="D52" s="30"/>
      <c r="E52" s="30"/>
      <c r="F52" s="30"/>
      <c r="G52" s="30"/>
      <c r="H52" s="30"/>
      <c r="I52" s="30"/>
      <c r="J52" s="30"/>
      <c r="K52" s="30"/>
      <c r="L52" s="30"/>
      <c r="M52" s="30"/>
      <c r="N52" s="30"/>
      <c r="O52" s="30"/>
      <c r="P52" s="30"/>
      <c r="Q52" s="30"/>
      <c r="R52" s="30"/>
      <c r="S52" s="30"/>
      <c r="T52" s="30"/>
      <c r="U52" s="30" t="str">
        <v>Saccol</v>
      </c>
      <c r="V52" s="30" t="str">
        <v>Tennis</v>
      </c>
      <c r="W52" s="30" t="str">
        <v>Elite</v>
      </c>
      <c r="X52" s="30" t="str">
        <v>Boys</v>
      </c>
      <c r="Y52" s="30" t="str">
        <v>Male</v>
      </c>
      <c r="Z52" s="30" t="str">
        <v>Cybex</v>
      </c>
      <c r="AA52" s="30"/>
      <c r="AB52" s="30"/>
      <c r="AC52" s="30"/>
      <c r="AD52" s="30"/>
      <c r="AE52" s="30"/>
      <c r="AF52" s="30"/>
      <c r="AG52" s="30"/>
      <c r="AH52" s="30"/>
      <c r="AI52" s="30"/>
      <c r="AJ52" s="30"/>
      <c r="AK52" s="30"/>
      <c r="AL52" s="30"/>
      <c r="AM52" s="30"/>
      <c r="AN52" s="30"/>
      <c r="AO52" s="30"/>
      <c r="AP52" s="30"/>
      <c r="AQ52" s="30"/>
      <c r="AR52" s="30"/>
      <c r="AS52" s="30"/>
    </row>
    <row r="53" spans="1:45" hidden="1" x14ac:dyDescent="0.25">
      <c r="A53" s="30"/>
      <c r="B53" s="30"/>
      <c r="C53" s="30"/>
      <c r="D53" s="30"/>
      <c r="E53" s="30"/>
      <c r="F53" s="30"/>
      <c r="G53" s="30"/>
      <c r="H53" s="30"/>
      <c r="I53" s="30"/>
      <c r="J53" s="30"/>
      <c r="K53" s="30"/>
      <c r="L53" s="30"/>
      <c r="M53" s="30"/>
      <c r="N53" s="30"/>
      <c r="O53" s="30"/>
      <c r="P53" s="30"/>
      <c r="Q53" s="30"/>
      <c r="R53" s="30"/>
      <c r="S53" s="30"/>
      <c r="T53" s="30"/>
      <c r="U53" s="30" t="str">
        <v>Saccol</v>
      </c>
      <c r="V53" s="30" t="str">
        <v>Tennis</v>
      </c>
      <c r="W53" s="30" t="str">
        <v>Elite</v>
      </c>
      <c r="X53" s="30" t="str">
        <v>Girls</v>
      </c>
      <c r="Y53" s="30" t="str">
        <v>Female</v>
      </c>
      <c r="Z53" s="30" t="str">
        <v>Cybex</v>
      </c>
      <c r="AA53" s="30"/>
      <c r="AB53" s="30"/>
      <c r="AC53" s="30"/>
      <c r="AD53" s="30"/>
      <c r="AE53" s="30"/>
      <c r="AF53" s="30"/>
      <c r="AG53" s="30"/>
      <c r="AH53" s="30"/>
      <c r="AI53" s="30"/>
      <c r="AJ53" s="30"/>
      <c r="AK53" s="30"/>
      <c r="AL53" s="30"/>
      <c r="AM53" s="30"/>
      <c r="AN53" s="30"/>
      <c r="AO53" s="30"/>
      <c r="AP53" s="30"/>
      <c r="AQ53" s="30"/>
      <c r="AR53" s="30"/>
      <c r="AS53" s="30"/>
    </row>
    <row r="54" spans="1:45" hidden="1" x14ac:dyDescent="0.25">
      <c r="A54" s="30"/>
      <c r="B54" s="30"/>
      <c r="C54" s="30"/>
      <c r="D54" s="30"/>
      <c r="E54" s="30"/>
      <c r="F54" s="30"/>
      <c r="G54" s="30"/>
      <c r="H54" s="30"/>
      <c r="I54" s="30"/>
      <c r="J54" s="30"/>
      <c r="K54" s="30"/>
      <c r="L54" s="30"/>
      <c r="M54" s="30"/>
      <c r="N54" s="30"/>
      <c r="O54" s="30"/>
      <c r="P54" s="30"/>
      <c r="Q54" s="30"/>
      <c r="R54" s="30"/>
      <c r="S54" s="30"/>
      <c r="T54" s="30"/>
      <c r="U54" s="30" t="str">
        <v>Saccol</v>
      </c>
      <c r="V54" s="30" t="str">
        <v>Tennis</v>
      </c>
      <c r="W54" s="30" t="str">
        <v>Elite</v>
      </c>
      <c r="X54" s="30" t="str">
        <v>Girls</v>
      </c>
      <c r="Y54" s="30" t="str">
        <v>Female</v>
      </c>
      <c r="Z54" s="30" t="str">
        <v>Cybex</v>
      </c>
      <c r="AA54" s="30"/>
      <c r="AB54" s="30"/>
      <c r="AC54" s="30"/>
      <c r="AD54" s="30"/>
      <c r="AE54" s="30"/>
      <c r="AF54" s="30"/>
      <c r="AG54" s="30"/>
      <c r="AH54" s="30"/>
      <c r="AI54" s="30"/>
      <c r="AJ54" s="30"/>
      <c r="AK54" s="30"/>
      <c r="AL54" s="30"/>
      <c r="AM54" s="30"/>
      <c r="AN54" s="30"/>
      <c r="AO54" s="30"/>
      <c r="AP54" s="30"/>
      <c r="AQ54" s="30"/>
      <c r="AR54" s="30"/>
      <c r="AS54" s="30"/>
    </row>
    <row r="55" spans="1:45" hidden="1" x14ac:dyDescent="0.25">
      <c r="A55" s="30"/>
      <c r="B55" s="30"/>
      <c r="C55" s="30"/>
      <c r="D55" s="30"/>
      <c r="E55" s="30"/>
      <c r="F55" s="30"/>
      <c r="G55" s="30"/>
      <c r="H55" s="30"/>
      <c r="I55" s="30"/>
      <c r="J55" s="30"/>
      <c r="K55" s="30"/>
      <c r="L55" s="30"/>
      <c r="M55" s="30"/>
      <c r="N55" s="30"/>
      <c r="O55" s="30"/>
      <c r="P55" s="30"/>
      <c r="Q55" s="30"/>
      <c r="R55" s="30"/>
      <c r="S55" s="30"/>
      <c r="T55" s="30"/>
      <c r="U55" s="30" t="str">
        <v>Saccol</v>
      </c>
      <c r="V55" s="30" t="str">
        <v>Tennis</v>
      </c>
      <c r="W55" s="30" t="str">
        <v>Elite</v>
      </c>
      <c r="X55" s="30" t="str">
        <v>Girls</v>
      </c>
      <c r="Y55" s="30" t="str">
        <v>Female</v>
      </c>
      <c r="Z55" s="30" t="str">
        <v>Cybex</v>
      </c>
      <c r="AA55" s="30"/>
      <c r="AB55" s="30"/>
      <c r="AC55" s="30"/>
      <c r="AD55" s="30"/>
      <c r="AE55" s="30"/>
      <c r="AF55" s="30"/>
      <c r="AG55" s="30"/>
      <c r="AH55" s="30"/>
      <c r="AI55" s="30"/>
      <c r="AJ55" s="30"/>
      <c r="AK55" s="30"/>
      <c r="AL55" s="30"/>
      <c r="AM55" s="30"/>
      <c r="AN55" s="30"/>
      <c r="AO55" s="30"/>
      <c r="AP55" s="30"/>
      <c r="AQ55" s="30"/>
      <c r="AR55" s="30"/>
      <c r="AS55" s="30"/>
    </row>
    <row r="56" spans="1:45" hidden="1" x14ac:dyDescent="0.25">
      <c r="A56" s="30"/>
      <c r="B56" s="30"/>
      <c r="C56" s="30"/>
      <c r="D56" s="30"/>
      <c r="E56" s="30"/>
      <c r="F56" s="30"/>
      <c r="G56" s="30"/>
      <c r="H56" s="30"/>
      <c r="I56" s="30"/>
      <c r="J56" s="30"/>
      <c r="K56" s="30"/>
      <c r="L56" s="30"/>
      <c r="M56" s="30"/>
      <c r="N56" s="30"/>
      <c r="O56" s="30"/>
      <c r="P56" s="30"/>
      <c r="Q56" s="30"/>
      <c r="R56" s="30"/>
      <c r="S56" s="30"/>
      <c r="T56" s="30"/>
      <c r="U56" s="30" t="str">
        <v>Saccol</v>
      </c>
      <c r="V56" s="30" t="str">
        <v>Tennis</v>
      </c>
      <c r="W56" s="30" t="str">
        <v>Elite</v>
      </c>
      <c r="X56" s="30" t="str">
        <v>Girls</v>
      </c>
      <c r="Y56" s="30" t="str">
        <v>Female</v>
      </c>
      <c r="Z56" s="30" t="str">
        <v>Cybex</v>
      </c>
      <c r="AA56" s="30"/>
      <c r="AB56" s="30"/>
      <c r="AC56" s="30"/>
      <c r="AD56" s="30"/>
      <c r="AE56" s="30"/>
      <c r="AF56" s="30"/>
      <c r="AG56" s="30"/>
      <c r="AH56" s="30"/>
      <c r="AI56" s="30"/>
      <c r="AJ56" s="30"/>
      <c r="AK56" s="30"/>
      <c r="AL56" s="30"/>
      <c r="AM56" s="30"/>
      <c r="AN56" s="30"/>
      <c r="AO56" s="30"/>
      <c r="AP56" s="30"/>
      <c r="AQ56" s="30"/>
      <c r="AR56" s="30"/>
      <c r="AS56" s="30"/>
    </row>
    <row r="57" spans="1:45" hidden="1" x14ac:dyDescent="0.25">
      <c r="A57" s="30"/>
      <c r="B57" s="30"/>
      <c r="C57" s="30"/>
      <c r="D57" s="30"/>
      <c r="E57" s="30"/>
      <c r="F57" s="30"/>
      <c r="G57" s="30"/>
      <c r="H57" s="30"/>
      <c r="I57" s="30"/>
      <c r="J57" s="30"/>
      <c r="K57" s="30"/>
      <c r="L57" s="30"/>
      <c r="M57" s="30"/>
      <c r="N57" s="30"/>
      <c r="O57" s="30"/>
      <c r="P57" s="30"/>
      <c r="Q57" s="30"/>
      <c r="R57" s="30"/>
      <c r="S57" s="30"/>
      <c r="T57" s="30"/>
      <c r="U57" s="30" t="str">
        <v>Saccol</v>
      </c>
      <c r="V57" s="30" t="str">
        <v>Tennis</v>
      </c>
      <c r="W57" s="30" t="str">
        <v>Elite</v>
      </c>
      <c r="X57" s="30" t="str">
        <v>Boys</v>
      </c>
      <c r="Y57" s="30" t="str">
        <v>Male</v>
      </c>
      <c r="Z57" s="30" t="str">
        <v>Cybex</v>
      </c>
      <c r="AA57" s="30"/>
      <c r="AB57" s="30"/>
      <c r="AC57" s="30"/>
      <c r="AD57" s="30"/>
      <c r="AE57" s="30"/>
      <c r="AF57" s="30"/>
      <c r="AG57" s="30"/>
      <c r="AH57" s="30"/>
      <c r="AI57" s="30"/>
      <c r="AJ57" s="30"/>
      <c r="AK57" s="30"/>
      <c r="AL57" s="30"/>
      <c r="AM57" s="30"/>
      <c r="AN57" s="30"/>
      <c r="AO57" s="30"/>
      <c r="AP57" s="30"/>
      <c r="AQ57" s="30"/>
      <c r="AR57" s="30"/>
      <c r="AS57" s="30"/>
    </row>
    <row r="58" spans="1:45" hidden="1" x14ac:dyDescent="0.25">
      <c r="A58" s="30"/>
      <c r="B58" s="30"/>
      <c r="C58" s="30"/>
      <c r="D58" s="30"/>
      <c r="E58" s="30"/>
      <c r="F58" s="30"/>
      <c r="G58" s="30"/>
      <c r="H58" s="30"/>
      <c r="I58" s="30"/>
      <c r="J58" s="30"/>
      <c r="K58" s="30"/>
      <c r="L58" s="30"/>
      <c r="M58" s="30"/>
      <c r="N58" s="30"/>
      <c r="O58" s="30"/>
      <c r="P58" s="30"/>
      <c r="Q58" s="30"/>
      <c r="R58" s="30"/>
      <c r="S58" s="30"/>
      <c r="T58" s="30"/>
      <c r="U58" s="30" t="str">
        <v>Saccol</v>
      </c>
      <c r="V58" s="30" t="str">
        <v>Tennis</v>
      </c>
      <c r="W58" s="30" t="str">
        <v>Elite</v>
      </c>
      <c r="X58" s="30" t="str">
        <v>Boys</v>
      </c>
      <c r="Y58" s="30" t="str">
        <v>Male</v>
      </c>
      <c r="Z58" s="30" t="str">
        <v>Cybex</v>
      </c>
      <c r="AA58" s="30"/>
      <c r="AB58" s="30"/>
      <c r="AC58" s="30"/>
      <c r="AD58" s="30"/>
      <c r="AE58" s="30"/>
      <c r="AF58" s="30"/>
      <c r="AG58" s="30"/>
      <c r="AH58" s="30"/>
      <c r="AI58" s="30"/>
      <c r="AJ58" s="30"/>
      <c r="AK58" s="30"/>
      <c r="AL58" s="30"/>
      <c r="AM58" s="30"/>
      <c r="AN58" s="30"/>
      <c r="AO58" s="30"/>
      <c r="AP58" s="30"/>
      <c r="AQ58" s="30"/>
      <c r="AR58" s="30"/>
      <c r="AS58" s="30"/>
    </row>
    <row r="59" spans="1:45" hidden="1" x14ac:dyDescent="0.25">
      <c r="A59" s="30"/>
      <c r="B59" s="30"/>
      <c r="C59" s="30"/>
      <c r="D59" s="30"/>
      <c r="E59" s="30"/>
      <c r="F59" s="30"/>
      <c r="G59" s="30"/>
      <c r="H59" s="30"/>
      <c r="I59" s="30"/>
      <c r="J59" s="30"/>
      <c r="K59" s="30"/>
      <c r="L59" s="30"/>
      <c r="M59" s="30"/>
      <c r="N59" s="30"/>
      <c r="O59" s="30"/>
      <c r="P59" s="30"/>
      <c r="Q59" s="30"/>
      <c r="R59" s="30"/>
      <c r="S59" s="30"/>
      <c r="T59" s="30"/>
      <c r="U59" s="30" t="str">
        <v>Saccol</v>
      </c>
      <c r="V59" s="30" t="str">
        <v>Tennis</v>
      </c>
      <c r="W59" s="30" t="str">
        <v>Elite</v>
      </c>
      <c r="X59" s="30" t="str">
        <v>Boys</v>
      </c>
      <c r="Y59" s="30" t="str">
        <v>Male</v>
      </c>
      <c r="Z59" s="30" t="str">
        <v>Cybex</v>
      </c>
      <c r="AA59" s="30"/>
      <c r="AB59" s="30"/>
      <c r="AC59" s="30"/>
      <c r="AD59" s="30"/>
      <c r="AE59" s="30"/>
      <c r="AF59" s="30"/>
      <c r="AG59" s="30"/>
      <c r="AH59" s="30"/>
      <c r="AI59" s="30"/>
      <c r="AJ59" s="30"/>
      <c r="AK59" s="30"/>
      <c r="AL59" s="30"/>
      <c r="AM59" s="30"/>
      <c r="AN59" s="30"/>
      <c r="AO59" s="30"/>
      <c r="AP59" s="30"/>
      <c r="AQ59" s="30"/>
      <c r="AR59" s="30"/>
      <c r="AS59" s="30"/>
    </row>
    <row r="60" spans="1:45" hidden="1" x14ac:dyDescent="0.25">
      <c r="A60" s="30"/>
      <c r="B60" s="30"/>
      <c r="C60" s="30"/>
      <c r="D60" s="30"/>
      <c r="E60" s="30"/>
      <c r="F60" s="30"/>
      <c r="G60" s="30"/>
      <c r="H60" s="30"/>
      <c r="I60" s="30"/>
      <c r="J60" s="30"/>
      <c r="K60" s="30"/>
      <c r="L60" s="30"/>
      <c r="M60" s="30"/>
      <c r="N60" s="30"/>
      <c r="O60" s="30"/>
      <c r="P60" s="30"/>
      <c r="Q60" s="30"/>
      <c r="R60" s="30"/>
      <c r="S60" s="30"/>
      <c r="T60" s="30"/>
      <c r="U60" s="30" t="str">
        <v>Saccol</v>
      </c>
      <c r="V60" s="30" t="str">
        <v>Tennis</v>
      </c>
      <c r="W60" s="30" t="str">
        <v>Elite</v>
      </c>
      <c r="X60" s="30" t="str">
        <v>Boys</v>
      </c>
      <c r="Y60" s="30" t="str">
        <v>Male</v>
      </c>
      <c r="Z60" s="30" t="str">
        <v>Cybex</v>
      </c>
      <c r="AA60" s="30"/>
      <c r="AB60" s="30"/>
      <c r="AC60" s="30"/>
      <c r="AD60" s="30"/>
      <c r="AE60" s="30"/>
      <c r="AF60" s="30"/>
      <c r="AG60" s="30"/>
      <c r="AH60" s="30"/>
      <c r="AI60" s="30"/>
      <c r="AJ60" s="30"/>
      <c r="AK60" s="30"/>
      <c r="AL60" s="30"/>
      <c r="AM60" s="30"/>
      <c r="AN60" s="30"/>
      <c r="AO60" s="30"/>
      <c r="AP60" s="30"/>
      <c r="AQ60" s="30"/>
      <c r="AR60" s="30"/>
      <c r="AS60" s="30"/>
    </row>
    <row r="61" spans="1:45" hidden="1" x14ac:dyDescent="0.25">
      <c r="A61" s="30"/>
      <c r="B61" s="30"/>
      <c r="C61" s="30"/>
      <c r="D61" s="30"/>
      <c r="E61" s="30"/>
      <c r="F61" s="30"/>
      <c r="G61" s="30"/>
      <c r="H61" s="30"/>
      <c r="I61" s="30"/>
      <c r="J61" s="30"/>
      <c r="K61" s="30"/>
      <c r="L61" s="30"/>
      <c r="M61" s="30"/>
      <c r="N61" s="30"/>
      <c r="O61" s="30"/>
      <c r="P61" s="30"/>
      <c r="Q61" s="30"/>
      <c r="R61" s="30"/>
      <c r="S61" s="30"/>
      <c r="T61" s="30"/>
      <c r="U61" s="30" t="str">
        <v>Saccol</v>
      </c>
      <c r="V61" s="30" t="str">
        <v>Tennis</v>
      </c>
      <c r="W61" s="30" t="str">
        <v>Elite</v>
      </c>
      <c r="X61" s="30" t="str">
        <v>Girls</v>
      </c>
      <c r="Y61" s="30" t="str">
        <v>Female</v>
      </c>
      <c r="Z61" s="30" t="str">
        <v>Cybex</v>
      </c>
      <c r="AA61" s="30"/>
      <c r="AB61" s="30"/>
      <c r="AC61" s="30"/>
      <c r="AD61" s="30"/>
      <c r="AE61" s="30"/>
      <c r="AF61" s="30"/>
      <c r="AG61" s="30"/>
      <c r="AH61" s="30"/>
      <c r="AI61" s="30"/>
      <c r="AJ61" s="30"/>
      <c r="AK61" s="30"/>
      <c r="AL61" s="30"/>
      <c r="AM61" s="30"/>
      <c r="AN61" s="30"/>
      <c r="AO61" s="30"/>
      <c r="AP61" s="30"/>
      <c r="AQ61" s="30"/>
      <c r="AR61" s="30"/>
      <c r="AS61" s="30"/>
    </row>
    <row r="62" spans="1:45" hidden="1" x14ac:dyDescent="0.25">
      <c r="A62" s="30"/>
      <c r="B62" s="30"/>
      <c r="C62" s="30"/>
      <c r="D62" s="30"/>
      <c r="E62" s="30"/>
      <c r="F62" s="30"/>
      <c r="G62" s="30"/>
      <c r="H62" s="30"/>
      <c r="I62" s="30"/>
      <c r="J62" s="30"/>
      <c r="K62" s="30"/>
      <c r="L62" s="30"/>
      <c r="M62" s="30"/>
      <c r="N62" s="30"/>
      <c r="O62" s="30"/>
      <c r="P62" s="30"/>
      <c r="Q62" s="30"/>
      <c r="R62" s="30"/>
      <c r="S62" s="30"/>
      <c r="T62" s="30"/>
      <c r="U62" s="30" t="str">
        <v>Saccol</v>
      </c>
      <c r="V62" s="30" t="str">
        <v>Tennis</v>
      </c>
      <c r="W62" s="30" t="str">
        <v>Elite</v>
      </c>
      <c r="X62" s="30" t="str">
        <v>Girls</v>
      </c>
      <c r="Y62" s="30" t="str">
        <v>Female</v>
      </c>
      <c r="Z62" s="30" t="str">
        <v>Cybex</v>
      </c>
      <c r="AA62" s="30"/>
      <c r="AB62" s="30"/>
      <c r="AC62" s="30"/>
      <c r="AD62" s="30"/>
      <c r="AE62" s="30"/>
      <c r="AF62" s="30"/>
      <c r="AG62" s="30"/>
      <c r="AH62" s="30"/>
      <c r="AI62" s="30"/>
      <c r="AJ62" s="30"/>
      <c r="AK62" s="30"/>
      <c r="AL62" s="30"/>
      <c r="AM62" s="30"/>
      <c r="AN62" s="30"/>
      <c r="AO62" s="30"/>
      <c r="AP62" s="30"/>
      <c r="AQ62" s="30"/>
      <c r="AR62" s="30"/>
      <c r="AS62" s="30"/>
    </row>
    <row r="63" spans="1:45" hidden="1" x14ac:dyDescent="0.25">
      <c r="A63" s="30"/>
      <c r="B63" s="30"/>
      <c r="C63" s="30"/>
      <c r="D63" s="30"/>
      <c r="E63" s="30"/>
      <c r="F63" s="30"/>
      <c r="G63" s="30"/>
      <c r="H63" s="30"/>
      <c r="I63" s="30"/>
      <c r="J63" s="30"/>
      <c r="K63" s="30"/>
      <c r="L63" s="30"/>
      <c r="M63" s="30"/>
      <c r="N63" s="30"/>
      <c r="O63" s="30"/>
      <c r="P63" s="30"/>
      <c r="Q63" s="30"/>
      <c r="R63" s="30"/>
      <c r="S63" s="30"/>
      <c r="T63" s="30"/>
      <c r="U63" s="30" t="str">
        <v>Saccol</v>
      </c>
      <c r="V63" s="30" t="str">
        <v>Tennis</v>
      </c>
      <c r="W63" s="30" t="str">
        <v>Elite</v>
      </c>
      <c r="X63" s="30" t="str">
        <v>Girls</v>
      </c>
      <c r="Y63" s="30" t="str">
        <v>Female</v>
      </c>
      <c r="Z63" s="30" t="str">
        <v>Cybex</v>
      </c>
      <c r="AA63" s="30"/>
      <c r="AB63" s="30"/>
      <c r="AC63" s="30"/>
      <c r="AD63" s="30"/>
      <c r="AE63" s="30"/>
      <c r="AF63" s="30"/>
      <c r="AG63" s="30"/>
      <c r="AH63" s="30"/>
      <c r="AI63" s="30"/>
      <c r="AJ63" s="30"/>
      <c r="AK63" s="30"/>
      <c r="AL63" s="30"/>
      <c r="AM63" s="30"/>
      <c r="AN63" s="30"/>
      <c r="AO63" s="30"/>
      <c r="AP63" s="30"/>
      <c r="AQ63" s="30"/>
      <c r="AR63" s="30"/>
      <c r="AS63" s="30"/>
    </row>
    <row r="64" spans="1:45" hidden="1" x14ac:dyDescent="0.25">
      <c r="A64" s="30"/>
      <c r="B64" s="30"/>
      <c r="C64" s="30"/>
      <c r="D64" s="30"/>
      <c r="E64" s="30"/>
      <c r="F64" s="30"/>
      <c r="G64" s="30"/>
      <c r="H64" s="30"/>
      <c r="I64" s="30"/>
      <c r="J64" s="30"/>
      <c r="K64" s="30"/>
      <c r="L64" s="30"/>
      <c r="M64" s="30"/>
      <c r="N64" s="30"/>
      <c r="O64" s="30"/>
      <c r="P64" s="30"/>
      <c r="Q64" s="30"/>
      <c r="R64" s="30"/>
      <c r="S64" s="30"/>
      <c r="T64" s="30"/>
      <c r="U64" s="30" t="str">
        <v>Saccol</v>
      </c>
      <c r="V64" s="30" t="str">
        <v>Tennis</v>
      </c>
      <c r="W64" s="30" t="str">
        <v>Elite</v>
      </c>
      <c r="X64" s="30" t="str">
        <v>Girls</v>
      </c>
      <c r="Y64" s="30" t="str">
        <v>Female</v>
      </c>
      <c r="Z64" s="30" t="str">
        <v>Cybex</v>
      </c>
      <c r="AA64" s="30"/>
      <c r="AB64" s="30"/>
      <c r="AC64" s="30"/>
      <c r="AD64" s="30"/>
      <c r="AE64" s="30"/>
      <c r="AF64" s="30"/>
      <c r="AG64" s="30"/>
      <c r="AH64" s="30"/>
      <c r="AI64" s="30"/>
      <c r="AJ64" s="30"/>
      <c r="AK64" s="30"/>
      <c r="AL64" s="30"/>
      <c r="AM64" s="30"/>
      <c r="AN64" s="30"/>
      <c r="AO64" s="30"/>
      <c r="AP64" s="30"/>
      <c r="AQ64" s="30"/>
      <c r="AR64" s="30"/>
      <c r="AS64" s="30"/>
    </row>
    <row r="65" spans="1:45" hidden="1" x14ac:dyDescent="0.25">
      <c r="A65" s="30"/>
      <c r="B65" s="30"/>
      <c r="C65" s="30"/>
      <c r="D65" s="30"/>
      <c r="E65" s="30"/>
      <c r="F65" s="30"/>
      <c r="G65" s="30"/>
      <c r="H65" s="30"/>
      <c r="I65" s="30"/>
      <c r="J65" s="30"/>
      <c r="K65" s="30"/>
      <c r="L65" s="30"/>
      <c r="M65" s="30"/>
      <c r="N65" s="30"/>
      <c r="O65" s="30"/>
      <c r="P65" s="30"/>
      <c r="Q65" s="30"/>
      <c r="R65" s="30"/>
      <c r="S65" s="30"/>
      <c r="T65" s="30"/>
      <c r="U65" s="30" t="str">
        <v>Andrade</v>
      </c>
      <c r="V65" s="30" t="str">
        <v>Handball</v>
      </c>
      <c r="W65" s="30" t="str">
        <v>Elite</v>
      </c>
      <c r="X65" s="30" t="str">
        <v>N/A</v>
      </c>
      <c r="Y65" s="30" t="str">
        <v>Female</v>
      </c>
      <c r="Z65" s="30" t="str">
        <v>Cybex</v>
      </c>
      <c r="AA65" s="30"/>
      <c r="AB65" s="30"/>
      <c r="AC65" s="30"/>
      <c r="AD65" s="30"/>
      <c r="AE65" s="30"/>
      <c r="AF65" s="30"/>
      <c r="AG65" s="30"/>
      <c r="AH65" s="30"/>
      <c r="AI65" s="30"/>
      <c r="AJ65" s="30"/>
      <c r="AK65" s="30"/>
      <c r="AL65" s="30"/>
      <c r="AM65" s="30"/>
      <c r="AN65" s="30"/>
      <c r="AO65" s="30"/>
      <c r="AP65" s="30"/>
      <c r="AQ65" s="30"/>
      <c r="AR65" s="30"/>
      <c r="AS65" s="30"/>
    </row>
    <row r="66" spans="1:45" hidden="1" x14ac:dyDescent="0.25">
      <c r="A66" s="30"/>
      <c r="B66" s="30"/>
      <c r="C66" s="30"/>
      <c r="D66" s="30"/>
      <c r="E66" s="30"/>
      <c r="F66" s="30"/>
      <c r="G66" s="30"/>
      <c r="H66" s="30"/>
      <c r="I66" s="30"/>
      <c r="J66" s="30"/>
      <c r="K66" s="30"/>
      <c r="L66" s="30"/>
      <c r="M66" s="30"/>
      <c r="N66" s="30"/>
      <c r="O66" s="30"/>
      <c r="P66" s="30"/>
      <c r="Q66" s="30"/>
      <c r="R66" s="30"/>
      <c r="S66" s="30"/>
      <c r="T66" s="30"/>
      <c r="U66" s="30" t="str">
        <v>Andrade</v>
      </c>
      <c r="V66" s="30" t="str">
        <v>Handball</v>
      </c>
      <c r="W66" s="30" t="str">
        <v>Elite</v>
      </c>
      <c r="X66" s="30" t="str">
        <v>N/A</v>
      </c>
      <c r="Y66" s="30" t="str">
        <v>Female</v>
      </c>
      <c r="Z66" s="30" t="str">
        <v>Cybex</v>
      </c>
      <c r="AA66" s="30"/>
      <c r="AB66" s="30"/>
      <c r="AC66" s="30"/>
      <c r="AD66" s="30"/>
      <c r="AE66" s="30"/>
      <c r="AF66" s="30"/>
      <c r="AG66" s="30"/>
      <c r="AH66" s="30"/>
      <c r="AI66" s="30"/>
      <c r="AJ66" s="30"/>
      <c r="AK66" s="30"/>
      <c r="AL66" s="30"/>
      <c r="AM66" s="30"/>
      <c r="AN66" s="30"/>
      <c r="AO66" s="30"/>
      <c r="AP66" s="30"/>
      <c r="AQ66" s="30"/>
      <c r="AR66" s="30"/>
      <c r="AS66" s="30"/>
    </row>
    <row r="67" spans="1:45" hidden="1" x14ac:dyDescent="0.25">
      <c r="A67" s="30"/>
      <c r="B67" s="30"/>
      <c r="C67" s="30"/>
      <c r="D67" s="30"/>
      <c r="E67" s="30"/>
      <c r="F67" s="30"/>
      <c r="G67" s="30"/>
      <c r="H67" s="30"/>
      <c r="I67" s="30"/>
      <c r="J67" s="30"/>
      <c r="K67" s="30"/>
      <c r="L67" s="30"/>
      <c r="M67" s="30"/>
      <c r="N67" s="30"/>
      <c r="O67" s="30"/>
      <c r="P67" s="30"/>
      <c r="Q67" s="30"/>
      <c r="R67" s="30"/>
      <c r="S67" s="30"/>
      <c r="T67" s="30"/>
      <c r="U67" s="30" t="str">
        <v>Andrade</v>
      </c>
      <c r="V67" s="30" t="str">
        <v>Handball</v>
      </c>
      <c r="W67" s="30" t="str">
        <v>Elite</v>
      </c>
      <c r="X67" s="30" t="str">
        <v>N/A</v>
      </c>
      <c r="Y67" s="30" t="str">
        <v>Female</v>
      </c>
      <c r="Z67" s="30" t="str">
        <v>Cybex</v>
      </c>
      <c r="AA67" s="30"/>
      <c r="AB67" s="30"/>
      <c r="AC67" s="30"/>
      <c r="AD67" s="30"/>
      <c r="AE67" s="30"/>
      <c r="AF67" s="30"/>
      <c r="AG67" s="30"/>
      <c r="AH67" s="30"/>
      <c r="AI67" s="30"/>
      <c r="AJ67" s="30"/>
      <c r="AK67" s="30"/>
      <c r="AL67" s="30"/>
      <c r="AM67" s="30"/>
      <c r="AN67" s="30"/>
      <c r="AO67" s="30"/>
      <c r="AP67" s="30"/>
      <c r="AQ67" s="30"/>
      <c r="AR67" s="30"/>
      <c r="AS67" s="30"/>
    </row>
    <row r="68" spans="1:45" hidden="1" x14ac:dyDescent="0.25">
      <c r="A68" s="30"/>
      <c r="B68" s="30"/>
      <c r="C68" s="30"/>
      <c r="D68" s="30"/>
      <c r="E68" s="30"/>
      <c r="F68" s="30"/>
      <c r="G68" s="30"/>
      <c r="H68" s="30"/>
      <c r="I68" s="30"/>
      <c r="J68" s="30"/>
      <c r="K68" s="30"/>
      <c r="L68" s="30"/>
      <c r="M68" s="30"/>
      <c r="N68" s="30"/>
      <c r="O68" s="30"/>
      <c r="P68" s="30"/>
      <c r="Q68" s="30"/>
      <c r="R68" s="30"/>
      <c r="S68" s="30"/>
      <c r="T68" s="30"/>
      <c r="U68" s="30" t="str">
        <v>Andrade</v>
      </c>
      <c r="V68" s="30" t="str">
        <v>Handball</v>
      </c>
      <c r="W68" s="30" t="str">
        <v>Elite</v>
      </c>
      <c r="X68" s="30" t="str">
        <v>N/A</v>
      </c>
      <c r="Y68" s="30" t="str">
        <v>Female</v>
      </c>
      <c r="Z68" s="30" t="str">
        <v>Cybex</v>
      </c>
      <c r="AA68" s="30"/>
      <c r="AB68" s="30"/>
      <c r="AC68" s="30"/>
      <c r="AD68" s="30"/>
      <c r="AE68" s="30"/>
      <c r="AF68" s="30"/>
      <c r="AG68" s="30"/>
      <c r="AH68" s="30"/>
      <c r="AI68" s="30"/>
      <c r="AJ68" s="30"/>
      <c r="AK68" s="30"/>
      <c r="AL68" s="30"/>
      <c r="AM68" s="30"/>
      <c r="AN68" s="30"/>
      <c r="AO68" s="30"/>
      <c r="AP68" s="30"/>
      <c r="AQ68" s="30"/>
      <c r="AR68" s="30"/>
      <c r="AS68" s="30"/>
    </row>
    <row r="69" spans="1:45" hidden="1" x14ac:dyDescent="0.25">
      <c r="A69" s="30"/>
      <c r="B69" s="30"/>
      <c r="C69" s="30"/>
      <c r="D69" s="30"/>
      <c r="E69" s="30"/>
      <c r="F69" s="30"/>
      <c r="G69" s="30"/>
      <c r="H69" s="30"/>
      <c r="I69" s="30"/>
      <c r="J69" s="30"/>
      <c r="K69" s="30"/>
      <c r="L69" s="30"/>
      <c r="M69" s="30"/>
      <c r="N69" s="30"/>
      <c r="O69" s="30"/>
      <c r="P69" s="30"/>
      <c r="Q69" s="30"/>
      <c r="R69" s="30"/>
      <c r="S69" s="30"/>
      <c r="T69" s="30"/>
      <c r="U69" s="30" t="str">
        <v>Andrade</v>
      </c>
      <c r="V69" s="30" t="str">
        <v>Handball</v>
      </c>
      <c r="W69" s="30" t="str">
        <v>Elite</v>
      </c>
      <c r="X69" s="30" t="str">
        <v>N/A</v>
      </c>
      <c r="Y69" s="30" t="str">
        <v>Female</v>
      </c>
      <c r="Z69" s="30" t="str">
        <v>Cybex</v>
      </c>
      <c r="AA69" s="30"/>
      <c r="AB69" s="30"/>
      <c r="AC69" s="30"/>
      <c r="AD69" s="30"/>
      <c r="AE69" s="30"/>
      <c r="AF69" s="30"/>
      <c r="AG69" s="30"/>
      <c r="AH69" s="30"/>
      <c r="AI69" s="30"/>
      <c r="AJ69" s="30"/>
      <c r="AK69" s="30"/>
      <c r="AL69" s="30"/>
      <c r="AM69" s="30"/>
      <c r="AN69" s="30"/>
      <c r="AO69" s="30"/>
      <c r="AP69" s="30"/>
      <c r="AQ69" s="30"/>
      <c r="AR69" s="30"/>
      <c r="AS69" s="30"/>
    </row>
    <row r="70" spans="1:45" hidden="1" x14ac:dyDescent="0.25">
      <c r="A70" s="30"/>
      <c r="B70" s="30"/>
      <c r="C70" s="30"/>
      <c r="D70" s="30"/>
      <c r="E70" s="30"/>
      <c r="F70" s="30"/>
      <c r="G70" s="30"/>
      <c r="H70" s="30"/>
      <c r="I70" s="30"/>
      <c r="J70" s="30"/>
      <c r="K70" s="30"/>
      <c r="L70" s="30"/>
      <c r="M70" s="30"/>
      <c r="N70" s="30"/>
      <c r="O70" s="30"/>
      <c r="P70" s="30"/>
      <c r="Q70" s="30"/>
      <c r="R70" s="30"/>
      <c r="S70" s="30"/>
      <c r="T70" s="30"/>
      <c r="U70" s="30" t="str">
        <v>Andrade</v>
      </c>
      <c r="V70" s="30" t="str">
        <v>Handball</v>
      </c>
      <c r="W70" s="30" t="str">
        <v>Elite</v>
      </c>
      <c r="X70" s="30" t="str">
        <v>N/A</v>
      </c>
      <c r="Y70" s="30" t="str">
        <v>Female</v>
      </c>
      <c r="Z70" s="30" t="str">
        <v>Cybex</v>
      </c>
      <c r="AA70" s="30"/>
      <c r="AB70" s="30"/>
      <c r="AC70" s="30"/>
      <c r="AD70" s="30"/>
      <c r="AE70" s="30"/>
      <c r="AF70" s="30"/>
      <c r="AG70" s="30"/>
      <c r="AH70" s="30"/>
      <c r="AI70" s="30"/>
      <c r="AJ70" s="30"/>
      <c r="AK70" s="30"/>
      <c r="AL70" s="30"/>
      <c r="AM70" s="30"/>
      <c r="AN70" s="30"/>
      <c r="AO70" s="30"/>
      <c r="AP70" s="30"/>
      <c r="AQ70" s="30"/>
      <c r="AR70" s="30"/>
      <c r="AS70" s="30"/>
    </row>
    <row r="71" spans="1:45" hidden="1" x14ac:dyDescent="0.25">
      <c r="A71" s="30"/>
      <c r="B71" s="30"/>
      <c r="C71" s="30"/>
      <c r="D71" s="30"/>
      <c r="E71" s="30"/>
      <c r="F71" s="30"/>
      <c r="G71" s="30"/>
      <c r="H71" s="30"/>
      <c r="I71" s="30"/>
      <c r="J71" s="30"/>
      <c r="K71" s="30"/>
      <c r="L71" s="30"/>
      <c r="M71" s="30"/>
      <c r="N71" s="30"/>
      <c r="O71" s="30"/>
      <c r="P71" s="30"/>
      <c r="Q71" s="30"/>
      <c r="R71" s="30"/>
      <c r="S71" s="30"/>
      <c r="T71" s="30"/>
      <c r="U71" s="30" t="str">
        <v>Andrade</v>
      </c>
      <c r="V71" s="30" t="str">
        <v>Handball</v>
      </c>
      <c r="W71" s="30" t="str">
        <v>Elite</v>
      </c>
      <c r="X71" s="30" t="str">
        <v>N/A</v>
      </c>
      <c r="Y71" s="30" t="str">
        <v>Female</v>
      </c>
      <c r="Z71" s="30" t="str">
        <v>Cybex</v>
      </c>
      <c r="AA71" s="30"/>
      <c r="AB71" s="30"/>
      <c r="AC71" s="30"/>
      <c r="AD71" s="30"/>
      <c r="AE71" s="30"/>
      <c r="AF71" s="30"/>
      <c r="AG71" s="30"/>
      <c r="AH71" s="30"/>
      <c r="AI71" s="30"/>
      <c r="AJ71" s="30"/>
      <c r="AK71" s="30"/>
      <c r="AL71" s="30"/>
      <c r="AM71" s="30"/>
      <c r="AN71" s="30"/>
      <c r="AO71" s="30"/>
      <c r="AP71" s="30"/>
      <c r="AQ71" s="30"/>
      <c r="AR71" s="30"/>
      <c r="AS71" s="30"/>
    </row>
    <row r="72" spans="1:45" hidden="1" x14ac:dyDescent="0.25">
      <c r="A72" s="30"/>
      <c r="B72" s="30"/>
      <c r="C72" s="30"/>
      <c r="D72" s="30"/>
      <c r="E72" s="30"/>
      <c r="F72" s="30"/>
      <c r="G72" s="30"/>
      <c r="H72" s="30"/>
      <c r="I72" s="30"/>
      <c r="J72" s="30"/>
      <c r="K72" s="30"/>
      <c r="L72" s="30"/>
      <c r="M72" s="30"/>
      <c r="N72" s="30"/>
      <c r="O72" s="30"/>
      <c r="P72" s="30"/>
      <c r="Q72" s="30"/>
      <c r="R72" s="30"/>
      <c r="S72" s="30"/>
      <c r="T72" s="30"/>
      <c r="U72" s="30" t="str">
        <v>Andrade</v>
      </c>
      <c r="V72" s="30" t="str">
        <v>Handball</v>
      </c>
      <c r="W72" s="30" t="str">
        <v>Elite</v>
      </c>
      <c r="X72" s="30" t="str">
        <v>N/A</v>
      </c>
      <c r="Y72" s="30" t="str">
        <v>Female</v>
      </c>
      <c r="Z72" s="30" t="str">
        <v>Cybex</v>
      </c>
      <c r="AA72" s="30"/>
      <c r="AB72" s="30"/>
      <c r="AC72" s="30"/>
      <c r="AD72" s="30"/>
      <c r="AE72" s="30"/>
      <c r="AF72" s="30"/>
      <c r="AG72" s="30"/>
      <c r="AH72" s="30"/>
      <c r="AI72" s="30"/>
      <c r="AJ72" s="30"/>
      <c r="AK72" s="30"/>
      <c r="AL72" s="30"/>
      <c r="AM72" s="30"/>
      <c r="AN72" s="30"/>
      <c r="AO72" s="30"/>
      <c r="AP72" s="30"/>
      <c r="AQ72" s="30"/>
      <c r="AR72" s="30"/>
      <c r="AS72" s="30"/>
    </row>
    <row r="73" spans="1:45" hidden="1" x14ac:dyDescent="0.25">
      <c r="A73" s="30"/>
      <c r="B73" s="30"/>
      <c r="C73" s="30"/>
      <c r="D73" s="30"/>
      <c r="E73" s="30"/>
      <c r="F73" s="30"/>
      <c r="G73" s="30"/>
      <c r="H73" s="30"/>
      <c r="I73" s="30"/>
      <c r="J73" s="30"/>
      <c r="K73" s="30"/>
      <c r="L73" s="30"/>
      <c r="M73" s="30"/>
      <c r="N73" s="30"/>
      <c r="O73" s="30"/>
      <c r="P73" s="30"/>
      <c r="Q73" s="30"/>
      <c r="R73" s="30"/>
      <c r="S73" s="30"/>
      <c r="T73" s="30"/>
      <c r="U73" s="30" t="str">
        <v>Andrade</v>
      </c>
      <c r="V73" s="30" t="str">
        <v>Handball</v>
      </c>
      <c r="W73" s="30" t="str">
        <v>Elite</v>
      </c>
      <c r="X73" s="30" t="str">
        <v>N/A</v>
      </c>
      <c r="Y73" s="30" t="str">
        <v>Female</v>
      </c>
      <c r="Z73" s="30" t="str">
        <v>Cybex</v>
      </c>
      <c r="AA73" s="30"/>
      <c r="AB73" s="30"/>
      <c r="AC73" s="30"/>
      <c r="AD73" s="30"/>
      <c r="AE73" s="30"/>
      <c r="AF73" s="30"/>
      <c r="AG73" s="30"/>
      <c r="AH73" s="30"/>
      <c r="AI73" s="30"/>
      <c r="AJ73" s="30"/>
      <c r="AK73" s="30"/>
      <c r="AL73" s="30"/>
      <c r="AM73" s="30"/>
      <c r="AN73" s="30"/>
      <c r="AO73" s="30"/>
      <c r="AP73" s="30"/>
      <c r="AQ73" s="30"/>
      <c r="AR73" s="30"/>
      <c r="AS73" s="30"/>
    </row>
    <row r="74" spans="1:45" hidden="1" x14ac:dyDescent="0.25">
      <c r="A74" s="30"/>
      <c r="B74" s="30"/>
      <c r="C74" s="30"/>
      <c r="D74" s="30"/>
      <c r="E74" s="30"/>
      <c r="F74" s="30"/>
      <c r="G74" s="30"/>
      <c r="H74" s="30"/>
      <c r="I74" s="30"/>
      <c r="J74" s="30"/>
      <c r="K74" s="30"/>
      <c r="L74" s="30"/>
      <c r="M74" s="30"/>
      <c r="N74" s="30"/>
      <c r="O74" s="30"/>
      <c r="P74" s="30"/>
      <c r="Q74" s="30"/>
      <c r="R74" s="30"/>
      <c r="S74" s="30"/>
      <c r="T74" s="30"/>
      <c r="U74" s="30" t="str">
        <v>Andrade</v>
      </c>
      <c r="V74" s="30" t="str">
        <v>Handball</v>
      </c>
      <c r="W74" s="30" t="str">
        <v>Elite</v>
      </c>
      <c r="X74" s="30" t="str">
        <v>N/A</v>
      </c>
      <c r="Y74" s="30" t="str">
        <v>Female</v>
      </c>
      <c r="Z74" s="30" t="str">
        <v>Cybex</v>
      </c>
      <c r="AA74" s="30"/>
      <c r="AB74" s="30"/>
      <c r="AC74" s="30"/>
      <c r="AD74" s="30"/>
      <c r="AE74" s="30"/>
      <c r="AF74" s="30"/>
      <c r="AG74" s="30"/>
      <c r="AH74" s="30"/>
      <c r="AI74" s="30"/>
      <c r="AJ74" s="30"/>
      <c r="AK74" s="30"/>
      <c r="AL74" s="30"/>
      <c r="AM74" s="30"/>
      <c r="AN74" s="30"/>
      <c r="AO74" s="30"/>
      <c r="AP74" s="30"/>
      <c r="AQ74" s="30"/>
      <c r="AR74" s="30"/>
      <c r="AS74" s="30"/>
    </row>
    <row r="75" spans="1:45" hidden="1" x14ac:dyDescent="0.25">
      <c r="A75" s="30"/>
      <c r="B75" s="30"/>
      <c r="C75" s="30"/>
      <c r="D75" s="30"/>
      <c r="E75" s="30"/>
      <c r="F75" s="30"/>
      <c r="G75" s="30"/>
      <c r="H75" s="30"/>
      <c r="I75" s="30"/>
      <c r="J75" s="30"/>
      <c r="K75" s="30"/>
      <c r="L75" s="30"/>
      <c r="M75" s="30"/>
      <c r="N75" s="30"/>
      <c r="O75" s="30"/>
      <c r="P75" s="30"/>
      <c r="Q75" s="30"/>
      <c r="R75" s="30"/>
      <c r="S75" s="30"/>
      <c r="T75" s="30"/>
      <c r="U75" s="30" t="str">
        <v>Batalha</v>
      </c>
      <c r="V75" s="30" t="str">
        <v>Swimming</v>
      </c>
      <c r="W75" s="30" t="str">
        <v>Adolescent</v>
      </c>
      <c r="X75" s="30" t="str">
        <v>Swimmers</v>
      </c>
      <c r="Y75" s="30" t="str">
        <v>Male</v>
      </c>
      <c r="Z75" s="30" t="str">
        <v>Biodex</v>
      </c>
      <c r="AA75" s="30"/>
      <c r="AB75" s="30"/>
      <c r="AC75" s="30"/>
      <c r="AD75" s="30"/>
      <c r="AE75" s="30"/>
      <c r="AF75" s="30"/>
      <c r="AG75" s="30"/>
      <c r="AH75" s="30"/>
      <c r="AI75" s="30"/>
      <c r="AJ75" s="30"/>
      <c r="AK75" s="30"/>
      <c r="AL75" s="30"/>
      <c r="AM75" s="30"/>
      <c r="AN75" s="30"/>
      <c r="AO75" s="30"/>
      <c r="AP75" s="30"/>
      <c r="AQ75" s="30"/>
      <c r="AR75" s="30"/>
      <c r="AS75" s="30"/>
    </row>
    <row r="76" spans="1:45" hidden="1" x14ac:dyDescent="0.25">
      <c r="A76" s="30"/>
      <c r="B76" s="30"/>
      <c r="C76" s="30"/>
      <c r="D76" s="30"/>
      <c r="E76" s="30"/>
      <c r="F76" s="30"/>
      <c r="G76" s="30"/>
      <c r="H76" s="30"/>
      <c r="I76" s="30"/>
      <c r="J76" s="30"/>
      <c r="K76" s="30"/>
      <c r="L76" s="30"/>
      <c r="M76" s="30"/>
      <c r="N76" s="30"/>
      <c r="O76" s="30"/>
      <c r="P76" s="30"/>
      <c r="Q76" s="30"/>
      <c r="R76" s="30"/>
      <c r="S76" s="30"/>
      <c r="T76" s="30"/>
      <c r="U76" s="30" t="str">
        <v>Batalha</v>
      </c>
      <c r="V76" s="30" t="str">
        <v>Swimming</v>
      </c>
      <c r="W76" s="30" t="str">
        <v>Adolescent</v>
      </c>
      <c r="X76" s="30" t="str">
        <v>Controls</v>
      </c>
      <c r="Y76" s="30" t="str">
        <v>Male</v>
      </c>
      <c r="Z76" s="30" t="str">
        <v>Biodex</v>
      </c>
      <c r="AA76" s="30"/>
      <c r="AB76" s="30"/>
      <c r="AC76" s="30"/>
      <c r="AD76" s="30"/>
      <c r="AE76" s="30"/>
      <c r="AF76" s="30"/>
      <c r="AG76" s="30"/>
      <c r="AH76" s="30"/>
      <c r="AI76" s="30"/>
      <c r="AJ76" s="30"/>
      <c r="AK76" s="30"/>
      <c r="AL76" s="30"/>
      <c r="AM76" s="30"/>
      <c r="AN76" s="30"/>
      <c r="AO76" s="30"/>
      <c r="AP76" s="30"/>
      <c r="AQ76" s="30"/>
      <c r="AR76" s="30"/>
      <c r="AS76" s="30"/>
    </row>
    <row r="77" spans="1:45" hidden="1" x14ac:dyDescent="0.25">
      <c r="A77" s="30"/>
      <c r="B77" s="30"/>
      <c r="C77" s="30"/>
      <c r="D77" s="30"/>
      <c r="E77" s="30"/>
      <c r="F77" s="30"/>
      <c r="G77" s="30"/>
      <c r="H77" s="30"/>
      <c r="I77" s="30"/>
      <c r="J77" s="30"/>
      <c r="K77" s="30"/>
      <c r="L77" s="30"/>
      <c r="M77" s="30"/>
      <c r="N77" s="30"/>
      <c r="O77" s="30"/>
      <c r="P77" s="30"/>
      <c r="Q77" s="30"/>
      <c r="R77" s="30"/>
      <c r="S77" s="30"/>
      <c r="T77" s="30"/>
      <c r="U77" s="30" t="str">
        <v>Batalha</v>
      </c>
      <c r="V77" s="30" t="str">
        <v>Swimming</v>
      </c>
      <c r="W77" s="30" t="str">
        <v>Adolescent</v>
      </c>
      <c r="X77" s="30" t="str">
        <v>Swimmers</v>
      </c>
      <c r="Y77" s="30" t="str">
        <v>Male</v>
      </c>
      <c r="Z77" s="30" t="str">
        <v>Biodex</v>
      </c>
      <c r="AA77" s="30"/>
      <c r="AB77" s="30"/>
      <c r="AC77" s="30"/>
      <c r="AD77" s="30"/>
      <c r="AE77" s="30"/>
      <c r="AF77" s="30"/>
      <c r="AG77" s="30"/>
      <c r="AH77" s="30"/>
      <c r="AI77" s="30"/>
      <c r="AJ77" s="30"/>
      <c r="AK77" s="30"/>
      <c r="AL77" s="30"/>
      <c r="AM77" s="30"/>
      <c r="AN77" s="30"/>
      <c r="AO77" s="30"/>
      <c r="AP77" s="30"/>
      <c r="AQ77" s="30"/>
      <c r="AR77" s="30"/>
      <c r="AS77" s="30"/>
    </row>
    <row r="78" spans="1:45" hidden="1" x14ac:dyDescent="0.25">
      <c r="A78" s="30"/>
      <c r="B78" s="30"/>
      <c r="C78" s="30"/>
      <c r="D78" s="30"/>
      <c r="E78" s="30"/>
      <c r="F78" s="30"/>
      <c r="G78" s="30"/>
      <c r="H78" s="30"/>
      <c r="I78" s="30"/>
      <c r="J78" s="30"/>
      <c r="K78" s="30"/>
      <c r="L78" s="30"/>
      <c r="M78" s="30"/>
      <c r="N78" s="30"/>
      <c r="O78" s="30"/>
      <c r="P78" s="30"/>
      <c r="Q78" s="30"/>
      <c r="R78" s="30"/>
      <c r="S78" s="30"/>
      <c r="T78" s="30"/>
      <c r="U78" s="30" t="str">
        <v>Batalha</v>
      </c>
      <c r="V78" s="30" t="str">
        <v>Swimming</v>
      </c>
      <c r="W78" s="30" t="str">
        <v>Adolescent</v>
      </c>
      <c r="X78" s="30" t="str">
        <v>Controls</v>
      </c>
      <c r="Y78" s="30" t="str">
        <v>Male</v>
      </c>
      <c r="Z78" s="30" t="str">
        <v>Biodex</v>
      </c>
      <c r="AA78" s="30"/>
      <c r="AB78" s="30"/>
      <c r="AC78" s="30"/>
      <c r="AD78" s="30"/>
      <c r="AE78" s="30"/>
      <c r="AF78" s="30"/>
      <c r="AG78" s="30"/>
      <c r="AH78" s="30"/>
      <c r="AI78" s="30"/>
      <c r="AJ78" s="30"/>
      <c r="AK78" s="30"/>
      <c r="AL78" s="30"/>
      <c r="AM78" s="30"/>
      <c r="AN78" s="30"/>
      <c r="AO78" s="30"/>
      <c r="AP78" s="30"/>
      <c r="AQ78" s="30"/>
      <c r="AR78" s="30"/>
      <c r="AS78" s="30"/>
    </row>
    <row r="79" spans="1:45" hidden="1" x14ac:dyDescent="0.25">
      <c r="A79" s="30"/>
      <c r="B79" s="30"/>
      <c r="C79" s="30"/>
      <c r="D79" s="30"/>
      <c r="E79" s="30"/>
      <c r="F79" s="30"/>
      <c r="G79" s="30"/>
      <c r="H79" s="30"/>
      <c r="I79" s="30"/>
      <c r="J79" s="30"/>
      <c r="K79" s="30"/>
      <c r="L79" s="30"/>
      <c r="M79" s="30"/>
      <c r="N79" s="30"/>
      <c r="O79" s="30"/>
      <c r="P79" s="30"/>
      <c r="Q79" s="30"/>
      <c r="R79" s="30"/>
      <c r="S79" s="30"/>
      <c r="T79" s="30"/>
      <c r="U79" s="30" t="str">
        <v>Batalha</v>
      </c>
      <c r="V79" s="30" t="str">
        <v>Swimming</v>
      </c>
      <c r="W79" s="30" t="str">
        <v>Adolescent</v>
      </c>
      <c r="X79" s="30" t="str">
        <v>Swimmers</v>
      </c>
      <c r="Y79" s="30" t="str">
        <v>Male</v>
      </c>
      <c r="Z79" s="30" t="str">
        <v>Biodex</v>
      </c>
      <c r="AA79" s="30"/>
      <c r="AB79" s="30"/>
      <c r="AC79" s="30"/>
      <c r="AD79" s="30"/>
      <c r="AE79" s="30"/>
      <c r="AF79" s="30"/>
      <c r="AG79" s="30"/>
      <c r="AH79" s="30"/>
      <c r="AI79" s="30"/>
      <c r="AJ79" s="30"/>
      <c r="AK79" s="30"/>
      <c r="AL79" s="30"/>
      <c r="AM79" s="30"/>
      <c r="AN79" s="30"/>
      <c r="AO79" s="30"/>
      <c r="AP79" s="30"/>
      <c r="AQ79" s="30"/>
      <c r="AR79" s="30"/>
      <c r="AS79" s="30"/>
    </row>
    <row r="80" spans="1:45" hidden="1" x14ac:dyDescent="0.25">
      <c r="A80" s="30"/>
      <c r="B80" s="30"/>
      <c r="C80" s="30"/>
      <c r="D80" s="30"/>
      <c r="E80" s="30"/>
      <c r="F80" s="30"/>
      <c r="G80" s="30"/>
      <c r="H80" s="30"/>
      <c r="I80" s="30"/>
      <c r="J80" s="30"/>
      <c r="K80" s="30"/>
      <c r="L80" s="30"/>
      <c r="M80" s="30"/>
      <c r="N80" s="30"/>
      <c r="O80" s="30"/>
      <c r="P80" s="30"/>
      <c r="Q80" s="30"/>
      <c r="R80" s="30"/>
      <c r="S80" s="30"/>
      <c r="T80" s="30"/>
      <c r="U80" s="30" t="str">
        <v>Batalha</v>
      </c>
      <c r="V80" s="30" t="str">
        <v>Swimming</v>
      </c>
      <c r="W80" s="30" t="str">
        <v>Adolescent</v>
      </c>
      <c r="X80" s="30" t="str">
        <v>Controls</v>
      </c>
      <c r="Y80" s="30" t="str">
        <v>Male</v>
      </c>
      <c r="Z80" s="30" t="str">
        <v>Biodex</v>
      </c>
      <c r="AA80" s="30"/>
      <c r="AB80" s="30"/>
      <c r="AC80" s="30"/>
      <c r="AD80" s="30"/>
      <c r="AE80" s="30"/>
      <c r="AF80" s="30"/>
      <c r="AG80" s="30"/>
      <c r="AH80" s="30"/>
      <c r="AI80" s="30"/>
      <c r="AJ80" s="30"/>
      <c r="AK80" s="30"/>
      <c r="AL80" s="30"/>
      <c r="AM80" s="30"/>
      <c r="AN80" s="30"/>
      <c r="AO80" s="30"/>
      <c r="AP80" s="30"/>
      <c r="AQ80" s="30"/>
      <c r="AR80" s="30"/>
      <c r="AS80" s="30"/>
    </row>
    <row r="81" spans="1:45" hidden="1" x14ac:dyDescent="0.25">
      <c r="A81" s="30"/>
      <c r="B81" s="30"/>
      <c r="C81" s="30"/>
      <c r="D81" s="30"/>
      <c r="E81" s="30"/>
      <c r="F81" s="30"/>
      <c r="G81" s="30"/>
      <c r="H81" s="30"/>
      <c r="I81" s="30"/>
      <c r="J81" s="30"/>
      <c r="K81" s="30"/>
      <c r="L81" s="30"/>
      <c r="M81" s="30"/>
      <c r="N81" s="30"/>
      <c r="O81" s="30"/>
      <c r="P81" s="30"/>
      <c r="Q81" s="30"/>
      <c r="R81" s="30"/>
      <c r="S81" s="30"/>
      <c r="T81" s="30"/>
      <c r="U81" s="30" t="str">
        <v>Batalha</v>
      </c>
      <c r="V81" s="30" t="str">
        <v>Swimming</v>
      </c>
      <c r="W81" s="30" t="str">
        <v>Adolescent</v>
      </c>
      <c r="X81" s="30" t="str">
        <v>Swimmers</v>
      </c>
      <c r="Y81" s="30" t="str">
        <v>Male</v>
      </c>
      <c r="Z81" s="30" t="str">
        <v>Biodex</v>
      </c>
      <c r="AA81" s="30"/>
      <c r="AB81" s="30"/>
      <c r="AC81" s="30"/>
      <c r="AD81" s="30"/>
      <c r="AE81" s="30"/>
      <c r="AF81" s="30"/>
      <c r="AG81" s="30"/>
      <c r="AH81" s="30"/>
      <c r="AI81" s="30"/>
      <c r="AJ81" s="30"/>
      <c r="AK81" s="30"/>
      <c r="AL81" s="30"/>
      <c r="AM81" s="30"/>
      <c r="AN81" s="30"/>
      <c r="AO81" s="30"/>
      <c r="AP81" s="30"/>
      <c r="AQ81" s="30"/>
      <c r="AR81" s="30"/>
      <c r="AS81" s="30"/>
    </row>
    <row r="82" spans="1:45" hidden="1" x14ac:dyDescent="0.25">
      <c r="A82" s="30"/>
      <c r="B82" s="30"/>
      <c r="C82" s="30"/>
      <c r="D82" s="30"/>
      <c r="E82" s="30"/>
      <c r="F82" s="30"/>
      <c r="G82" s="30"/>
      <c r="H82" s="30"/>
      <c r="I82" s="30"/>
      <c r="J82" s="30"/>
      <c r="K82" s="30"/>
      <c r="L82" s="30"/>
      <c r="M82" s="30"/>
      <c r="N82" s="30"/>
      <c r="O82" s="30"/>
      <c r="P82" s="30"/>
      <c r="Q82" s="30"/>
      <c r="R82" s="30"/>
      <c r="S82" s="30"/>
      <c r="T82" s="30"/>
      <c r="U82" s="30" t="str">
        <v>Batalha</v>
      </c>
      <c r="V82" s="30" t="str">
        <v>Swimming</v>
      </c>
      <c r="W82" s="30" t="str">
        <v>Adolescent</v>
      </c>
      <c r="X82" s="30" t="str">
        <v>Controls</v>
      </c>
      <c r="Y82" s="30" t="str">
        <v>Male</v>
      </c>
      <c r="Z82" s="30" t="str">
        <v>Biodex</v>
      </c>
      <c r="AA82" s="30"/>
      <c r="AB82" s="30"/>
      <c r="AC82" s="30"/>
      <c r="AD82" s="30"/>
      <c r="AE82" s="30"/>
      <c r="AF82" s="30"/>
      <c r="AG82" s="30"/>
      <c r="AH82" s="30"/>
      <c r="AI82" s="30"/>
      <c r="AJ82" s="30"/>
      <c r="AK82" s="30"/>
      <c r="AL82" s="30"/>
      <c r="AM82" s="30"/>
      <c r="AN82" s="30"/>
      <c r="AO82" s="30"/>
      <c r="AP82" s="30"/>
      <c r="AQ82" s="30"/>
      <c r="AR82" s="30"/>
      <c r="AS82" s="30"/>
    </row>
    <row r="83" spans="1:45" hidden="1" x14ac:dyDescent="0.25">
      <c r="A83" s="30"/>
      <c r="B83" s="30"/>
      <c r="C83" s="30"/>
      <c r="D83" s="30"/>
      <c r="E83" s="30"/>
      <c r="F83" s="30"/>
      <c r="G83" s="30"/>
      <c r="H83" s="30"/>
      <c r="I83" s="30"/>
      <c r="J83" s="30"/>
      <c r="K83" s="30"/>
      <c r="L83" s="30"/>
      <c r="M83" s="30"/>
      <c r="N83" s="30"/>
      <c r="O83" s="30"/>
      <c r="P83" s="30"/>
      <c r="Q83" s="30"/>
      <c r="R83" s="30"/>
      <c r="S83" s="30"/>
      <c r="T83" s="30"/>
      <c r="U83" s="30" t="str">
        <v>Andrade</v>
      </c>
      <c r="V83" s="30" t="str">
        <v>Handball</v>
      </c>
      <c r="W83" s="30" t="str">
        <v>Professional</v>
      </c>
      <c r="X83" s="30" t="str">
        <v>N/A</v>
      </c>
      <c r="Y83" s="30" t="str">
        <v>Female</v>
      </c>
      <c r="Z83" s="30" t="str">
        <v>Biodex</v>
      </c>
      <c r="AA83" s="30"/>
      <c r="AB83" s="30"/>
      <c r="AC83" s="30"/>
      <c r="AD83" s="30"/>
      <c r="AE83" s="30"/>
      <c r="AF83" s="30"/>
      <c r="AG83" s="30"/>
      <c r="AH83" s="30"/>
      <c r="AI83" s="30"/>
      <c r="AJ83" s="30"/>
      <c r="AK83" s="30"/>
      <c r="AL83" s="30"/>
      <c r="AM83" s="30"/>
      <c r="AN83" s="30"/>
      <c r="AO83" s="30"/>
      <c r="AP83" s="30"/>
      <c r="AQ83" s="30"/>
      <c r="AR83" s="30"/>
      <c r="AS83" s="30"/>
    </row>
    <row r="84" spans="1:45" hidden="1" x14ac:dyDescent="0.25">
      <c r="A84" s="30"/>
      <c r="B84" s="30"/>
      <c r="C84" s="30"/>
      <c r="D84" s="30"/>
      <c r="E84" s="30"/>
      <c r="F84" s="30"/>
      <c r="G84" s="30"/>
      <c r="H84" s="30"/>
      <c r="I84" s="30"/>
      <c r="J84" s="30"/>
      <c r="K84" s="30"/>
      <c r="L84" s="30"/>
      <c r="M84" s="30"/>
      <c r="N84" s="30"/>
      <c r="O84" s="30"/>
      <c r="P84" s="30"/>
      <c r="Q84" s="30"/>
      <c r="R84" s="30"/>
      <c r="S84" s="30"/>
      <c r="T84" s="30"/>
      <c r="U84" s="30" t="str">
        <v>Andrade</v>
      </c>
      <c r="V84" s="30" t="str">
        <v>Handball</v>
      </c>
      <c r="W84" s="30" t="str">
        <v>Professional</v>
      </c>
      <c r="X84" s="30" t="str">
        <v>N/A</v>
      </c>
      <c r="Y84" s="30" t="str">
        <v>Female</v>
      </c>
      <c r="Z84" s="30" t="str">
        <v>Biodex</v>
      </c>
      <c r="AA84" s="30"/>
      <c r="AB84" s="30"/>
      <c r="AC84" s="30"/>
      <c r="AD84" s="30"/>
      <c r="AE84" s="30"/>
      <c r="AF84" s="30"/>
      <c r="AG84" s="30"/>
      <c r="AH84" s="30"/>
      <c r="AI84" s="30"/>
      <c r="AJ84" s="30"/>
      <c r="AK84" s="30"/>
      <c r="AL84" s="30"/>
      <c r="AM84" s="30"/>
      <c r="AN84" s="30"/>
      <c r="AO84" s="30"/>
      <c r="AP84" s="30"/>
      <c r="AQ84" s="30"/>
      <c r="AR84" s="30"/>
      <c r="AS84" s="30"/>
    </row>
    <row r="85" spans="1:45" hidden="1" x14ac:dyDescent="0.25">
      <c r="A85" s="30"/>
      <c r="B85" s="30"/>
      <c r="C85" s="30"/>
      <c r="D85" s="30"/>
      <c r="E85" s="30"/>
      <c r="F85" s="30"/>
      <c r="G85" s="30"/>
      <c r="H85" s="30"/>
      <c r="I85" s="30"/>
      <c r="J85" s="30"/>
      <c r="K85" s="30"/>
      <c r="L85" s="30"/>
      <c r="M85" s="30"/>
      <c r="N85" s="30"/>
      <c r="O85" s="30"/>
      <c r="P85" s="30"/>
      <c r="Q85" s="30"/>
      <c r="R85" s="30"/>
      <c r="S85" s="30"/>
      <c r="T85" s="30"/>
      <c r="U85" s="30" t="str">
        <v>Mulligan</v>
      </c>
      <c r="V85" s="30" t="str">
        <v>Baseball</v>
      </c>
      <c r="W85" s="30" t="str">
        <v>Adolescent</v>
      </c>
      <c r="X85" s="30" t="str">
        <v>Pitchers</v>
      </c>
      <c r="Y85" s="30" t="str">
        <v>Male</v>
      </c>
      <c r="Z85" s="30" t="str">
        <v>Biodex</v>
      </c>
      <c r="AA85" s="30"/>
      <c r="AB85" s="30"/>
      <c r="AC85" s="30"/>
      <c r="AD85" s="30"/>
      <c r="AE85" s="30"/>
      <c r="AF85" s="30"/>
      <c r="AG85" s="30"/>
      <c r="AH85" s="30"/>
      <c r="AI85" s="30"/>
      <c r="AJ85" s="30"/>
      <c r="AK85" s="30"/>
      <c r="AL85" s="30"/>
      <c r="AM85" s="30"/>
      <c r="AN85" s="30"/>
      <c r="AO85" s="30"/>
      <c r="AP85" s="30"/>
      <c r="AQ85" s="30"/>
      <c r="AR85" s="30"/>
      <c r="AS85" s="30"/>
    </row>
    <row r="86" spans="1:45" hidden="1" x14ac:dyDescent="0.25">
      <c r="A86" s="30"/>
      <c r="B86" s="30"/>
      <c r="C86" s="30"/>
      <c r="D86" s="30"/>
      <c r="E86" s="30"/>
      <c r="F86" s="30"/>
      <c r="G86" s="30"/>
      <c r="H86" s="30"/>
      <c r="I86" s="30"/>
      <c r="J86" s="30"/>
      <c r="K86" s="30"/>
      <c r="L86" s="30"/>
      <c r="M86" s="30"/>
      <c r="N86" s="30"/>
      <c r="O86" s="30"/>
      <c r="P86" s="30"/>
      <c r="Q86" s="30"/>
      <c r="R86" s="30"/>
      <c r="S86" s="30"/>
      <c r="T86" s="30"/>
      <c r="U86" s="30" t="str">
        <v>Mulligan</v>
      </c>
      <c r="V86" s="30" t="str">
        <v>Baseball</v>
      </c>
      <c r="W86" s="30" t="str">
        <v>Adolescent</v>
      </c>
      <c r="X86" s="30" t="str">
        <v>Pitchers</v>
      </c>
      <c r="Y86" s="30" t="str">
        <v>Male</v>
      </c>
      <c r="Z86" s="30" t="str">
        <v>Biodex</v>
      </c>
      <c r="AA86" s="30"/>
      <c r="AB86" s="30"/>
      <c r="AC86" s="30"/>
      <c r="AD86" s="30"/>
      <c r="AE86" s="30"/>
      <c r="AF86" s="30"/>
      <c r="AG86" s="30"/>
      <c r="AH86" s="30"/>
      <c r="AI86" s="30"/>
      <c r="AJ86" s="30"/>
      <c r="AK86" s="30"/>
      <c r="AL86" s="30"/>
      <c r="AM86" s="30"/>
      <c r="AN86" s="30"/>
      <c r="AO86" s="30"/>
      <c r="AP86" s="30"/>
      <c r="AQ86" s="30"/>
      <c r="AR86" s="30"/>
      <c r="AS86" s="30"/>
    </row>
    <row r="87" spans="1:45" hidden="1" x14ac:dyDescent="0.25">
      <c r="A87" s="30"/>
      <c r="B87" s="30"/>
      <c r="C87" s="30"/>
      <c r="D87" s="30"/>
      <c r="E87" s="30"/>
      <c r="F87" s="30"/>
      <c r="G87" s="30"/>
      <c r="H87" s="30"/>
      <c r="I87" s="30"/>
      <c r="J87" s="30"/>
      <c r="K87" s="30"/>
      <c r="L87" s="30"/>
      <c r="M87" s="30"/>
      <c r="N87" s="30"/>
      <c r="O87" s="30"/>
      <c r="P87" s="30"/>
      <c r="Q87" s="30"/>
      <c r="R87" s="30"/>
      <c r="S87" s="30"/>
      <c r="T87" s="30"/>
      <c r="U87" s="30" t="str">
        <v>Mulligan</v>
      </c>
      <c r="V87" s="30" t="str">
        <v>Baseball</v>
      </c>
      <c r="W87" s="30" t="str">
        <v>Adolescent</v>
      </c>
      <c r="X87" s="30" t="str">
        <v>Pitchers</v>
      </c>
      <c r="Y87" s="30" t="str">
        <v>Male</v>
      </c>
      <c r="Z87" s="30" t="str">
        <v>Biodex</v>
      </c>
      <c r="AA87" s="30"/>
      <c r="AB87" s="30"/>
      <c r="AC87" s="30"/>
      <c r="AD87" s="30"/>
      <c r="AE87" s="30"/>
      <c r="AF87" s="30"/>
      <c r="AG87" s="30"/>
      <c r="AH87" s="30"/>
      <c r="AI87" s="30"/>
      <c r="AJ87" s="30"/>
      <c r="AK87" s="30"/>
      <c r="AL87" s="30"/>
      <c r="AM87" s="30"/>
      <c r="AN87" s="30"/>
      <c r="AO87" s="30"/>
      <c r="AP87" s="30"/>
      <c r="AQ87" s="30"/>
      <c r="AR87" s="30"/>
      <c r="AS87" s="30"/>
    </row>
    <row r="88" spans="1:45" hidden="1" x14ac:dyDescent="0.25">
      <c r="A88" s="30"/>
      <c r="B88" s="30"/>
      <c r="C88" s="30"/>
      <c r="D88" s="30"/>
      <c r="E88" s="30"/>
      <c r="F88" s="30"/>
      <c r="G88" s="30"/>
      <c r="H88" s="30"/>
      <c r="I88" s="30"/>
      <c r="J88" s="30"/>
      <c r="K88" s="30"/>
      <c r="L88" s="30"/>
      <c r="M88" s="30"/>
      <c r="N88" s="30"/>
      <c r="O88" s="30"/>
      <c r="P88" s="30"/>
      <c r="Q88" s="30"/>
      <c r="R88" s="30"/>
      <c r="S88" s="30"/>
      <c r="T88" s="30"/>
      <c r="U88" s="30" t="str">
        <v>Mulligan</v>
      </c>
      <c r="V88" s="30" t="str">
        <v>Baseball</v>
      </c>
      <c r="W88" s="30" t="str">
        <v>Adolescent</v>
      </c>
      <c r="X88" s="30" t="str">
        <v>Pitchers</v>
      </c>
      <c r="Y88" s="30" t="str">
        <v>Male</v>
      </c>
      <c r="Z88" s="30" t="str">
        <v>Biodex</v>
      </c>
      <c r="AA88" s="30"/>
      <c r="AB88" s="30"/>
      <c r="AC88" s="30"/>
      <c r="AD88" s="30"/>
      <c r="AE88" s="30"/>
      <c r="AF88" s="30"/>
      <c r="AG88" s="30"/>
      <c r="AH88" s="30"/>
      <c r="AI88" s="30"/>
      <c r="AJ88" s="30"/>
      <c r="AK88" s="30"/>
      <c r="AL88" s="30"/>
      <c r="AM88" s="30"/>
      <c r="AN88" s="30"/>
      <c r="AO88" s="30"/>
      <c r="AP88" s="30"/>
      <c r="AQ88" s="30"/>
      <c r="AR88" s="30"/>
      <c r="AS88" s="30"/>
    </row>
    <row r="89" spans="1:45" hidden="1" x14ac:dyDescent="0.25">
      <c r="A89" s="30"/>
      <c r="B89" s="30"/>
      <c r="C89" s="30"/>
      <c r="D89" s="30"/>
      <c r="E89" s="30"/>
      <c r="F89" s="30"/>
      <c r="G89" s="30"/>
      <c r="H89" s="30"/>
      <c r="I89" s="30"/>
      <c r="J89" s="30"/>
      <c r="K89" s="30"/>
      <c r="L89" s="30"/>
      <c r="M89" s="30"/>
      <c r="N89" s="30"/>
      <c r="O89" s="30"/>
      <c r="P89" s="30"/>
      <c r="Q89" s="30"/>
      <c r="R89" s="30"/>
      <c r="S89" s="30"/>
      <c r="T89" s="30"/>
      <c r="U89" s="30" t="str">
        <v>Mulligan</v>
      </c>
      <c r="V89" s="30" t="str">
        <v>Baseball</v>
      </c>
      <c r="W89" s="30" t="str">
        <v>Adolescent</v>
      </c>
      <c r="X89" s="30" t="str">
        <v>Pitchers</v>
      </c>
      <c r="Y89" s="30" t="str">
        <v>Male</v>
      </c>
      <c r="Z89" s="30" t="str">
        <v>Biodex</v>
      </c>
      <c r="AA89" s="30"/>
      <c r="AB89" s="30"/>
      <c r="AC89" s="30"/>
      <c r="AD89" s="30"/>
      <c r="AE89" s="30"/>
      <c r="AF89" s="30"/>
      <c r="AG89" s="30"/>
      <c r="AH89" s="30"/>
      <c r="AI89" s="30"/>
      <c r="AJ89" s="30"/>
      <c r="AK89" s="30"/>
      <c r="AL89" s="30"/>
      <c r="AM89" s="30"/>
      <c r="AN89" s="30"/>
      <c r="AO89" s="30"/>
      <c r="AP89" s="30"/>
      <c r="AQ89" s="30"/>
      <c r="AR89" s="30"/>
      <c r="AS89" s="30"/>
    </row>
    <row r="90" spans="1:45" hidden="1" x14ac:dyDescent="0.25">
      <c r="A90" s="30"/>
      <c r="B90" s="30"/>
      <c r="C90" s="30"/>
      <c r="D90" s="30"/>
      <c r="E90" s="30"/>
      <c r="F90" s="30"/>
      <c r="G90" s="30"/>
      <c r="H90" s="30"/>
      <c r="I90" s="30"/>
      <c r="J90" s="30"/>
      <c r="K90" s="30"/>
      <c r="L90" s="30"/>
      <c r="M90" s="30"/>
      <c r="N90" s="30"/>
      <c r="O90" s="30"/>
      <c r="P90" s="30"/>
      <c r="Q90" s="30"/>
      <c r="R90" s="30"/>
      <c r="S90" s="30"/>
      <c r="T90" s="30"/>
      <c r="U90" s="30" t="str">
        <v>Mulligan</v>
      </c>
      <c r="V90" s="30" t="str">
        <v>Baseball</v>
      </c>
      <c r="W90" s="30" t="str">
        <v>Adolescent</v>
      </c>
      <c r="X90" s="30" t="str">
        <v>Pitchers</v>
      </c>
      <c r="Y90" s="30" t="str">
        <v>Male</v>
      </c>
      <c r="Z90" s="30" t="str">
        <v>Biodex</v>
      </c>
      <c r="AA90" s="30"/>
      <c r="AB90" s="30"/>
      <c r="AC90" s="30"/>
      <c r="AD90" s="30"/>
      <c r="AE90" s="30"/>
      <c r="AF90" s="30"/>
      <c r="AG90" s="30"/>
      <c r="AH90" s="30"/>
      <c r="AI90" s="30"/>
      <c r="AJ90" s="30"/>
      <c r="AK90" s="30"/>
      <c r="AL90" s="30"/>
      <c r="AM90" s="30"/>
      <c r="AN90" s="30"/>
      <c r="AO90" s="30"/>
      <c r="AP90" s="30"/>
      <c r="AQ90" s="30"/>
      <c r="AR90" s="30"/>
      <c r="AS90" s="30"/>
    </row>
    <row r="91" spans="1:45" hidden="1" x14ac:dyDescent="0.25">
      <c r="A91" s="30"/>
      <c r="B91" s="30"/>
      <c r="C91" s="30"/>
      <c r="D91" s="30"/>
      <c r="E91" s="30"/>
      <c r="F91" s="30"/>
      <c r="G91" s="30"/>
      <c r="H91" s="30"/>
      <c r="I91" s="30"/>
      <c r="J91" s="30"/>
      <c r="K91" s="30"/>
      <c r="L91" s="30"/>
      <c r="M91" s="30"/>
      <c r="N91" s="30"/>
      <c r="O91" s="30"/>
      <c r="P91" s="30"/>
      <c r="Q91" s="30"/>
      <c r="R91" s="30"/>
      <c r="S91" s="30"/>
      <c r="T91" s="30"/>
      <c r="U91" s="30" t="str">
        <v>Mulligan</v>
      </c>
      <c r="V91" s="30" t="str">
        <v>Baseball</v>
      </c>
      <c r="W91" s="30" t="str">
        <v>Adolescent</v>
      </c>
      <c r="X91" s="30" t="str">
        <v>Pitchers</v>
      </c>
      <c r="Y91" s="30" t="str">
        <v>Male</v>
      </c>
      <c r="Z91" s="30" t="str">
        <v>Biodex</v>
      </c>
      <c r="AA91" s="30"/>
      <c r="AB91" s="30"/>
      <c r="AC91" s="30"/>
      <c r="AD91" s="30"/>
      <c r="AE91" s="30"/>
      <c r="AF91" s="30"/>
      <c r="AG91" s="30"/>
      <c r="AH91" s="30"/>
      <c r="AI91" s="30"/>
      <c r="AJ91" s="30"/>
      <c r="AK91" s="30"/>
      <c r="AL91" s="30"/>
      <c r="AM91" s="30"/>
      <c r="AN91" s="30"/>
      <c r="AO91" s="30"/>
      <c r="AP91" s="30"/>
      <c r="AQ91" s="30"/>
      <c r="AR91" s="30"/>
      <c r="AS91" s="30"/>
    </row>
    <row r="92" spans="1:45" hidden="1" x14ac:dyDescent="0.25">
      <c r="A92" s="30"/>
      <c r="B92" s="30"/>
      <c r="C92" s="30"/>
      <c r="D92" s="30"/>
      <c r="E92" s="30"/>
      <c r="F92" s="30"/>
      <c r="G92" s="30"/>
      <c r="H92" s="30"/>
      <c r="I92" s="30"/>
      <c r="J92" s="30"/>
      <c r="K92" s="30"/>
      <c r="L92" s="30"/>
      <c r="M92" s="30"/>
      <c r="N92" s="30"/>
      <c r="O92" s="30"/>
      <c r="P92" s="30"/>
      <c r="Q92" s="30"/>
      <c r="R92" s="30"/>
      <c r="S92" s="30"/>
      <c r="T92" s="30"/>
      <c r="U92" s="30" t="str">
        <v>Mulligan</v>
      </c>
      <c r="V92" s="30" t="str">
        <v>Baseball</v>
      </c>
      <c r="W92" s="30" t="str">
        <v>Adolescent</v>
      </c>
      <c r="X92" s="30" t="str">
        <v>Pitchers</v>
      </c>
      <c r="Y92" s="30" t="str">
        <v>Male</v>
      </c>
      <c r="Z92" s="30" t="str">
        <v>Biodex</v>
      </c>
      <c r="AA92" s="30"/>
      <c r="AB92" s="30"/>
      <c r="AC92" s="30"/>
      <c r="AD92" s="30"/>
      <c r="AE92" s="30"/>
      <c r="AF92" s="30"/>
      <c r="AG92" s="30"/>
      <c r="AH92" s="30"/>
      <c r="AI92" s="30"/>
      <c r="AJ92" s="30"/>
      <c r="AK92" s="30"/>
      <c r="AL92" s="30"/>
      <c r="AM92" s="30"/>
      <c r="AN92" s="30"/>
      <c r="AO92" s="30"/>
      <c r="AP92" s="30"/>
      <c r="AQ92" s="30"/>
      <c r="AR92" s="30"/>
      <c r="AS92" s="30"/>
    </row>
    <row r="93" spans="1:45" hidden="1" x14ac:dyDescent="0.25">
      <c r="A93" s="30"/>
      <c r="B93" s="30"/>
      <c r="C93" s="30"/>
      <c r="D93" s="30"/>
      <c r="E93" s="30"/>
      <c r="F93" s="30"/>
      <c r="G93" s="30"/>
      <c r="H93" s="30"/>
      <c r="I93" s="30"/>
      <c r="J93" s="30"/>
      <c r="K93" s="30"/>
      <c r="L93" s="30"/>
      <c r="M93" s="30"/>
      <c r="N93" s="30"/>
      <c r="O93" s="30"/>
      <c r="P93" s="30"/>
      <c r="Q93" s="30"/>
      <c r="R93" s="30"/>
      <c r="S93" s="30"/>
      <c r="T93" s="30"/>
      <c r="U93" s="30" t="str">
        <v>Dale</v>
      </c>
      <c r="V93" s="30" t="str">
        <v>Baseball</v>
      </c>
      <c r="W93" s="30" t="str">
        <v>Elite</v>
      </c>
      <c r="X93" s="30" t="str">
        <v>Pitchers</v>
      </c>
      <c r="Y93" s="30" t="str">
        <v>Male</v>
      </c>
      <c r="Z93" s="30" t="str">
        <v>Biodex</v>
      </c>
      <c r="AA93" s="30"/>
      <c r="AB93" s="30"/>
      <c r="AC93" s="30"/>
      <c r="AD93" s="30"/>
      <c r="AE93" s="30"/>
      <c r="AF93" s="30"/>
      <c r="AG93" s="30"/>
      <c r="AH93" s="30"/>
      <c r="AI93" s="30"/>
      <c r="AJ93" s="30"/>
      <c r="AK93" s="30"/>
      <c r="AL93" s="30"/>
      <c r="AM93" s="30"/>
      <c r="AN93" s="30"/>
      <c r="AO93" s="30"/>
      <c r="AP93" s="30"/>
      <c r="AQ93" s="30"/>
      <c r="AR93" s="30"/>
      <c r="AS93" s="30"/>
    </row>
    <row r="94" spans="1:45" hidden="1" x14ac:dyDescent="0.25">
      <c r="A94" s="30"/>
      <c r="B94" s="30"/>
      <c r="C94" s="30"/>
      <c r="D94" s="30"/>
      <c r="E94" s="30"/>
      <c r="F94" s="30"/>
      <c r="G94" s="30"/>
      <c r="H94" s="30"/>
      <c r="I94" s="30"/>
      <c r="J94" s="30"/>
      <c r="K94" s="30"/>
      <c r="L94" s="30"/>
      <c r="M94" s="30"/>
      <c r="N94" s="30"/>
      <c r="O94" s="30"/>
      <c r="P94" s="30"/>
      <c r="Q94" s="30"/>
      <c r="R94" s="30"/>
      <c r="S94" s="30"/>
      <c r="T94" s="30"/>
      <c r="U94" s="30" t="str">
        <v>Dale</v>
      </c>
      <c r="V94" s="30" t="str">
        <v>Baseball</v>
      </c>
      <c r="W94" s="30" t="str">
        <v>Elite</v>
      </c>
      <c r="X94" s="30" t="str">
        <v>Pitchers</v>
      </c>
      <c r="Y94" s="30" t="str">
        <v>Male</v>
      </c>
      <c r="Z94" s="30" t="str">
        <v>Biodex</v>
      </c>
      <c r="AA94" s="30"/>
      <c r="AB94" s="30"/>
      <c r="AC94" s="30"/>
      <c r="AD94" s="30"/>
      <c r="AE94" s="30"/>
      <c r="AF94" s="30"/>
      <c r="AG94" s="30"/>
      <c r="AH94" s="30"/>
      <c r="AI94" s="30"/>
      <c r="AJ94" s="30"/>
      <c r="AK94" s="30"/>
      <c r="AL94" s="30"/>
      <c r="AM94" s="30"/>
      <c r="AN94" s="30"/>
      <c r="AO94" s="30"/>
      <c r="AP94" s="30"/>
      <c r="AQ94" s="30"/>
      <c r="AR94" s="30"/>
      <c r="AS94" s="30"/>
    </row>
    <row r="95" spans="1:45" hidden="1" x14ac:dyDescent="0.25">
      <c r="A95" s="30"/>
      <c r="B95" s="30"/>
      <c r="C95" s="30"/>
      <c r="D95" s="30"/>
      <c r="E95" s="30"/>
      <c r="F95" s="30"/>
      <c r="G95" s="30"/>
      <c r="H95" s="30"/>
      <c r="I95" s="30"/>
      <c r="J95" s="30"/>
      <c r="K95" s="30"/>
      <c r="L95" s="30"/>
      <c r="M95" s="30"/>
      <c r="N95" s="30"/>
      <c r="O95" s="30"/>
      <c r="P95" s="30"/>
      <c r="Q95" s="30"/>
      <c r="R95" s="30"/>
      <c r="S95" s="30"/>
      <c r="T95" s="30"/>
      <c r="U95" s="30" t="str">
        <v>Dale</v>
      </c>
      <c r="V95" s="30" t="str">
        <v>Baseball</v>
      </c>
      <c r="W95" s="30" t="str">
        <v>Elite</v>
      </c>
      <c r="X95" s="30" t="str">
        <v>Pitchers</v>
      </c>
      <c r="Y95" s="30" t="str">
        <v>Male</v>
      </c>
      <c r="Z95" s="30" t="str">
        <v>Biodex</v>
      </c>
      <c r="AA95" s="30"/>
      <c r="AB95" s="30"/>
      <c r="AC95" s="30"/>
      <c r="AD95" s="30"/>
      <c r="AE95" s="30"/>
      <c r="AF95" s="30"/>
      <c r="AG95" s="30"/>
      <c r="AH95" s="30"/>
      <c r="AI95" s="30"/>
      <c r="AJ95" s="30"/>
      <c r="AK95" s="30"/>
      <c r="AL95" s="30"/>
      <c r="AM95" s="30"/>
      <c r="AN95" s="30"/>
      <c r="AO95" s="30"/>
      <c r="AP95" s="30"/>
      <c r="AQ95" s="30"/>
      <c r="AR95" s="30"/>
      <c r="AS95" s="30"/>
    </row>
    <row r="96" spans="1:45" hidden="1" x14ac:dyDescent="0.25">
      <c r="A96" s="30"/>
      <c r="B96" s="30"/>
      <c r="C96" s="30"/>
      <c r="D96" s="30"/>
      <c r="E96" s="30"/>
      <c r="F96" s="30"/>
      <c r="G96" s="30"/>
      <c r="H96" s="30"/>
      <c r="I96" s="30"/>
      <c r="J96" s="30"/>
      <c r="K96" s="30"/>
      <c r="L96" s="30"/>
      <c r="M96" s="30"/>
      <c r="N96" s="30"/>
      <c r="O96" s="30"/>
      <c r="P96" s="30"/>
      <c r="Q96" s="30"/>
      <c r="R96" s="30"/>
      <c r="S96" s="30"/>
      <c r="T96" s="30"/>
      <c r="U96" s="30" t="str">
        <v>Dale</v>
      </c>
      <c r="V96" s="30" t="str">
        <v>Baseball</v>
      </c>
      <c r="W96" s="30" t="str">
        <v>Elite</v>
      </c>
      <c r="X96" s="30" t="str">
        <v>Pitchers</v>
      </c>
      <c r="Y96" s="30" t="str">
        <v>Male</v>
      </c>
      <c r="Z96" s="30" t="str">
        <v>Biodex</v>
      </c>
      <c r="AA96" s="30"/>
      <c r="AB96" s="30"/>
      <c r="AC96" s="30"/>
      <c r="AD96" s="30"/>
      <c r="AE96" s="30"/>
      <c r="AF96" s="30"/>
      <c r="AG96" s="30"/>
      <c r="AH96" s="30"/>
      <c r="AI96" s="30"/>
      <c r="AJ96" s="30"/>
      <c r="AK96" s="30"/>
      <c r="AL96" s="30"/>
      <c r="AM96" s="30"/>
      <c r="AN96" s="30"/>
      <c r="AO96" s="30"/>
      <c r="AP96" s="30"/>
      <c r="AQ96" s="30"/>
      <c r="AR96" s="30"/>
      <c r="AS96" s="30"/>
    </row>
    <row r="97" spans="1:45" hidden="1" x14ac:dyDescent="0.25">
      <c r="A97" s="30"/>
      <c r="B97" s="30"/>
      <c r="C97" s="30"/>
      <c r="D97" s="30"/>
      <c r="E97" s="30"/>
      <c r="F97" s="30"/>
      <c r="G97" s="30"/>
      <c r="H97" s="30"/>
      <c r="I97" s="30"/>
      <c r="J97" s="30"/>
      <c r="K97" s="30"/>
      <c r="L97" s="30"/>
      <c r="M97" s="30"/>
      <c r="N97" s="30"/>
      <c r="O97" s="30"/>
      <c r="P97" s="30"/>
      <c r="Q97" s="30"/>
      <c r="R97" s="30"/>
      <c r="S97" s="30"/>
      <c r="T97" s="30"/>
      <c r="U97" s="30" t="str">
        <v>Wang</v>
      </c>
      <c r="V97" s="30" t="str">
        <v>Volleyball</v>
      </c>
      <c r="W97" s="30" t="str">
        <v>Elite</v>
      </c>
      <c r="X97" s="30" t="str">
        <v>N/A</v>
      </c>
      <c r="Y97" s="30" t="str">
        <v>Male</v>
      </c>
      <c r="Z97" s="30" t="str">
        <v>Kin-Com AP</v>
      </c>
      <c r="AA97" s="30"/>
      <c r="AB97" s="30"/>
      <c r="AC97" s="30"/>
      <c r="AD97" s="30"/>
      <c r="AE97" s="30"/>
      <c r="AF97" s="30"/>
      <c r="AG97" s="30"/>
      <c r="AH97" s="30"/>
      <c r="AI97" s="30"/>
      <c r="AJ97" s="30"/>
      <c r="AK97" s="30"/>
      <c r="AL97" s="30"/>
      <c r="AM97" s="30"/>
      <c r="AN97" s="30"/>
      <c r="AO97" s="30"/>
      <c r="AP97" s="30"/>
      <c r="AQ97" s="30"/>
      <c r="AR97" s="30"/>
      <c r="AS97" s="30"/>
    </row>
    <row r="98" spans="1:45" hidden="1" x14ac:dyDescent="0.25">
      <c r="A98" s="30"/>
      <c r="B98" s="30"/>
      <c r="C98" s="30"/>
      <c r="D98" s="30"/>
      <c r="E98" s="30"/>
      <c r="F98" s="30"/>
      <c r="G98" s="30"/>
      <c r="H98" s="30"/>
      <c r="I98" s="30"/>
      <c r="J98" s="30"/>
      <c r="K98" s="30"/>
      <c r="L98" s="30"/>
      <c r="M98" s="30"/>
      <c r="N98" s="30"/>
      <c r="O98" s="30"/>
      <c r="P98" s="30"/>
      <c r="Q98" s="30"/>
      <c r="R98" s="30"/>
      <c r="S98" s="30"/>
      <c r="T98" s="30"/>
      <c r="U98" s="30" t="str">
        <v>Wang</v>
      </c>
      <c r="V98" s="30" t="str">
        <v>Volleyball</v>
      </c>
      <c r="W98" s="30" t="str">
        <v>Elite</v>
      </c>
      <c r="X98" s="30" t="str">
        <v>N/A</v>
      </c>
      <c r="Y98" s="30" t="str">
        <v>Male</v>
      </c>
      <c r="Z98" s="30" t="str">
        <v>Kin-Com AP</v>
      </c>
      <c r="AA98" s="30"/>
      <c r="AB98" s="30"/>
      <c r="AC98" s="30"/>
      <c r="AD98" s="30"/>
      <c r="AE98" s="30"/>
      <c r="AF98" s="30"/>
      <c r="AG98" s="30"/>
      <c r="AH98" s="30"/>
      <c r="AI98" s="30"/>
      <c r="AJ98" s="30"/>
      <c r="AK98" s="30"/>
      <c r="AL98" s="30"/>
      <c r="AM98" s="30"/>
      <c r="AN98" s="30"/>
      <c r="AO98" s="30"/>
      <c r="AP98" s="30"/>
      <c r="AQ98" s="30"/>
      <c r="AR98" s="30"/>
      <c r="AS98" s="30"/>
    </row>
    <row r="99" spans="1:45" hidden="1" x14ac:dyDescent="0.25">
      <c r="A99" s="30"/>
      <c r="B99" s="30"/>
      <c r="C99" s="30"/>
      <c r="D99" s="30"/>
      <c r="E99" s="30"/>
      <c r="F99" s="30"/>
      <c r="G99" s="30"/>
      <c r="H99" s="30"/>
      <c r="I99" s="30"/>
      <c r="J99" s="30"/>
      <c r="K99" s="30"/>
      <c r="L99" s="30"/>
      <c r="M99" s="30"/>
      <c r="N99" s="30"/>
      <c r="O99" s="30"/>
      <c r="P99" s="30"/>
      <c r="Q99" s="30"/>
      <c r="R99" s="30"/>
      <c r="S99" s="30"/>
      <c r="T99" s="30"/>
      <c r="U99" s="30" t="str">
        <v>Wang</v>
      </c>
      <c r="V99" s="30" t="str">
        <v>Volleyball</v>
      </c>
      <c r="W99" s="30" t="str">
        <v>Elite</v>
      </c>
      <c r="X99" s="30" t="str">
        <v>N/A</v>
      </c>
      <c r="Y99" s="30" t="str">
        <v>Male</v>
      </c>
      <c r="Z99" s="30" t="str">
        <v>Kin-Com AP</v>
      </c>
      <c r="AA99" s="30"/>
      <c r="AB99" s="30"/>
      <c r="AC99" s="30"/>
      <c r="AD99" s="30"/>
      <c r="AE99" s="30"/>
      <c r="AF99" s="30"/>
      <c r="AG99" s="30"/>
      <c r="AH99" s="30"/>
      <c r="AI99" s="30"/>
      <c r="AJ99" s="30"/>
      <c r="AK99" s="30"/>
      <c r="AL99" s="30"/>
      <c r="AM99" s="30"/>
      <c r="AN99" s="30"/>
      <c r="AO99" s="30"/>
      <c r="AP99" s="30"/>
      <c r="AQ99" s="30"/>
      <c r="AR99" s="30"/>
      <c r="AS99" s="30"/>
    </row>
    <row r="100" spans="1:45" hidden="1" x14ac:dyDescent="0.25">
      <c r="A100" s="30"/>
      <c r="B100" s="30"/>
      <c r="C100" s="30"/>
      <c r="D100" s="30"/>
      <c r="E100" s="30"/>
      <c r="F100" s="30"/>
      <c r="G100" s="30"/>
      <c r="H100" s="30"/>
      <c r="I100" s="30"/>
      <c r="J100" s="30"/>
      <c r="K100" s="30"/>
      <c r="L100" s="30"/>
      <c r="M100" s="30"/>
      <c r="N100" s="30"/>
      <c r="O100" s="30"/>
      <c r="P100" s="30"/>
      <c r="Q100" s="30"/>
      <c r="R100" s="30"/>
      <c r="S100" s="30"/>
      <c r="T100" s="30"/>
      <c r="U100" s="30" t="str">
        <v>Wang</v>
      </c>
      <c r="V100" s="30" t="str">
        <v>Volleyball</v>
      </c>
      <c r="W100" s="30" t="str">
        <v>Elite</v>
      </c>
      <c r="X100" s="30" t="str">
        <v>N/A</v>
      </c>
      <c r="Y100" s="30" t="str">
        <v>Male</v>
      </c>
      <c r="Z100" s="30" t="str">
        <v>Kin-Com AP</v>
      </c>
      <c r="AA100" s="30"/>
      <c r="AB100" s="30"/>
      <c r="AC100" s="30"/>
      <c r="AD100" s="30"/>
      <c r="AE100" s="30"/>
      <c r="AF100" s="30"/>
      <c r="AG100" s="30"/>
      <c r="AH100" s="30"/>
      <c r="AI100" s="30"/>
      <c r="AJ100" s="30"/>
      <c r="AK100" s="30"/>
      <c r="AL100" s="30"/>
      <c r="AM100" s="30"/>
      <c r="AN100" s="30"/>
      <c r="AO100" s="30"/>
      <c r="AP100" s="30"/>
      <c r="AQ100" s="30"/>
      <c r="AR100" s="30"/>
      <c r="AS100" s="30"/>
    </row>
    <row r="101" spans="1:45" hidden="1" x14ac:dyDescent="0.25">
      <c r="A101" s="30"/>
      <c r="B101" s="30"/>
      <c r="C101" s="30"/>
      <c r="D101" s="30"/>
      <c r="E101" s="30"/>
      <c r="F101" s="30"/>
      <c r="G101" s="30"/>
      <c r="H101" s="30"/>
      <c r="I101" s="30"/>
      <c r="J101" s="30"/>
      <c r="K101" s="30"/>
      <c r="L101" s="30"/>
      <c r="M101" s="30"/>
      <c r="N101" s="30"/>
      <c r="O101" s="30"/>
      <c r="P101" s="30"/>
      <c r="Q101" s="30"/>
      <c r="R101" s="30"/>
      <c r="S101" s="30"/>
      <c r="T101" s="30"/>
      <c r="U101" s="30" t="str">
        <v>Wang</v>
      </c>
      <c r="V101" s="30" t="str">
        <v>Volleyball</v>
      </c>
      <c r="W101" s="30" t="str">
        <v>Elite</v>
      </c>
      <c r="X101" s="30" t="str">
        <v>N/A</v>
      </c>
      <c r="Y101" s="30" t="str">
        <v>Male</v>
      </c>
      <c r="Z101" s="30" t="str">
        <v>Kin-Com AP</v>
      </c>
      <c r="AA101" s="30"/>
      <c r="AB101" s="30"/>
      <c r="AC101" s="30"/>
      <c r="AD101" s="30"/>
      <c r="AE101" s="30"/>
      <c r="AF101" s="30"/>
      <c r="AG101" s="30"/>
      <c r="AH101" s="30"/>
      <c r="AI101" s="30"/>
      <c r="AJ101" s="30"/>
      <c r="AK101" s="30"/>
      <c r="AL101" s="30"/>
      <c r="AM101" s="30"/>
      <c r="AN101" s="30"/>
      <c r="AO101" s="30"/>
      <c r="AP101" s="30"/>
      <c r="AQ101" s="30"/>
      <c r="AR101" s="30"/>
      <c r="AS101" s="30"/>
    </row>
    <row r="102" spans="1:45" hidden="1" x14ac:dyDescent="0.25">
      <c r="A102" s="30"/>
      <c r="B102" s="30"/>
      <c r="C102" s="30"/>
      <c r="D102" s="30"/>
      <c r="E102" s="30"/>
      <c r="F102" s="30"/>
      <c r="G102" s="30"/>
      <c r="H102" s="30"/>
      <c r="I102" s="30"/>
      <c r="J102" s="30"/>
      <c r="K102" s="30"/>
      <c r="L102" s="30"/>
      <c r="M102" s="30"/>
      <c r="N102" s="30"/>
      <c r="O102" s="30"/>
      <c r="P102" s="30"/>
      <c r="Q102" s="30"/>
      <c r="R102" s="30"/>
      <c r="S102" s="30"/>
      <c r="T102" s="30"/>
      <c r="U102" s="30" t="str">
        <v>Wang</v>
      </c>
      <c r="V102" s="30" t="str">
        <v>Volleyball</v>
      </c>
      <c r="W102" s="30" t="str">
        <v>Elite</v>
      </c>
      <c r="X102" s="30" t="str">
        <v>N/A</v>
      </c>
      <c r="Y102" s="30" t="str">
        <v>Male</v>
      </c>
      <c r="Z102" s="30" t="str">
        <v>Kin-Com AP</v>
      </c>
      <c r="AA102" s="30"/>
      <c r="AB102" s="30"/>
      <c r="AC102" s="30"/>
      <c r="AD102" s="30"/>
      <c r="AE102" s="30"/>
      <c r="AF102" s="30"/>
      <c r="AG102" s="30"/>
      <c r="AH102" s="30"/>
      <c r="AI102" s="30"/>
      <c r="AJ102" s="30"/>
      <c r="AK102" s="30"/>
      <c r="AL102" s="30"/>
      <c r="AM102" s="30"/>
      <c r="AN102" s="30"/>
      <c r="AO102" s="30"/>
      <c r="AP102" s="30"/>
      <c r="AQ102" s="30"/>
      <c r="AR102" s="30"/>
      <c r="AS102" s="30"/>
    </row>
    <row r="103" spans="1:45" hidden="1" x14ac:dyDescent="0.25">
      <c r="A103" s="30"/>
      <c r="B103" s="30"/>
      <c r="C103" s="30"/>
      <c r="D103" s="30"/>
      <c r="E103" s="30"/>
      <c r="F103" s="30"/>
      <c r="G103" s="30"/>
      <c r="H103" s="30"/>
      <c r="I103" s="30"/>
      <c r="J103" s="30"/>
      <c r="K103" s="30"/>
      <c r="L103" s="30"/>
      <c r="M103" s="30"/>
      <c r="N103" s="30"/>
      <c r="O103" s="30"/>
      <c r="P103" s="30"/>
      <c r="Q103" s="30"/>
      <c r="R103" s="30"/>
      <c r="S103" s="30"/>
      <c r="T103" s="30"/>
      <c r="U103" s="30" t="str">
        <v>Wang</v>
      </c>
      <c r="V103" s="30" t="str">
        <v>Volleyball</v>
      </c>
      <c r="W103" s="30" t="str">
        <v>Elite</v>
      </c>
      <c r="X103" s="30" t="str">
        <v>N/A</v>
      </c>
      <c r="Y103" s="30" t="str">
        <v>Male</v>
      </c>
      <c r="Z103" s="30" t="str">
        <v>Kin-Com AP</v>
      </c>
      <c r="AA103" s="30"/>
      <c r="AB103" s="30"/>
      <c r="AC103" s="30"/>
      <c r="AD103" s="30"/>
      <c r="AE103" s="30"/>
      <c r="AF103" s="30"/>
      <c r="AG103" s="30"/>
      <c r="AH103" s="30"/>
      <c r="AI103" s="30"/>
      <c r="AJ103" s="30"/>
      <c r="AK103" s="30"/>
      <c r="AL103" s="30"/>
      <c r="AM103" s="30"/>
      <c r="AN103" s="30"/>
      <c r="AO103" s="30"/>
      <c r="AP103" s="30"/>
      <c r="AQ103" s="30"/>
      <c r="AR103" s="30"/>
      <c r="AS103" s="30"/>
    </row>
    <row r="104" spans="1:45" hidden="1" x14ac:dyDescent="0.25">
      <c r="A104" s="30"/>
      <c r="B104" s="30"/>
      <c r="C104" s="30"/>
      <c r="D104" s="30"/>
      <c r="E104" s="30"/>
      <c r="F104" s="30"/>
      <c r="G104" s="30"/>
      <c r="H104" s="30"/>
      <c r="I104" s="30"/>
      <c r="J104" s="30"/>
      <c r="K104" s="30"/>
      <c r="L104" s="30"/>
      <c r="M104" s="30"/>
      <c r="N104" s="30"/>
      <c r="O104" s="30"/>
      <c r="P104" s="30"/>
      <c r="Q104" s="30"/>
      <c r="R104" s="30"/>
      <c r="S104" s="30"/>
      <c r="T104" s="30"/>
      <c r="U104" s="30" t="str">
        <v>Wang</v>
      </c>
      <c r="V104" s="30" t="str">
        <v>Volleyball</v>
      </c>
      <c r="W104" s="30" t="str">
        <v>Elite</v>
      </c>
      <c r="X104" s="30" t="str">
        <v>N/A</v>
      </c>
      <c r="Y104" s="30" t="str">
        <v>Male</v>
      </c>
      <c r="Z104" s="30" t="str">
        <v>Kin-Com AP</v>
      </c>
      <c r="AA104" s="30"/>
      <c r="AB104" s="30"/>
      <c r="AC104" s="30"/>
      <c r="AD104" s="30"/>
      <c r="AE104" s="30"/>
      <c r="AF104" s="30"/>
      <c r="AG104" s="30"/>
      <c r="AH104" s="30"/>
      <c r="AI104" s="30"/>
      <c r="AJ104" s="30"/>
      <c r="AK104" s="30"/>
      <c r="AL104" s="30"/>
      <c r="AM104" s="30"/>
      <c r="AN104" s="30"/>
      <c r="AO104" s="30"/>
      <c r="AP104" s="30"/>
      <c r="AQ104" s="30"/>
      <c r="AR104" s="30"/>
      <c r="AS104" s="30"/>
    </row>
    <row r="105" spans="1:45" hidden="1" x14ac:dyDescent="0.25">
      <c r="A105" s="30"/>
      <c r="B105" s="30"/>
      <c r="C105" s="30"/>
      <c r="D105" s="30"/>
      <c r="E105" s="30"/>
      <c r="F105" s="30"/>
      <c r="G105" s="30"/>
      <c r="H105" s="30"/>
      <c r="I105" s="30"/>
      <c r="J105" s="30"/>
      <c r="K105" s="30"/>
      <c r="L105" s="30"/>
      <c r="M105" s="30"/>
      <c r="N105" s="30"/>
      <c r="O105" s="30"/>
      <c r="P105" s="30"/>
      <c r="Q105" s="30"/>
      <c r="R105" s="30"/>
      <c r="S105" s="30"/>
      <c r="T105" s="30"/>
      <c r="U105" s="30" t="str">
        <v>El-Ashker</v>
      </c>
      <c r="V105" s="30" t="str">
        <v>Karate</v>
      </c>
      <c r="W105" s="30" t="str">
        <v>Adults</v>
      </c>
      <c r="X105" s="30" t="str">
        <v>N/A</v>
      </c>
      <c r="Y105" s="30" t="str">
        <v>Male</v>
      </c>
      <c r="Z105" s="30" t="str">
        <v>Biodex</v>
      </c>
      <c r="AA105" s="30"/>
      <c r="AB105" s="30"/>
      <c r="AC105" s="30"/>
      <c r="AD105" s="30"/>
      <c r="AE105" s="30"/>
      <c r="AF105" s="30"/>
      <c r="AG105" s="30"/>
      <c r="AH105" s="30"/>
      <c r="AI105" s="30"/>
      <c r="AJ105" s="30"/>
      <c r="AK105" s="30"/>
      <c r="AL105" s="30"/>
      <c r="AM105" s="30"/>
      <c r="AN105" s="30"/>
      <c r="AO105" s="30"/>
      <c r="AP105" s="30"/>
      <c r="AQ105" s="30"/>
      <c r="AR105" s="30"/>
      <c r="AS105" s="30"/>
    </row>
    <row r="106" spans="1:45" hidden="1" x14ac:dyDescent="0.25">
      <c r="A106" s="30"/>
      <c r="B106" s="30"/>
      <c r="C106" s="30"/>
      <c r="D106" s="30"/>
      <c r="E106" s="30"/>
      <c r="F106" s="30"/>
      <c r="G106" s="30"/>
      <c r="H106" s="30"/>
      <c r="I106" s="30"/>
      <c r="J106" s="30"/>
      <c r="K106" s="30"/>
      <c r="L106" s="30"/>
      <c r="M106" s="30"/>
      <c r="N106" s="30"/>
      <c r="O106" s="30"/>
      <c r="P106" s="30"/>
      <c r="Q106" s="30"/>
      <c r="R106" s="30"/>
      <c r="S106" s="30"/>
      <c r="T106" s="30"/>
      <c r="U106" s="30" t="str">
        <v>El-Ashker</v>
      </c>
      <c r="V106" s="30" t="str">
        <v>Karate</v>
      </c>
      <c r="W106" s="30" t="str">
        <v>Adults</v>
      </c>
      <c r="X106" s="30" t="str">
        <v>N/A</v>
      </c>
      <c r="Y106" s="30" t="str">
        <v>Male</v>
      </c>
      <c r="Z106" s="30" t="str">
        <v>Biodex</v>
      </c>
      <c r="AA106" s="30"/>
      <c r="AB106" s="30"/>
      <c r="AC106" s="30"/>
      <c r="AD106" s="30"/>
      <c r="AE106" s="30"/>
      <c r="AF106" s="30"/>
      <c r="AG106" s="30"/>
      <c r="AH106" s="30"/>
      <c r="AI106" s="30"/>
      <c r="AJ106" s="30"/>
      <c r="AK106" s="30"/>
      <c r="AL106" s="30"/>
      <c r="AM106" s="30"/>
      <c r="AN106" s="30"/>
      <c r="AO106" s="30"/>
      <c r="AP106" s="30"/>
      <c r="AQ106" s="30"/>
      <c r="AR106" s="30"/>
      <c r="AS106" s="30"/>
    </row>
    <row r="107" spans="1:45" hidden="1" x14ac:dyDescent="0.25">
      <c r="A107" s="30"/>
      <c r="B107" s="30"/>
      <c r="C107" s="30"/>
      <c r="D107" s="30"/>
      <c r="E107" s="30"/>
      <c r="F107" s="30"/>
      <c r="G107" s="30"/>
      <c r="H107" s="30"/>
      <c r="I107" s="30"/>
      <c r="J107" s="30"/>
      <c r="K107" s="30"/>
      <c r="L107" s="30"/>
      <c r="M107" s="30"/>
      <c r="N107" s="30"/>
      <c r="O107" s="30"/>
      <c r="P107" s="30"/>
      <c r="Q107" s="30"/>
      <c r="R107" s="30"/>
      <c r="S107" s="30"/>
      <c r="T107" s="30"/>
      <c r="U107" s="30" t="str">
        <v>El-Ashker</v>
      </c>
      <c r="V107" s="30" t="str">
        <v>Judo</v>
      </c>
      <c r="W107" s="30" t="str">
        <v>Adults</v>
      </c>
      <c r="X107" s="30" t="str">
        <v>N/A</v>
      </c>
      <c r="Y107" s="30" t="str">
        <v>Male</v>
      </c>
      <c r="Z107" s="30" t="str">
        <v>Biodex</v>
      </c>
      <c r="AA107" s="30"/>
      <c r="AB107" s="30"/>
      <c r="AC107" s="30"/>
      <c r="AD107" s="30"/>
      <c r="AE107" s="30"/>
      <c r="AF107" s="30"/>
      <c r="AG107" s="30"/>
      <c r="AH107" s="30"/>
      <c r="AI107" s="30"/>
      <c r="AJ107" s="30"/>
      <c r="AK107" s="30"/>
      <c r="AL107" s="30"/>
      <c r="AM107" s="30"/>
      <c r="AN107" s="30"/>
      <c r="AO107" s="30"/>
      <c r="AP107" s="30"/>
      <c r="AQ107" s="30"/>
      <c r="AR107" s="30"/>
      <c r="AS107" s="30"/>
    </row>
    <row r="108" spans="1:45" hidden="1" x14ac:dyDescent="0.25">
      <c r="A108" s="30"/>
      <c r="B108" s="30"/>
      <c r="C108" s="30"/>
      <c r="D108" s="30"/>
      <c r="E108" s="30"/>
      <c r="F108" s="30"/>
      <c r="G108" s="30"/>
      <c r="H108" s="30"/>
      <c r="I108" s="30"/>
      <c r="J108" s="30"/>
      <c r="K108" s="30"/>
      <c r="L108" s="30"/>
      <c r="M108" s="30"/>
      <c r="N108" s="30"/>
      <c r="O108" s="30"/>
      <c r="P108" s="30"/>
      <c r="Q108" s="30"/>
      <c r="R108" s="30"/>
      <c r="S108" s="30"/>
      <c r="T108" s="30"/>
      <c r="U108" s="30" t="str">
        <v>El-Ashker</v>
      </c>
      <c r="V108" s="30" t="str">
        <v>Judo</v>
      </c>
      <c r="W108" s="30" t="str">
        <v>Adults</v>
      </c>
      <c r="X108" s="30" t="str">
        <v>N/A</v>
      </c>
      <c r="Y108" s="30" t="str">
        <v>Male</v>
      </c>
      <c r="Z108" s="30" t="str">
        <v>Biodex</v>
      </c>
      <c r="AA108" s="30"/>
      <c r="AB108" s="30"/>
      <c r="AC108" s="30"/>
      <c r="AD108" s="30"/>
      <c r="AE108" s="30"/>
      <c r="AF108" s="30"/>
      <c r="AG108" s="30"/>
      <c r="AH108" s="30"/>
      <c r="AI108" s="30"/>
      <c r="AJ108" s="30"/>
      <c r="AK108" s="30"/>
      <c r="AL108" s="30"/>
      <c r="AM108" s="30"/>
      <c r="AN108" s="30"/>
      <c r="AO108" s="30"/>
      <c r="AP108" s="30"/>
      <c r="AQ108" s="30"/>
      <c r="AR108" s="30"/>
      <c r="AS108" s="30"/>
    </row>
    <row r="109" spans="1:45" hidden="1" x14ac:dyDescent="0.25">
      <c r="A109" s="30"/>
      <c r="B109" s="30"/>
      <c r="C109" s="30"/>
      <c r="D109" s="30"/>
      <c r="E109" s="30"/>
      <c r="F109" s="30"/>
      <c r="G109" s="30"/>
      <c r="H109" s="30"/>
      <c r="I109" s="30"/>
      <c r="J109" s="30"/>
      <c r="K109" s="30"/>
      <c r="L109" s="30"/>
      <c r="M109" s="30"/>
      <c r="N109" s="30"/>
      <c r="O109" s="30"/>
      <c r="P109" s="30"/>
      <c r="Q109" s="30"/>
      <c r="R109" s="30"/>
      <c r="S109" s="30"/>
      <c r="T109" s="30"/>
      <c r="U109" s="30" t="str">
        <v>El-Ashker</v>
      </c>
      <c r="V109" s="30" t="str">
        <v>Boxing</v>
      </c>
      <c r="W109" s="30" t="str">
        <v>Adults</v>
      </c>
      <c r="X109" s="30" t="str">
        <v>N/A</v>
      </c>
      <c r="Y109" s="30" t="str">
        <v>Male</v>
      </c>
      <c r="Z109" s="30" t="str">
        <v>Biodex</v>
      </c>
      <c r="AA109" s="30"/>
      <c r="AB109" s="30"/>
      <c r="AC109" s="30"/>
      <c r="AD109" s="30"/>
      <c r="AE109" s="30"/>
      <c r="AF109" s="30"/>
      <c r="AG109" s="30"/>
      <c r="AH109" s="30"/>
      <c r="AI109" s="30"/>
      <c r="AJ109" s="30"/>
      <c r="AK109" s="30"/>
      <c r="AL109" s="30"/>
      <c r="AM109" s="30"/>
      <c r="AN109" s="30"/>
      <c r="AO109" s="30"/>
      <c r="AP109" s="30"/>
      <c r="AQ109" s="30"/>
      <c r="AR109" s="30"/>
      <c r="AS109" s="30"/>
    </row>
    <row r="110" spans="1:45" hidden="1" x14ac:dyDescent="0.25">
      <c r="A110" s="30"/>
      <c r="B110" s="30"/>
      <c r="C110" s="30"/>
      <c r="D110" s="30"/>
      <c r="E110" s="30"/>
      <c r="F110" s="30"/>
      <c r="G110" s="30"/>
      <c r="H110" s="30"/>
      <c r="I110" s="30"/>
      <c r="J110" s="30"/>
      <c r="K110" s="30"/>
      <c r="L110" s="30"/>
      <c r="M110" s="30"/>
      <c r="N110" s="30"/>
      <c r="O110" s="30"/>
      <c r="P110" s="30"/>
      <c r="Q110" s="30"/>
      <c r="R110" s="30"/>
      <c r="S110" s="30"/>
      <c r="T110" s="30"/>
      <c r="U110" s="30" t="str">
        <v>El-Ashker</v>
      </c>
      <c r="V110" s="30" t="str">
        <v>Boxing</v>
      </c>
      <c r="W110" s="30" t="str">
        <v>Adults</v>
      </c>
      <c r="X110" s="30" t="str">
        <v>N/A</v>
      </c>
      <c r="Y110" s="30" t="str">
        <v>Male</v>
      </c>
      <c r="Z110" s="30" t="str">
        <v>Biodex</v>
      </c>
      <c r="AA110" s="30"/>
      <c r="AB110" s="30"/>
      <c r="AC110" s="30"/>
      <c r="AD110" s="30"/>
      <c r="AE110" s="30"/>
      <c r="AF110" s="30"/>
      <c r="AG110" s="30"/>
      <c r="AH110" s="30"/>
      <c r="AI110" s="30"/>
      <c r="AJ110" s="30"/>
      <c r="AK110" s="30"/>
      <c r="AL110" s="30"/>
      <c r="AM110" s="30"/>
      <c r="AN110" s="30"/>
      <c r="AO110" s="30"/>
      <c r="AP110" s="30"/>
      <c r="AQ110" s="30"/>
      <c r="AR110" s="30"/>
      <c r="AS110" s="30"/>
    </row>
    <row r="111" spans="1:45" hidden="1" x14ac:dyDescent="0.25">
      <c r="A111" s="30"/>
      <c r="B111" s="30"/>
      <c r="C111" s="30"/>
      <c r="D111" s="30"/>
      <c r="E111" s="30"/>
      <c r="F111" s="30"/>
      <c r="G111" s="30"/>
      <c r="H111" s="30"/>
      <c r="I111" s="30"/>
      <c r="J111" s="30"/>
      <c r="K111" s="30"/>
      <c r="L111" s="30"/>
      <c r="M111" s="30"/>
      <c r="N111" s="30"/>
      <c r="O111" s="30"/>
      <c r="P111" s="30"/>
      <c r="Q111" s="30"/>
      <c r="R111" s="30"/>
      <c r="S111" s="30"/>
      <c r="T111" s="30"/>
      <c r="U111" s="30" t="str">
        <v>El-Ashker</v>
      </c>
      <c r="V111" s="30" t="str">
        <v>Taekwondo</v>
      </c>
      <c r="W111" s="30" t="str">
        <v>Adults</v>
      </c>
      <c r="X111" s="30" t="str">
        <v>N/A</v>
      </c>
      <c r="Y111" s="30" t="str">
        <v>Male</v>
      </c>
      <c r="Z111" s="30" t="str">
        <v>Biodex</v>
      </c>
      <c r="AA111" s="30"/>
      <c r="AB111" s="30"/>
      <c r="AC111" s="30"/>
      <c r="AD111" s="30"/>
      <c r="AE111" s="30"/>
      <c r="AF111" s="30"/>
      <c r="AG111" s="30"/>
      <c r="AH111" s="30"/>
      <c r="AI111" s="30"/>
      <c r="AJ111" s="30"/>
      <c r="AK111" s="30"/>
      <c r="AL111" s="30"/>
      <c r="AM111" s="30"/>
      <c r="AN111" s="30"/>
      <c r="AO111" s="30"/>
      <c r="AP111" s="30"/>
      <c r="AQ111" s="30"/>
      <c r="AR111" s="30"/>
      <c r="AS111" s="30"/>
    </row>
    <row r="112" spans="1:45" hidden="1" x14ac:dyDescent="0.25">
      <c r="A112" s="30"/>
      <c r="B112" s="30"/>
      <c r="C112" s="30"/>
      <c r="D112" s="30"/>
      <c r="E112" s="30"/>
      <c r="F112" s="30"/>
      <c r="G112" s="30"/>
      <c r="H112" s="30"/>
      <c r="I112" s="30"/>
      <c r="J112" s="30"/>
      <c r="K112" s="30"/>
      <c r="L112" s="30"/>
      <c r="M112" s="30"/>
      <c r="N112" s="30"/>
      <c r="O112" s="30"/>
      <c r="P112" s="30"/>
      <c r="Q112" s="30"/>
      <c r="R112" s="30"/>
      <c r="S112" s="30"/>
      <c r="T112" s="30"/>
      <c r="U112" s="30" t="str">
        <v>El-Ashker</v>
      </c>
      <c r="V112" s="30" t="str">
        <v>Taekwondo</v>
      </c>
      <c r="W112" s="30" t="str">
        <v>Adults</v>
      </c>
      <c r="X112" s="30" t="str">
        <v>N/A</v>
      </c>
      <c r="Y112" s="30" t="str">
        <v>Male</v>
      </c>
      <c r="Z112" s="30" t="str">
        <v>Biodex</v>
      </c>
      <c r="AA112" s="30"/>
      <c r="AB112" s="30"/>
      <c r="AC112" s="30"/>
      <c r="AD112" s="30"/>
      <c r="AE112" s="30"/>
      <c r="AF112" s="30"/>
      <c r="AG112" s="30"/>
      <c r="AH112" s="30"/>
      <c r="AI112" s="30"/>
      <c r="AJ112" s="30"/>
      <c r="AK112" s="30"/>
      <c r="AL112" s="30"/>
      <c r="AM112" s="30"/>
      <c r="AN112" s="30"/>
      <c r="AO112" s="30"/>
      <c r="AP112" s="30"/>
      <c r="AQ112" s="30"/>
      <c r="AR112" s="30"/>
      <c r="AS112" s="30"/>
    </row>
    <row r="113" spans="1:45" hidden="1" x14ac:dyDescent="0.25">
      <c r="A113" s="30"/>
      <c r="B113" s="30"/>
      <c r="C113" s="30"/>
      <c r="D113" s="30"/>
      <c r="E113" s="30"/>
      <c r="F113" s="30"/>
      <c r="G113" s="30"/>
      <c r="H113" s="30"/>
      <c r="I113" s="30"/>
      <c r="J113" s="30"/>
      <c r="K113" s="30"/>
      <c r="L113" s="30"/>
      <c r="M113" s="30"/>
      <c r="N113" s="30"/>
      <c r="O113" s="30"/>
      <c r="P113" s="30"/>
      <c r="Q113" s="30"/>
      <c r="R113" s="30"/>
      <c r="S113" s="30"/>
      <c r="T113" s="30"/>
      <c r="U113" s="30" t="str">
        <v>El-Ashker</v>
      </c>
      <c r="V113" s="30" t="str">
        <v>Karate</v>
      </c>
      <c r="W113" s="30" t="str">
        <v>Adults</v>
      </c>
      <c r="X113" s="30" t="str">
        <v>N/A</v>
      </c>
      <c r="Y113" s="30" t="str">
        <v>Male</v>
      </c>
      <c r="Z113" s="30" t="str">
        <v>Biodex</v>
      </c>
      <c r="AA113" s="30"/>
      <c r="AB113" s="30"/>
      <c r="AC113" s="30"/>
      <c r="AD113" s="30"/>
      <c r="AE113" s="30"/>
      <c r="AF113" s="30"/>
      <c r="AG113" s="30"/>
      <c r="AH113" s="30"/>
      <c r="AI113" s="30"/>
      <c r="AJ113" s="30"/>
      <c r="AK113" s="30"/>
      <c r="AL113" s="30"/>
      <c r="AM113" s="30"/>
      <c r="AN113" s="30"/>
      <c r="AO113" s="30"/>
      <c r="AP113" s="30"/>
      <c r="AQ113" s="30"/>
      <c r="AR113" s="30"/>
      <c r="AS113" s="30"/>
    </row>
    <row r="114" spans="1:45" hidden="1" x14ac:dyDescent="0.25">
      <c r="A114" s="30"/>
      <c r="B114" s="30"/>
      <c r="C114" s="30"/>
      <c r="D114" s="30"/>
      <c r="E114" s="30"/>
      <c r="F114" s="30"/>
      <c r="G114" s="30"/>
      <c r="H114" s="30"/>
      <c r="I114" s="30"/>
      <c r="J114" s="30"/>
      <c r="K114" s="30"/>
      <c r="L114" s="30"/>
      <c r="M114" s="30"/>
      <c r="N114" s="30"/>
      <c r="O114" s="30"/>
      <c r="P114" s="30"/>
      <c r="Q114" s="30"/>
      <c r="R114" s="30"/>
      <c r="S114" s="30"/>
      <c r="T114" s="30"/>
      <c r="U114" s="30" t="str">
        <v>El-Ashker</v>
      </c>
      <c r="V114" s="30" t="str">
        <v>Karate</v>
      </c>
      <c r="W114" s="30" t="str">
        <v>Adults</v>
      </c>
      <c r="X114" s="30" t="str">
        <v>N/A</v>
      </c>
      <c r="Y114" s="30" t="str">
        <v>Male</v>
      </c>
      <c r="Z114" s="30" t="str">
        <v>Biodex</v>
      </c>
      <c r="AA114" s="30"/>
      <c r="AB114" s="30"/>
      <c r="AC114" s="30"/>
      <c r="AD114" s="30"/>
      <c r="AE114" s="30"/>
      <c r="AF114" s="30"/>
      <c r="AG114" s="30"/>
      <c r="AH114" s="30"/>
      <c r="AI114" s="30"/>
      <c r="AJ114" s="30"/>
      <c r="AK114" s="30"/>
      <c r="AL114" s="30"/>
      <c r="AM114" s="30"/>
      <c r="AN114" s="30"/>
      <c r="AO114" s="30"/>
      <c r="AP114" s="30"/>
      <c r="AQ114" s="30"/>
      <c r="AR114" s="30"/>
      <c r="AS114" s="30"/>
    </row>
    <row r="115" spans="1:45" hidden="1" x14ac:dyDescent="0.25">
      <c r="A115" s="30"/>
      <c r="B115" s="30"/>
      <c r="C115" s="30"/>
      <c r="D115" s="30"/>
      <c r="E115" s="30"/>
      <c r="F115" s="30"/>
      <c r="G115" s="30"/>
      <c r="H115" s="30"/>
      <c r="I115" s="30"/>
      <c r="J115" s="30"/>
      <c r="K115" s="30"/>
      <c r="L115" s="30"/>
      <c r="M115" s="30"/>
      <c r="N115" s="30"/>
      <c r="O115" s="30"/>
      <c r="P115" s="30"/>
      <c r="Q115" s="30"/>
      <c r="R115" s="30"/>
      <c r="S115" s="30"/>
      <c r="T115" s="30"/>
      <c r="U115" s="30" t="str">
        <v>El-Ashker</v>
      </c>
      <c r="V115" s="30" t="str">
        <v>Judo</v>
      </c>
      <c r="W115" s="30" t="str">
        <v>Adults</v>
      </c>
      <c r="X115" s="30" t="str">
        <v>N/A</v>
      </c>
      <c r="Y115" s="30" t="str">
        <v>Male</v>
      </c>
      <c r="Z115" s="30" t="str">
        <v>Biodex</v>
      </c>
      <c r="AA115" s="30"/>
      <c r="AB115" s="30"/>
      <c r="AC115" s="30"/>
      <c r="AD115" s="30"/>
      <c r="AE115" s="30"/>
      <c r="AF115" s="30"/>
      <c r="AG115" s="30"/>
      <c r="AH115" s="30"/>
      <c r="AI115" s="30"/>
      <c r="AJ115" s="30"/>
      <c r="AK115" s="30"/>
      <c r="AL115" s="30"/>
      <c r="AM115" s="30"/>
      <c r="AN115" s="30"/>
      <c r="AO115" s="30"/>
      <c r="AP115" s="30"/>
      <c r="AQ115" s="30"/>
      <c r="AR115" s="30"/>
      <c r="AS115" s="30"/>
    </row>
    <row r="116" spans="1:45" hidden="1" x14ac:dyDescent="0.25">
      <c r="A116" s="30"/>
      <c r="B116" s="30"/>
      <c r="C116" s="30"/>
      <c r="D116" s="30"/>
      <c r="E116" s="30"/>
      <c r="F116" s="30"/>
      <c r="G116" s="30"/>
      <c r="H116" s="30"/>
      <c r="I116" s="30"/>
      <c r="J116" s="30"/>
      <c r="K116" s="30"/>
      <c r="L116" s="30"/>
      <c r="M116" s="30"/>
      <c r="N116" s="30"/>
      <c r="O116" s="30"/>
      <c r="P116" s="30"/>
      <c r="Q116" s="30"/>
      <c r="R116" s="30"/>
      <c r="S116" s="30"/>
      <c r="T116" s="30"/>
      <c r="U116" s="30" t="str">
        <v>El-Ashker</v>
      </c>
      <c r="V116" s="30" t="str">
        <v>Judo</v>
      </c>
      <c r="W116" s="30" t="str">
        <v>Adults</v>
      </c>
      <c r="X116" s="30" t="str">
        <v>N/A</v>
      </c>
      <c r="Y116" s="30" t="str">
        <v>Male</v>
      </c>
      <c r="Z116" s="30" t="str">
        <v>Biodex</v>
      </c>
      <c r="AA116" s="30"/>
      <c r="AB116" s="30"/>
      <c r="AC116" s="30"/>
      <c r="AD116" s="30"/>
      <c r="AE116" s="30"/>
      <c r="AF116" s="30"/>
      <c r="AG116" s="30"/>
      <c r="AH116" s="30"/>
      <c r="AI116" s="30"/>
      <c r="AJ116" s="30"/>
      <c r="AK116" s="30"/>
      <c r="AL116" s="30"/>
      <c r="AM116" s="30"/>
      <c r="AN116" s="30"/>
      <c r="AO116" s="30"/>
      <c r="AP116" s="30"/>
      <c r="AQ116" s="30"/>
      <c r="AR116" s="30"/>
      <c r="AS116" s="30"/>
    </row>
    <row r="117" spans="1:45" hidden="1" x14ac:dyDescent="0.25">
      <c r="A117" s="30"/>
      <c r="B117" s="30"/>
      <c r="C117" s="30"/>
      <c r="D117" s="30"/>
      <c r="E117" s="30"/>
      <c r="F117" s="30"/>
      <c r="G117" s="30"/>
      <c r="H117" s="30"/>
      <c r="I117" s="30"/>
      <c r="J117" s="30"/>
      <c r="K117" s="30"/>
      <c r="L117" s="30"/>
      <c r="M117" s="30"/>
      <c r="N117" s="30"/>
      <c r="O117" s="30"/>
      <c r="P117" s="30"/>
      <c r="Q117" s="30"/>
      <c r="R117" s="30"/>
      <c r="S117" s="30"/>
      <c r="T117" s="30"/>
      <c r="U117" s="30" t="str">
        <v>El-Ashker</v>
      </c>
      <c r="V117" s="30" t="str">
        <v>Boxing</v>
      </c>
      <c r="W117" s="30" t="str">
        <v>Adults</v>
      </c>
      <c r="X117" s="30" t="str">
        <v>N/A</v>
      </c>
      <c r="Y117" s="30" t="str">
        <v>Male</v>
      </c>
      <c r="Z117" s="30" t="str">
        <v>Biodex</v>
      </c>
      <c r="AA117" s="30"/>
      <c r="AB117" s="30"/>
      <c r="AC117" s="30"/>
      <c r="AD117" s="30"/>
      <c r="AE117" s="30"/>
      <c r="AF117" s="30"/>
      <c r="AG117" s="30"/>
      <c r="AH117" s="30"/>
      <c r="AI117" s="30"/>
      <c r="AJ117" s="30"/>
      <c r="AK117" s="30"/>
      <c r="AL117" s="30"/>
      <c r="AM117" s="30"/>
      <c r="AN117" s="30"/>
      <c r="AO117" s="30"/>
      <c r="AP117" s="30"/>
      <c r="AQ117" s="30"/>
      <c r="AR117" s="30"/>
      <c r="AS117" s="30"/>
    </row>
    <row r="118" spans="1:45" hidden="1" x14ac:dyDescent="0.25">
      <c r="A118" s="30"/>
      <c r="B118" s="30"/>
      <c r="C118" s="30"/>
      <c r="D118" s="30"/>
      <c r="E118" s="30"/>
      <c r="F118" s="30"/>
      <c r="G118" s="30"/>
      <c r="H118" s="30"/>
      <c r="I118" s="30"/>
      <c r="J118" s="30"/>
      <c r="K118" s="30"/>
      <c r="L118" s="30"/>
      <c r="M118" s="30"/>
      <c r="N118" s="30"/>
      <c r="O118" s="30"/>
      <c r="P118" s="30"/>
      <c r="Q118" s="30"/>
      <c r="R118" s="30"/>
      <c r="S118" s="30"/>
      <c r="T118" s="30"/>
      <c r="U118" s="30" t="str">
        <v>El-Ashker</v>
      </c>
      <c r="V118" s="30" t="str">
        <v>Boxing</v>
      </c>
      <c r="W118" s="30" t="str">
        <v>Adults</v>
      </c>
      <c r="X118" s="30" t="str">
        <v>N/A</v>
      </c>
      <c r="Y118" s="30" t="str">
        <v>Male</v>
      </c>
      <c r="Z118" s="30" t="str">
        <v>Biodex</v>
      </c>
      <c r="AA118" s="30"/>
      <c r="AB118" s="30"/>
      <c r="AC118" s="30"/>
      <c r="AD118" s="30"/>
      <c r="AE118" s="30"/>
      <c r="AF118" s="30"/>
      <c r="AG118" s="30"/>
      <c r="AH118" s="30"/>
      <c r="AI118" s="30"/>
      <c r="AJ118" s="30"/>
      <c r="AK118" s="30"/>
      <c r="AL118" s="30"/>
      <c r="AM118" s="30"/>
      <c r="AN118" s="30"/>
      <c r="AO118" s="30"/>
      <c r="AP118" s="30"/>
      <c r="AQ118" s="30"/>
      <c r="AR118" s="30"/>
      <c r="AS118" s="30"/>
    </row>
    <row r="119" spans="1:45" hidden="1" x14ac:dyDescent="0.25">
      <c r="A119" s="30"/>
      <c r="B119" s="30"/>
      <c r="C119" s="30"/>
      <c r="D119" s="30"/>
      <c r="E119" s="30"/>
      <c r="F119" s="30"/>
      <c r="G119" s="30"/>
      <c r="H119" s="30"/>
      <c r="I119" s="30"/>
      <c r="J119" s="30"/>
      <c r="K119" s="30"/>
      <c r="L119" s="30"/>
      <c r="M119" s="30"/>
      <c r="N119" s="30"/>
      <c r="O119" s="30"/>
      <c r="P119" s="30"/>
      <c r="Q119" s="30"/>
      <c r="R119" s="30"/>
      <c r="S119" s="30"/>
      <c r="T119" s="30"/>
      <c r="U119" s="30" t="str">
        <v>El-Ashker</v>
      </c>
      <c r="V119" s="30" t="str">
        <v>Taekwondo</v>
      </c>
      <c r="W119" s="30" t="str">
        <v>Adults</v>
      </c>
      <c r="X119" s="30" t="str">
        <v>N/A</v>
      </c>
      <c r="Y119" s="30" t="str">
        <v>Male</v>
      </c>
      <c r="Z119" s="30" t="str">
        <v>Biodex</v>
      </c>
      <c r="AA119" s="30"/>
      <c r="AB119" s="30"/>
      <c r="AC119" s="30"/>
      <c r="AD119" s="30"/>
      <c r="AE119" s="30"/>
      <c r="AF119" s="30"/>
      <c r="AG119" s="30"/>
      <c r="AH119" s="30"/>
      <c r="AI119" s="30"/>
      <c r="AJ119" s="30"/>
      <c r="AK119" s="30"/>
      <c r="AL119" s="30"/>
      <c r="AM119" s="30"/>
      <c r="AN119" s="30"/>
      <c r="AO119" s="30"/>
      <c r="AP119" s="30"/>
      <c r="AQ119" s="30"/>
      <c r="AR119" s="30"/>
      <c r="AS119" s="30"/>
    </row>
    <row r="120" spans="1:45" hidden="1" x14ac:dyDescent="0.25">
      <c r="A120" s="30"/>
      <c r="B120" s="30"/>
      <c r="C120" s="30"/>
      <c r="D120" s="30"/>
      <c r="E120" s="30"/>
      <c r="F120" s="30"/>
      <c r="G120" s="30"/>
      <c r="H120" s="30"/>
      <c r="I120" s="30"/>
      <c r="J120" s="30"/>
      <c r="K120" s="30"/>
      <c r="L120" s="30"/>
      <c r="M120" s="30"/>
      <c r="N120" s="30"/>
      <c r="O120" s="30"/>
      <c r="P120" s="30"/>
      <c r="Q120" s="30"/>
      <c r="R120" s="30"/>
      <c r="S120" s="30"/>
      <c r="T120" s="30"/>
      <c r="U120" s="30" t="str">
        <v>El-Ashker</v>
      </c>
      <c r="V120" s="30" t="str">
        <v>Taekwondo</v>
      </c>
      <c r="W120" s="30" t="str">
        <v>Adults</v>
      </c>
      <c r="X120" s="30" t="str">
        <v>N/A</v>
      </c>
      <c r="Y120" s="30" t="str">
        <v>Male</v>
      </c>
      <c r="Z120" s="30" t="str">
        <v>Biodex</v>
      </c>
      <c r="AA120" s="30"/>
      <c r="AB120" s="30"/>
      <c r="AC120" s="30"/>
      <c r="AD120" s="30"/>
      <c r="AE120" s="30"/>
      <c r="AF120" s="30"/>
      <c r="AG120" s="30"/>
      <c r="AH120" s="30"/>
      <c r="AI120" s="30"/>
      <c r="AJ120" s="30"/>
      <c r="AK120" s="30"/>
      <c r="AL120" s="30"/>
      <c r="AM120" s="30"/>
      <c r="AN120" s="30"/>
      <c r="AO120" s="30"/>
      <c r="AP120" s="30"/>
      <c r="AQ120" s="30"/>
      <c r="AR120" s="30"/>
      <c r="AS120" s="30"/>
    </row>
    <row r="121" spans="1:45" hidden="1" x14ac:dyDescent="0.25">
      <c r="A121" s="30"/>
      <c r="B121" s="30"/>
      <c r="C121" s="30"/>
      <c r="D121" s="30"/>
      <c r="E121" s="30"/>
      <c r="F121" s="30"/>
      <c r="G121" s="30"/>
      <c r="H121" s="30"/>
      <c r="I121" s="30"/>
      <c r="J121" s="30"/>
      <c r="K121" s="30"/>
      <c r="L121" s="30"/>
      <c r="M121" s="30"/>
      <c r="N121" s="30"/>
      <c r="O121" s="30"/>
      <c r="P121" s="30"/>
      <c r="Q121" s="30"/>
      <c r="R121" s="30"/>
      <c r="S121" s="30"/>
      <c r="T121" s="30"/>
      <c r="U121" s="30" t="str">
        <v>El-Ashker</v>
      </c>
      <c r="V121" s="30" t="str">
        <v>Karate</v>
      </c>
      <c r="W121" s="30" t="str">
        <v>Adults</v>
      </c>
      <c r="X121" s="30" t="str">
        <v>N/A</v>
      </c>
      <c r="Y121" s="30" t="str">
        <v>Male</v>
      </c>
      <c r="Z121" s="30" t="str">
        <v>Biodex</v>
      </c>
      <c r="AA121" s="30"/>
      <c r="AB121" s="30"/>
      <c r="AC121" s="30"/>
      <c r="AD121" s="30"/>
      <c r="AE121" s="30"/>
      <c r="AF121" s="30"/>
      <c r="AG121" s="30"/>
      <c r="AH121" s="30"/>
      <c r="AI121" s="30"/>
      <c r="AJ121" s="30"/>
      <c r="AK121" s="30"/>
      <c r="AL121" s="30"/>
      <c r="AM121" s="30"/>
      <c r="AN121" s="30"/>
      <c r="AO121" s="30"/>
      <c r="AP121" s="30"/>
      <c r="AQ121" s="30"/>
      <c r="AR121" s="30"/>
      <c r="AS121" s="30"/>
    </row>
    <row r="122" spans="1:45" hidden="1" x14ac:dyDescent="0.25">
      <c r="A122" s="30"/>
      <c r="B122" s="30"/>
      <c r="C122" s="30"/>
      <c r="D122" s="30"/>
      <c r="E122" s="30"/>
      <c r="F122" s="30"/>
      <c r="G122" s="30"/>
      <c r="H122" s="30"/>
      <c r="I122" s="30"/>
      <c r="J122" s="30"/>
      <c r="K122" s="30"/>
      <c r="L122" s="30"/>
      <c r="M122" s="30"/>
      <c r="N122" s="30"/>
      <c r="O122" s="30"/>
      <c r="P122" s="30"/>
      <c r="Q122" s="30"/>
      <c r="R122" s="30"/>
      <c r="S122" s="30"/>
      <c r="T122" s="30"/>
      <c r="U122" s="30" t="str">
        <v>El-Ashker</v>
      </c>
      <c r="V122" s="30" t="str">
        <v>Karate</v>
      </c>
      <c r="W122" s="30" t="str">
        <v>Adults</v>
      </c>
      <c r="X122" s="30" t="str">
        <v>N/A</v>
      </c>
      <c r="Y122" s="30" t="str">
        <v>Male</v>
      </c>
      <c r="Z122" s="30" t="str">
        <v>Biodex</v>
      </c>
      <c r="AA122" s="30"/>
      <c r="AB122" s="30"/>
      <c r="AC122" s="30"/>
      <c r="AD122" s="30"/>
      <c r="AE122" s="30"/>
      <c r="AF122" s="30"/>
      <c r="AG122" s="30"/>
      <c r="AH122" s="30"/>
      <c r="AI122" s="30"/>
      <c r="AJ122" s="30"/>
      <c r="AK122" s="30"/>
      <c r="AL122" s="30"/>
      <c r="AM122" s="30"/>
      <c r="AN122" s="30"/>
      <c r="AO122" s="30"/>
      <c r="AP122" s="30"/>
      <c r="AQ122" s="30"/>
      <c r="AR122" s="30"/>
      <c r="AS122" s="30"/>
    </row>
    <row r="123" spans="1:45" hidden="1" x14ac:dyDescent="0.25">
      <c r="A123" s="30"/>
      <c r="B123" s="30"/>
      <c r="C123" s="30"/>
      <c r="D123" s="30"/>
      <c r="E123" s="30"/>
      <c r="F123" s="30"/>
      <c r="G123" s="30"/>
      <c r="H123" s="30"/>
      <c r="I123" s="30"/>
      <c r="J123" s="30"/>
      <c r="K123" s="30"/>
      <c r="L123" s="30"/>
      <c r="M123" s="30"/>
      <c r="N123" s="30"/>
      <c r="O123" s="30"/>
      <c r="P123" s="30"/>
      <c r="Q123" s="30"/>
      <c r="R123" s="30"/>
      <c r="S123" s="30"/>
      <c r="T123" s="30"/>
      <c r="U123" s="30" t="str">
        <v>El-Ashker</v>
      </c>
      <c r="V123" s="30" t="str">
        <v>Judo</v>
      </c>
      <c r="W123" s="30" t="str">
        <v>Adults</v>
      </c>
      <c r="X123" s="30" t="str">
        <v>N/A</v>
      </c>
      <c r="Y123" s="30" t="str">
        <v>Male</v>
      </c>
      <c r="Z123" s="30" t="str">
        <v>Biodex</v>
      </c>
      <c r="AA123" s="30"/>
      <c r="AB123" s="30"/>
      <c r="AC123" s="30"/>
      <c r="AD123" s="30"/>
      <c r="AE123" s="30"/>
      <c r="AF123" s="30"/>
      <c r="AG123" s="30"/>
      <c r="AH123" s="30"/>
      <c r="AI123" s="30"/>
      <c r="AJ123" s="30"/>
      <c r="AK123" s="30"/>
      <c r="AL123" s="30"/>
      <c r="AM123" s="30"/>
      <c r="AN123" s="30"/>
      <c r="AO123" s="30"/>
      <c r="AP123" s="30"/>
      <c r="AQ123" s="30"/>
      <c r="AR123" s="30"/>
      <c r="AS123" s="30"/>
    </row>
    <row r="124" spans="1:45" hidden="1" x14ac:dyDescent="0.25">
      <c r="A124" s="30"/>
      <c r="B124" s="30"/>
      <c r="C124" s="30"/>
      <c r="D124" s="30"/>
      <c r="E124" s="30"/>
      <c r="F124" s="30"/>
      <c r="G124" s="30"/>
      <c r="H124" s="30"/>
      <c r="I124" s="30"/>
      <c r="J124" s="30"/>
      <c r="K124" s="30"/>
      <c r="L124" s="30"/>
      <c r="M124" s="30"/>
      <c r="N124" s="30"/>
      <c r="O124" s="30"/>
      <c r="P124" s="30"/>
      <c r="Q124" s="30"/>
      <c r="R124" s="30"/>
      <c r="S124" s="30"/>
      <c r="T124" s="30"/>
      <c r="U124" s="30" t="str">
        <v>El-Ashker</v>
      </c>
      <c r="V124" s="30" t="str">
        <v>Judo</v>
      </c>
      <c r="W124" s="30" t="str">
        <v>Adults</v>
      </c>
      <c r="X124" s="30" t="str">
        <v>N/A</v>
      </c>
      <c r="Y124" s="30" t="str">
        <v>Male</v>
      </c>
      <c r="Z124" s="30" t="str">
        <v>Biodex</v>
      </c>
      <c r="AA124" s="30"/>
      <c r="AB124" s="30"/>
      <c r="AC124" s="30"/>
      <c r="AD124" s="30"/>
      <c r="AE124" s="30"/>
      <c r="AF124" s="30"/>
      <c r="AG124" s="30"/>
      <c r="AH124" s="30"/>
      <c r="AI124" s="30"/>
      <c r="AJ124" s="30"/>
      <c r="AK124" s="30"/>
      <c r="AL124" s="30"/>
      <c r="AM124" s="30"/>
      <c r="AN124" s="30"/>
      <c r="AO124" s="30"/>
      <c r="AP124" s="30"/>
      <c r="AQ124" s="30"/>
      <c r="AR124" s="30"/>
      <c r="AS124" s="30"/>
    </row>
    <row r="125" spans="1:45" hidden="1" x14ac:dyDescent="0.25">
      <c r="A125" s="30"/>
      <c r="B125" s="30"/>
      <c r="C125" s="30"/>
      <c r="D125" s="30"/>
      <c r="E125" s="30"/>
      <c r="F125" s="30"/>
      <c r="G125" s="30"/>
      <c r="H125" s="30"/>
      <c r="I125" s="30"/>
      <c r="J125" s="30"/>
      <c r="K125" s="30"/>
      <c r="L125" s="30"/>
      <c r="M125" s="30"/>
      <c r="N125" s="30"/>
      <c r="O125" s="30"/>
      <c r="P125" s="30"/>
      <c r="Q125" s="30"/>
      <c r="R125" s="30"/>
      <c r="S125" s="30"/>
      <c r="T125" s="30"/>
      <c r="U125" s="30" t="str">
        <v>El-Ashker</v>
      </c>
      <c r="V125" s="30" t="str">
        <v>Boxing</v>
      </c>
      <c r="W125" s="30" t="str">
        <v>Adults</v>
      </c>
      <c r="X125" s="30" t="str">
        <v>N/A</v>
      </c>
      <c r="Y125" s="30" t="str">
        <v>Male</v>
      </c>
      <c r="Z125" s="30" t="str">
        <v>Biodex</v>
      </c>
      <c r="AA125" s="30"/>
      <c r="AB125" s="30"/>
      <c r="AC125" s="30"/>
      <c r="AD125" s="30"/>
      <c r="AE125" s="30"/>
      <c r="AF125" s="30"/>
      <c r="AG125" s="30"/>
      <c r="AH125" s="30"/>
      <c r="AI125" s="30"/>
      <c r="AJ125" s="30"/>
      <c r="AK125" s="30"/>
      <c r="AL125" s="30"/>
      <c r="AM125" s="30"/>
      <c r="AN125" s="30"/>
      <c r="AO125" s="30"/>
      <c r="AP125" s="30"/>
      <c r="AQ125" s="30"/>
      <c r="AR125" s="30"/>
      <c r="AS125" s="30"/>
    </row>
    <row r="126" spans="1:45" hidden="1" x14ac:dyDescent="0.25">
      <c r="A126" s="30"/>
      <c r="B126" s="30"/>
      <c r="C126" s="30"/>
      <c r="D126" s="30"/>
      <c r="E126" s="30"/>
      <c r="F126" s="30"/>
      <c r="G126" s="30"/>
      <c r="H126" s="30"/>
      <c r="I126" s="30"/>
      <c r="J126" s="30"/>
      <c r="K126" s="30"/>
      <c r="L126" s="30"/>
      <c r="M126" s="30"/>
      <c r="N126" s="30"/>
      <c r="O126" s="30"/>
      <c r="P126" s="30"/>
      <c r="Q126" s="30"/>
      <c r="R126" s="30"/>
      <c r="S126" s="30"/>
      <c r="T126" s="30"/>
      <c r="U126" s="30" t="str">
        <v>El-Ashker</v>
      </c>
      <c r="V126" s="30" t="str">
        <v>Boxing</v>
      </c>
      <c r="W126" s="30" t="str">
        <v>Adults</v>
      </c>
      <c r="X126" s="30" t="str">
        <v>N/A</v>
      </c>
      <c r="Y126" s="30" t="str">
        <v>Male</v>
      </c>
      <c r="Z126" s="30" t="str">
        <v>Biodex</v>
      </c>
      <c r="AA126" s="30"/>
      <c r="AB126" s="30"/>
      <c r="AC126" s="30"/>
      <c r="AD126" s="30"/>
      <c r="AE126" s="30"/>
      <c r="AF126" s="30"/>
      <c r="AG126" s="30"/>
      <c r="AH126" s="30"/>
      <c r="AI126" s="30"/>
      <c r="AJ126" s="30"/>
      <c r="AK126" s="30"/>
      <c r="AL126" s="30"/>
      <c r="AM126" s="30"/>
      <c r="AN126" s="30"/>
      <c r="AO126" s="30"/>
      <c r="AP126" s="30"/>
      <c r="AQ126" s="30"/>
      <c r="AR126" s="30"/>
      <c r="AS126" s="30"/>
    </row>
    <row r="127" spans="1:45" hidden="1" x14ac:dyDescent="0.25">
      <c r="A127" s="30"/>
      <c r="B127" s="30"/>
      <c r="C127" s="30"/>
      <c r="D127" s="30"/>
      <c r="E127" s="30"/>
      <c r="F127" s="30"/>
      <c r="G127" s="30"/>
      <c r="H127" s="30"/>
      <c r="I127" s="30"/>
      <c r="J127" s="30"/>
      <c r="K127" s="30"/>
      <c r="L127" s="30"/>
      <c r="M127" s="30"/>
      <c r="N127" s="30"/>
      <c r="O127" s="30"/>
      <c r="P127" s="30"/>
      <c r="Q127" s="30"/>
      <c r="R127" s="30"/>
      <c r="S127" s="30"/>
      <c r="T127" s="30"/>
      <c r="U127" s="30" t="str">
        <v>El-Ashker</v>
      </c>
      <c r="V127" s="30" t="str">
        <v>Taekwondo</v>
      </c>
      <c r="W127" s="30" t="str">
        <v>Adults</v>
      </c>
      <c r="X127" s="30" t="str">
        <v>N/A</v>
      </c>
      <c r="Y127" s="30" t="str">
        <v>Male</v>
      </c>
      <c r="Z127" s="30" t="str">
        <v>Biodex</v>
      </c>
      <c r="AA127" s="30"/>
      <c r="AB127" s="30"/>
      <c r="AC127" s="30"/>
      <c r="AD127" s="30"/>
      <c r="AE127" s="30"/>
      <c r="AF127" s="30"/>
      <c r="AG127" s="30"/>
      <c r="AH127" s="30"/>
      <c r="AI127" s="30"/>
      <c r="AJ127" s="30"/>
      <c r="AK127" s="30"/>
      <c r="AL127" s="30"/>
      <c r="AM127" s="30"/>
      <c r="AN127" s="30"/>
      <c r="AO127" s="30"/>
      <c r="AP127" s="30"/>
      <c r="AQ127" s="30"/>
      <c r="AR127" s="30"/>
      <c r="AS127" s="30"/>
    </row>
    <row r="128" spans="1:45" hidden="1" x14ac:dyDescent="0.25">
      <c r="A128" s="30"/>
      <c r="B128" s="30"/>
      <c r="C128" s="30"/>
      <c r="D128" s="30"/>
      <c r="E128" s="30"/>
      <c r="F128" s="30"/>
      <c r="G128" s="30"/>
      <c r="H128" s="30"/>
      <c r="I128" s="30"/>
      <c r="J128" s="30"/>
      <c r="K128" s="30"/>
      <c r="L128" s="30"/>
      <c r="M128" s="30"/>
      <c r="N128" s="30"/>
      <c r="O128" s="30"/>
      <c r="P128" s="30"/>
      <c r="Q128" s="30"/>
      <c r="R128" s="30"/>
      <c r="S128" s="30"/>
      <c r="T128" s="30"/>
      <c r="U128" s="30" t="str">
        <v>El-Ashker</v>
      </c>
      <c r="V128" s="30" t="str">
        <v>Taekwondo</v>
      </c>
      <c r="W128" s="30" t="str">
        <v>Adults</v>
      </c>
      <c r="X128" s="30" t="str">
        <v>N/A</v>
      </c>
      <c r="Y128" s="30" t="str">
        <v>Male</v>
      </c>
      <c r="Z128" s="30" t="str">
        <v>Biodex</v>
      </c>
      <c r="AA128" s="30"/>
      <c r="AB128" s="30"/>
      <c r="AC128" s="30"/>
      <c r="AD128" s="30"/>
      <c r="AE128" s="30"/>
      <c r="AF128" s="30"/>
      <c r="AG128" s="30"/>
      <c r="AH128" s="30"/>
      <c r="AI128" s="30"/>
      <c r="AJ128" s="30"/>
      <c r="AK128" s="30"/>
      <c r="AL128" s="30"/>
      <c r="AM128" s="30"/>
      <c r="AN128" s="30"/>
      <c r="AO128" s="30"/>
      <c r="AP128" s="30"/>
      <c r="AQ128" s="30"/>
      <c r="AR128" s="30"/>
      <c r="AS128" s="30"/>
    </row>
    <row r="129" spans="1:45" hidden="1" x14ac:dyDescent="0.25">
      <c r="A129" s="30"/>
      <c r="B129" s="30"/>
      <c r="C129" s="30"/>
      <c r="D129" s="30"/>
      <c r="E129" s="30"/>
      <c r="F129" s="30"/>
      <c r="G129" s="30"/>
      <c r="H129" s="30"/>
      <c r="I129" s="30"/>
      <c r="J129" s="30"/>
      <c r="K129" s="30"/>
      <c r="L129" s="30"/>
      <c r="M129" s="30"/>
      <c r="N129" s="30"/>
      <c r="O129" s="30"/>
      <c r="P129" s="30"/>
      <c r="Q129" s="30"/>
      <c r="R129" s="30"/>
      <c r="S129" s="30"/>
      <c r="T129" s="30"/>
      <c r="U129" s="30" t="str">
        <v>El-Ashker</v>
      </c>
      <c r="V129" s="30" t="str">
        <v>Karate</v>
      </c>
      <c r="W129" s="30" t="str">
        <v>Adults</v>
      </c>
      <c r="X129" s="30" t="str">
        <v>N/A</v>
      </c>
      <c r="Y129" s="30" t="str">
        <v>Male</v>
      </c>
      <c r="Z129" s="30" t="str">
        <v>Biodex</v>
      </c>
      <c r="AA129" s="30"/>
      <c r="AB129" s="30"/>
      <c r="AC129" s="30"/>
      <c r="AD129" s="30"/>
      <c r="AE129" s="30"/>
      <c r="AF129" s="30"/>
      <c r="AG129" s="30"/>
      <c r="AH129" s="30"/>
      <c r="AI129" s="30"/>
      <c r="AJ129" s="30"/>
      <c r="AK129" s="30"/>
      <c r="AL129" s="30"/>
      <c r="AM129" s="30"/>
      <c r="AN129" s="30"/>
      <c r="AO129" s="30"/>
      <c r="AP129" s="30"/>
      <c r="AQ129" s="30"/>
      <c r="AR129" s="30"/>
      <c r="AS129" s="30"/>
    </row>
    <row r="130" spans="1:45" hidden="1" x14ac:dyDescent="0.25">
      <c r="A130" s="30"/>
      <c r="B130" s="30"/>
      <c r="C130" s="30"/>
      <c r="D130" s="30"/>
      <c r="E130" s="30"/>
      <c r="F130" s="30"/>
      <c r="G130" s="30"/>
      <c r="H130" s="30"/>
      <c r="I130" s="30"/>
      <c r="J130" s="30"/>
      <c r="K130" s="30"/>
      <c r="L130" s="30"/>
      <c r="M130" s="30"/>
      <c r="N130" s="30"/>
      <c r="O130" s="30"/>
      <c r="P130" s="30"/>
      <c r="Q130" s="30"/>
      <c r="R130" s="30"/>
      <c r="S130" s="30"/>
      <c r="T130" s="30"/>
      <c r="U130" s="30" t="str">
        <v>El-Ashker</v>
      </c>
      <c r="V130" s="30" t="str">
        <v>Karate</v>
      </c>
      <c r="W130" s="30" t="str">
        <v>Adults</v>
      </c>
      <c r="X130" s="30" t="str">
        <v>N/A</v>
      </c>
      <c r="Y130" s="30" t="str">
        <v>Male</v>
      </c>
      <c r="Z130" s="30" t="str">
        <v>Biodex</v>
      </c>
      <c r="AA130" s="30"/>
      <c r="AB130" s="30"/>
      <c r="AC130" s="30"/>
      <c r="AD130" s="30"/>
      <c r="AE130" s="30"/>
      <c r="AF130" s="30"/>
      <c r="AG130" s="30"/>
      <c r="AH130" s="30"/>
      <c r="AI130" s="30"/>
      <c r="AJ130" s="30"/>
      <c r="AK130" s="30"/>
      <c r="AL130" s="30"/>
      <c r="AM130" s="30"/>
      <c r="AN130" s="30"/>
      <c r="AO130" s="30"/>
      <c r="AP130" s="30"/>
      <c r="AQ130" s="30"/>
      <c r="AR130" s="30"/>
      <c r="AS130" s="30"/>
    </row>
    <row r="131" spans="1:45" hidden="1" x14ac:dyDescent="0.25">
      <c r="A131" s="30"/>
      <c r="B131" s="30"/>
      <c r="C131" s="30"/>
      <c r="D131" s="30"/>
      <c r="E131" s="30"/>
      <c r="F131" s="30"/>
      <c r="G131" s="30"/>
      <c r="H131" s="30"/>
      <c r="I131" s="30"/>
      <c r="J131" s="30"/>
      <c r="K131" s="30"/>
      <c r="L131" s="30"/>
      <c r="M131" s="30"/>
      <c r="N131" s="30"/>
      <c r="O131" s="30"/>
      <c r="P131" s="30"/>
      <c r="Q131" s="30"/>
      <c r="R131" s="30"/>
      <c r="S131" s="30"/>
      <c r="T131" s="30"/>
      <c r="U131" s="30" t="str">
        <v>El-Ashker</v>
      </c>
      <c r="V131" s="30" t="str">
        <v>Judo</v>
      </c>
      <c r="W131" s="30" t="str">
        <v>Adults</v>
      </c>
      <c r="X131" s="30" t="str">
        <v>N/A</v>
      </c>
      <c r="Y131" s="30" t="str">
        <v>Male</v>
      </c>
      <c r="Z131" s="30" t="str">
        <v>Biodex</v>
      </c>
      <c r="AA131" s="30"/>
      <c r="AB131" s="30"/>
      <c r="AC131" s="30"/>
      <c r="AD131" s="30"/>
      <c r="AE131" s="30"/>
      <c r="AF131" s="30"/>
      <c r="AG131" s="30"/>
      <c r="AH131" s="30"/>
      <c r="AI131" s="30"/>
      <c r="AJ131" s="30"/>
      <c r="AK131" s="30"/>
      <c r="AL131" s="30"/>
      <c r="AM131" s="30"/>
      <c r="AN131" s="30"/>
      <c r="AO131" s="30"/>
      <c r="AP131" s="30"/>
      <c r="AQ131" s="30"/>
      <c r="AR131" s="30"/>
      <c r="AS131" s="30"/>
    </row>
    <row r="132" spans="1:45" hidden="1" x14ac:dyDescent="0.25">
      <c r="A132" s="30"/>
      <c r="B132" s="30"/>
      <c r="C132" s="30"/>
      <c r="D132" s="30"/>
      <c r="E132" s="30"/>
      <c r="F132" s="30"/>
      <c r="G132" s="30"/>
      <c r="H132" s="30"/>
      <c r="I132" s="30"/>
      <c r="J132" s="30"/>
      <c r="K132" s="30"/>
      <c r="L132" s="30"/>
      <c r="M132" s="30"/>
      <c r="N132" s="30"/>
      <c r="O132" s="30"/>
      <c r="P132" s="30"/>
      <c r="Q132" s="30"/>
      <c r="R132" s="30"/>
      <c r="S132" s="30"/>
      <c r="T132" s="30"/>
      <c r="U132" s="30" t="str">
        <v>El-Ashker</v>
      </c>
      <c r="V132" s="30" t="str">
        <v>Judo</v>
      </c>
      <c r="W132" s="30" t="str">
        <v>Adults</v>
      </c>
      <c r="X132" s="30" t="str">
        <v>N/A</v>
      </c>
      <c r="Y132" s="30" t="str">
        <v>Male</v>
      </c>
      <c r="Z132" s="30" t="str">
        <v>Biodex</v>
      </c>
      <c r="AA132" s="30"/>
      <c r="AB132" s="30"/>
      <c r="AC132" s="30"/>
      <c r="AD132" s="30"/>
      <c r="AE132" s="30"/>
      <c r="AF132" s="30"/>
      <c r="AG132" s="30"/>
      <c r="AH132" s="30"/>
      <c r="AI132" s="30"/>
      <c r="AJ132" s="30"/>
      <c r="AK132" s="30"/>
      <c r="AL132" s="30"/>
      <c r="AM132" s="30"/>
      <c r="AN132" s="30"/>
      <c r="AO132" s="30"/>
      <c r="AP132" s="30"/>
      <c r="AQ132" s="30"/>
      <c r="AR132" s="30"/>
      <c r="AS132" s="30"/>
    </row>
    <row r="133" spans="1:45" hidden="1" x14ac:dyDescent="0.25">
      <c r="A133" s="30"/>
      <c r="B133" s="30"/>
      <c r="C133" s="30"/>
      <c r="D133" s="30"/>
      <c r="E133" s="30"/>
      <c r="F133" s="30"/>
      <c r="G133" s="30"/>
      <c r="H133" s="30"/>
      <c r="I133" s="30"/>
      <c r="J133" s="30"/>
      <c r="K133" s="30"/>
      <c r="L133" s="30"/>
      <c r="M133" s="30"/>
      <c r="N133" s="30"/>
      <c r="O133" s="30"/>
      <c r="P133" s="30"/>
      <c r="Q133" s="30"/>
      <c r="R133" s="30"/>
      <c r="S133" s="30"/>
      <c r="T133" s="30"/>
      <c r="U133" s="30" t="str">
        <v>El-Ashker</v>
      </c>
      <c r="V133" s="30" t="str">
        <v>Boxing</v>
      </c>
      <c r="W133" s="30" t="str">
        <v>Adults</v>
      </c>
      <c r="X133" s="30" t="str">
        <v>N/A</v>
      </c>
      <c r="Y133" s="30" t="str">
        <v>Male</v>
      </c>
      <c r="Z133" s="30" t="str">
        <v>Biodex</v>
      </c>
      <c r="AA133" s="30"/>
      <c r="AB133" s="30"/>
      <c r="AC133" s="30"/>
      <c r="AD133" s="30"/>
      <c r="AE133" s="30"/>
      <c r="AF133" s="30"/>
      <c r="AG133" s="30"/>
      <c r="AH133" s="30"/>
      <c r="AI133" s="30"/>
      <c r="AJ133" s="30"/>
      <c r="AK133" s="30"/>
      <c r="AL133" s="30"/>
      <c r="AM133" s="30"/>
      <c r="AN133" s="30"/>
      <c r="AO133" s="30"/>
      <c r="AP133" s="30"/>
      <c r="AQ133" s="30"/>
      <c r="AR133" s="30"/>
      <c r="AS133" s="30"/>
    </row>
    <row r="134" spans="1:45" hidden="1" x14ac:dyDescent="0.25">
      <c r="A134" s="30"/>
      <c r="B134" s="30"/>
      <c r="C134" s="30"/>
      <c r="D134" s="30"/>
      <c r="E134" s="30"/>
      <c r="F134" s="30"/>
      <c r="G134" s="30"/>
      <c r="H134" s="30"/>
      <c r="I134" s="30"/>
      <c r="J134" s="30"/>
      <c r="K134" s="30"/>
      <c r="L134" s="30"/>
      <c r="M134" s="30"/>
      <c r="N134" s="30"/>
      <c r="O134" s="30"/>
      <c r="P134" s="30"/>
      <c r="Q134" s="30"/>
      <c r="R134" s="30"/>
      <c r="S134" s="30"/>
      <c r="T134" s="30"/>
      <c r="U134" s="30" t="str">
        <v>El-Ashker</v>
      </c>
      <c r="V134" s="30" t="str">
        <v>Boxing</v>
      </c>
      <c r="W134" s="30" t="str">
        <v>Adults</v>
      </c>
      <c r="X134" s="30" t="str">
        <v>N/A</v>
      </c>
      <c r="Y134" s="30" t="str">
        <v>Male</v>
      </c>
      <c r="Z134" s="30" t="str">
        <v>Biodex</v>
      </c>
      <c r="AA134" s="30"/>
      <c r="AB134" s="30"/>
      <c r="AC134" s="30"/>
      <c r="AD134" s="30"/>
      <c r="AE134" s="30"/>
      <c r="AF134" s="30"/>
      <c r="AG134" s="30"/>
      <c r="AH134" s="30"/>
      <c r="AI134" s="30"/>
      <c r="AJ134" s="30"/>
      <c r="AK134" s="30"/>
      <c r="AL134" s="30"/>
      <c r="AM134" s="30"/>
      <c r="AN134" s="30"/>
      <c r="AO134" s="30"/>
      <c r="AP134" s="30"/>
      <c r="AQ134" s="30"/>
      <c r="AR134" s="30"/>
      <c r="AS134" s="30"/>
    </row>
    <row r="135" spans="1:45" hidden="1" x14ac:dyDescent="0.25">
      <c r="A135" s="30"/>
      <c r="B135" s="30"/>
      <c r="C135" s="30"/>
      <c r="D135" s="30"/>
      <c r="E135" s="30"/>
      <c r="F135" s="30"/>
      <c r="G135" s="30"/>
      <c r="H135" s="30"/>
      <c r="I135" s="30"/>
      <c r="J135" s="30"/>
      <c r="K135" s="30"/>
      <c r="L135" s="30"/>
      <c r="M135" s="30"/>
      <c r="N135" s="30"/>
      <c r="O135" s="30"/>
      <c r="P135" s="30"/>
      <c r="Q135" s="30"/>
      <c r="R135" s="30"/>
      <c r="S135" s="30"/>
      <c r="T135" s="30"/>
      <c r="U135" s="30" t="str">
        <v>El-Ashker</v>
      </c>
      <c r="V135" s="30" t="str">
        <v>Taekwondo</v>
      </c>
      <c r="W135" s="30" t="str">
        <v>Adults</v>
      </c>
      <c r="X135" s="30" t="str">
        <v>N/A</v>
      </c>
      <c r="Y135" s="30" t="str">
        <v>Male</v>
      </c>
      <c r="Z135" s="30" t="str">
        <v>Biodex</v>
      </c>
      <c r="AA135" s="30"/>
      <c r="AB135" s="30"/>
      <c r="AC135" s="30"/>
      <c r="AD135" s="30"/>
      <c r="AE135" s="30"/>
      <c r="AF135" s="30"/>
      <c r="AG135" s="30"/>
      <c r="AH135" s="30"/>
      <c r="AI135" s="30"/>
      <c r="AJ135" s="30"/>
      <c r="AK135" s="30"/>
      <c r="AL135" s="30"/>
      <c r="AM135" s="30"/>
      <c r="AN135" s="30"/>
      <c r="AO135" s="30"/>
      <c r="AP135" s="30"/>
      <c r="AQ135" s="30"/>
      <c r="AR135" s="30"/>
      <c r="AS135" s="30"/>
    </row>
    <row r="136" spans="1:45" hidden="1" x14ac:dyDescent="0.25">
      <c r="A136" s="30"/>
      <c r="B136" s="30"/>
      <c r="C136" s="30"/>
      <c r="D136" s="30"/>
      <c r="E136" s="30"/>
      <c r="F136" s="30"/>
      <c r="G136" s="30"/>
      <c r="H136" s="30"/>
      <c r="I136" s="30"/>
      <c r="J136" s="30"/>
      <c r="K136" s="30"/>
      <c r="L136" s="30"/>
      <c r="M136" s="30"/>
      <c r="N136" s="30"/>
      <c r="O136" s="30"/>
      <c r="P136" s="30"/>
      <c r="Q136" s="30"/>
      <c r="R136" s="30"/>
      <c r="S136" s="30"/>
      <c r="T136" s="30"/>
      <c r="U136" s="30" t="str">
        <v>El-Ashker</v>
      </c>
      <c r="V136" s="30" t="str">
        <v>Taekwondo</v>
      </c>
      <c r="W136" s="30" t="str">
        <v>Adults</v>
      </c>
      <c r="X136" s="30" t="str">
        <v>N/A</v>
      </c>
      <c r="Y136" s="30" t="str">
        <v>Male</v>
      </c>
      <c r="Z136" s="30" t="str">
        <v>Biodex</v>
      </c>
      <c r="AA136" s="30"/>
      <c r="AB136" s="30"/>
      <c r="AC136" s="30"/>
      <c r="AD136" s="30"/>
      <c r="AE136" s="30"/>
      <c r="AF136" s="30"/>
      <c r="AG136" s="30"/>
      <c r="AH136" s="30"/>
      <c r="AI136" s="30"/>
      <c r="AJ136" s="30"/>
      <c r="AK136" s="30"/>
      <c r="AL136" s="30"/>
      <c r="AM136" s="30"/>
      <c r="AN136" s="30"/>
      <c r="AO136" s="30"/>
      <c r="AP136" s="30"/>
      <c r="AQ136" s="30"/>
      <c r="AR136" s="30"/>
      <c r="AS136" s="30"/>
    </row>
    <row r="137" spans="1:45" hidden="1" x14ac:dyDescent="0.25">
      <c r="A137" s="30"/>
      <c r="B137" s="30"/>
      <c r="C137" s="30"/>
      <c r="D137" s="30"/>
      <c r="E137" s="30"/>
      <c r="F137" s="30"/>
      <c r="G137" s="30"/>
      <c r="H137" s="30"/>
      <c r="I137" s="30"/>
      <c r="J137" s="30"/>
      <c r="K137" s="30"/>
      <c r="L137" s="30"/>
      <c r="M137" s="30"/>
      <c r="N137" s="30"/>
      <c r="O137" s="30"/>
      <c r="P137" s="30"/>
      <c r="Q137" s="30"/>
      <c r="R137" s="30"/>
      <c r="S137" s="30"/>
      <c r="T137" s="30"/>
      <c r="U137" s="30" t="str">
        <v>El-Ashker</v>
      </c>
      <c r="V137" s="30" t="str">
        <v>Karate</v>
      </c>
      <c r="W137" s="30" t="str">
        <v>Adults</v>
      </c>
      <c r="X137" s="30" t="str">
        <v>N/A</v>
      </c>
      <c r="Y137" s="30" t="str">
        <v>Male</v>
      </c>
      <c r="Z137" s="30" t="str">
        <v>Biodex</v>
      </c>
      <c r="AA137" s="30"/>
      <c r="AB137" s="30"/>
      <c r="AC137" s="30"/>
      <c r="AD137" s="30"/>
      <c r="AE137" s="30"/>
      <c r="AF137" s="30"/>
      <c r="AG137" s="30"/>
      <c r="AH137" s="30"/>
      <c r="AI137" s="30"/>
      <c r="AJ137" s="30"/>
      <c r="AK137" s="30"/>
      <c r="AL137" s="30"/>
      <c r="AM137" s="30"/>
      <c r="AN137" s="30"/>
      <c r="AO137" s="30"/>
      <c r="AP137" s="30"/>
      <c r="AQ137" s="30"/>
      <c r="AR137" s="30"/>
      <c r="AS137" s="30"/>
    </row>
    <row r="138" spans="1:45" hidden="1" x14ac:dyDescent="0.25">
      <c r="A138" s="30"/>
      <c r="B138" s="30"/>
      <c r="C138" s="30"/>
      <c r="D138" s="30"/>
      <c r="E138" s="30"/>
      <c r="F138" s="30"/>
      <c r="G138" s="30"/>
      <c r="H138" s="30"/>
      <c r="I138" s="30"/>
      <c r="J138" s="30"/>
      <c r="K138" s="30"/>
      <c r="L138" s="30"/>
      <c r="M138" s="30"/>
      <c r="N138" s="30"/>
      <c r="O138" s="30"/>
      <c r="P138" s="30"/>
      <c r="Q138" s="30"/>
      <c r="R138" s="30"/>
      <c r="S138" s="30"/>
      <c r="T138" s="30"/>
      <c r="U138" s="30" t="str">
        <v>El-Ashker</v>
      </c>
      <c r="V138" s="30" t="str">
        <v>Karate</v>
      </c>
      <c r="W138" s="30" t="str">
        <v>Adults</v>
      </c>
      <c r="X138" s="30" t="str">
        <v>N/A</v>
      </c>
      <c r="Y138" s="30" t="str">
        <v>Male</v>
      </c>
      <c r="Z138" s="30" t="str">
        <v>Biodex</v>
      </c>
      <c r="AA138" s="30"/>
      <c r="AB138" s="30"/>
      <c r="AC138" s="30"/>
      <c r="AD138" s="30"/>
      <c r="AE138" s="30"/>
      <c r="AF138" s="30"/>
      <c r="AG138" s="30"/>
      <c r="AH138" s="30"/>
      <c r="AI138" s="30"/>
      <c r="AJ138" s="30"/>
      <c r="AK138" s="30"/>
      <c r="AL138" s="30"/>
      <c r="AM138" s="30"/>
      <c r="AN138" s="30"/>
      <c r="AO138" s="30"/>
      <c r="AP138" s="30"/>
      <c r="AQ138" s="30"/>
      <c r="AR138" s="30"/>
      <c r="AS138" s="30"/>
    </row>
    <row r="139" spans="1:45" hidden="1" x14ac:dyDescent="0.25">
      <c r="A139" s="30"/>
      <c r="B139" s="30"/>
      <c r="C139" s="30"/>
      <c r="D139" s="30"/>
      <c r="E139" s="30"/>
      <c r="F139" s="30"/>
      <c r="G139" s="30"/>
      <c r="H139" s="30"/>
      <c r="I139" s="30"/>
      <c r="J139" s="30"/>
      <c r="K139" s="30"/>
      <c r="L139" s="30"/>
      <c r="M139" s="30"/>
      <c r="N139" s="30"/>
      <c r="O139" s="30"/>
      <c r="P139" s="30"/>
      <c r="Q139" s="30"/>
      <c r="R139" s="30"/>
      <c r="S139" s="30"/>
      <c r="T139" s="30"/>
      <c r="U139" s="30" t="str">
        <v>El-Ashker</v>
      </c>
      <c r="V139" s="30" t="str">
        <v>Judo</v>
      </c>
      <c r="W139" s="30" t="str">
        <v>Adults</v>
      </c>
      <c r="X139" s="30" t="str">
        <v>N/A</v>
      </c>
      <c r="Y139" s="30" t="str">
        <v>Male</v>
      </c>
      <c r="Z139" s="30" t="str">
        <v>Biodex</v>
      </c>
      <c r="AA139" s="30"/>
      <c r="AB139" s="30"/>
      <c r="AC139" s="30"/>
      <c r="AD139" s="30"/>
      <c r="AE139" s="30"/>
      <c r="AF139" s="30"/>
      <c r="AG139" s="30"/>
      <c r="AH139" s="30"/>
      <c r="AI139" s="30"/>
      <c r="AJ139" s="30"/>
      <c r="AK139" s="30"/>
      <c r="AL139" s="30"/>
      <c r="AM139" s="30"/>
      <c r="AN139" s="30"/>
      <c r="AO139" s="30"/>
      <c r="AP139" s="30"/>
      <c r="AQ139" s="30"/>
      <c r="AR139" s="30"/>
      <c r="AS139" s="30"/>
    </row>
    <row r="140" spans="1:45" hidden="1" x14ac:dyDescent="0.25">
      <c r="A140" s="30"/>
      <c r="B140" s="30"/>
      <c r="C140" s="30"/>
      <c r="D140" s="30"/>
      <c r="E140" s="30"/>
      <c r="F140" s="30"/>
      <c r="G140" s="30"/>
      <c r="H140" s="30"/>
      <c r="I140" s="30"/>
      <c r="J140" s="30"/>
      <c r="K140" s="30"/>
      <c r="L140" s="30"/>
      <c r="M140" s="30"/>
      <c r="N140" s="30"/>
      <c r="O140" s="30"/>
      <c r="P140" s="30"/>
      <c r="Q140" s="30"/>
      <c r="R140" s="30"/>
      <c r="S140" s="30"/>
      <c r="T140" s="30"/>
      <c r="U140" s="30" t="str">
        <v>El-Ashker</v>
      </c>
      <c r="V140" s="30" t="str">
        <v>Judo</v>
      </c>
      <c r="W140" s="30" t="str">
        <v>Adults</v>
      </c>
      <c r="X140" s="30" t="str">
        <v>N/A</v>
      </c>
      <c r="Y140" s="30" t="str">
        <v>Male</v>
      </c>
      <c r="Z140" s="30" t="str">
        <v>Biodex</v>
      </c>
      <c r="AA140" s="30"/>
      <c r="AB140" s="30"/>
      <c r="AC140" s="30"/>
      <c r="AD140" s="30"/>
      <c r="AE140" s="30"/>
      <c r="AF140" s="30"/>
      <c r="AG140" s="30"/>
      <c r="AH140" s="30"/>
      <c r="AI140" s="30"/>
      <c r="AJ140" s="30"/>
      <c r="AK140" s="30"/>
      <c r="AL140" s="30"/>
      <c r="AM140" s="30"/>
      <c r="AN140" s="30"/>
      <c r="AO140" s="30"/>
      <c r="AP140" s="30"/>
      <c r="AQ140" s="30"/>
      <c r="AR140" s="30"/>
      <c r="AS140" s="30"/>
    </row>
    <row r="141" spans="1:45" hidden="1" x14ac:dyDescent="0.25">
      <c r="A141" s="30"/>
      <c r="B141" s="30"/>
      <c r="C141" s="30"/>
      <c r="D141" s="30"/>
      <c r="E141" s="30"/>
      <c r="F141" s="30"/>
      <c r="G141" s="30"/>
      <c r="H141" s="30"/>
      <c r="I141" s="30"/>
      <c r="J141" s="30"/>
      <c r="K141" s="30"/>
      <c r="L141" s="30"/>
      <c r="M141" s="30"/>
      <c r="N141" s="30"/>
      <c r="O141" s="30"/>
      <c r="P141" s="30"/>
      <c r="Q141" s="30"/>
      <c r="R141" s="30"/>
      <c r="S141" s="30"/>
      <c r="T141" s="30"/>
      <c r="U141" s="30" t="str">
        <v>El-Ashker</v>
      </c>
      <c r="V141" s="30" t="str">
        <v>Boxing</v>
      </c>
      <c r="W141" s="30" t="str">
        <v>Adults</v>
      </c>
      <c r="X141" s="30" t="str">
        <v>N/A</v>
      </c>
      <c r="Y141" s="30" t="str">
        <v>Male</v>
      </c>
      <c r="Z141" s="30" t="str">
        <v>Biodex</v>
      </c>
      <c r="AA141" s="30"/>
      <c r="AB141" s="30"/>
      <c r="AC141" s="30"/>
      <c r="AD141" s="30"/>
      <c r="AE141" s="30"/>
      <c r="AF141" s="30"/>
      <c r="AG141" s="30"/>
      <c r="AH141" s="30"/>
      <c r="AI141" s="30"/>
      <c r="AJ141" s="30"/>
      <c r="AK141" s="30"/>
      <c r="AL141" s="30"/>
      <c r="AM141" s="30"/>
      <c r="AN141" s="30"/>
      <c r="AO141" s="30"/>
      <c r="AP141" s="30"/>
      <c r="AQ141" s="30"/>
      <c r="AR141" s="30"/>
      <c r="AS141" s="30"/>
    </row>
    <row r="142" spans="1:45" hidden="1" x14ac:dyDescent="0.25">
      <c r="A142" s="30"/>
      <c r="B142" s="30"/>
      <c r="C142" s="30"/>
      <c r="D142" s="30"/>
      <c r="E142" s="30"/>
      <c r="F142" s="30"/>
      <c r="G142" s="30"/>
      <c r="H142" s="30"/>
      <c r="I142" s="30"/>
      <c r="J142" s="30"/>
      <c r="K142" s="30"/>
      <c r="L142" s="30"/>
      <c r="M142" s="30"/>
      <c r="N142" s="30"/>
      <c r="O142" s="30"/>
      <c r="P142" s="30"/>
      <c r="Q142" s="30"/>
      <c r="R142" s="30"/>
      <c r="S142" s="30"/>
      <c r="T142" s="30"/>
      <c r="U142" s="30" t="str">
        <v>El-Ashker</v>
      </c>
      <c r="V142" s="30" t="str">
        <v>Boxing</v>
      </c>
      <c r="W142" s="30" t="str">
        <v>Adults</v>
      </c>
      <c r="X142" s="30" t="str">
        <v>N/A</v>
      </c>
      <c r="Y142" s="30" t="str">
        <v>Male</v>
      </c>
      <c r="Z142" s="30" t="str">
        <v>Biodex</v>
      </c>
      <c r="AA142" s="30"/>
      <c r="AB142" s="30"/>
      <c r="AC142" s="30"/>
      <c r="AD142" s="30"/>
      <c r="AE142" s="30"/>
      <c r="AF142" s="30"/>
      <c r="AG142" s="30"/>
      <c r="AH142" s="30"/>
      <c r="AI142" s="30"/>
      <c r="AJ142" s="30"/>
      <c r="AK142" s="30"/>
      <c r="AL142" s="30"/>
      <c r="AM142" s="30"/>
      <c r="AN142" s="30"/>
      <c r="AO142" s="30"/>
      <c r="AP142" s="30"/>
      <c r="AQ142" s="30"/>
      <c r="AR142" s="30"/>
      <c r="AS142" s="30"/>
    </row>
    <row r="143" spans="1:45" hidden="1" x14ac:dyDescent="0.25">
      <c r="A143" s="30"/>
      <c r="B143" s="30"/>
      <c r="C143" s="30"/>
      <c r="D143" s="30"/>
      <c r="E143" s="30"/>
      <c r="F143" s="30"/>
      <c r="G143" s="30"/>
      <c r="H143" s="30"/>
      <c r="I143" s="30"/>
      <c r="J143" s="30"/>
      <c r="K143" s="30"/>
      <c r="L143" s="30"/>
      <c r="M143" s="30"/>
      <c r="N143" s="30"/>
      <c r="O143" s="30"/>
      <c r="P143" s="30"/>
      <c r="Q143" s="30"/>
      <c r="R143" s="30"/>
      <c r="S143" s="30"/>
      <c r="T143" s="30"/>
      <c r="U143" s="30" t="str">
        <v>El-Ashker</v>
      </c>
      <c r="V143" s="30" t="str">
        <v>Taekwondo</v>
      </c>
      <c r="W143" s="30" t="str">
        <v>Adults</v>
      </c>
      <c r="X143" s="30" t="str">
        <v>N/A</v>
      </c>
      <c r="Y143" s="30" t="str">
        <v>Male</v>
      </c>
      <c r="Z143" s="30" t="str">
        <v>Biodex</v>
      </c>
      <c r="AA143" s="30"/>
      <c r="AB143" s="30"/>
      <c r="AC143" s="30"/>
      <c r="AD143" s="30"/>
      <c r="AE143" s="30"/>
      <c r="AF143" s="30"/>
      <c r="AG143" s="30"/>
      <c r="AH143" s="30"/>
      <c r="AI143" s="30"/>
      <c r="AJ143" s="30"/>
      <c r="AK143" s="30"/>
      <c r="AL143" s="30"/>
      <c r="AM143" s="30"/>
      <c r="AN143" s="30"/>
      <c r="AO143" s="30"/>
      <c r="AP143" s="30"/>
      <c r="AQ143" s="30"/>
      <c r="AR143" s="30"/>
      <c r="AS143" s="30"/>
    </row>
    <row r="144" spans="1:45" hidden="1" x14ac:dyDescent="0.25">
      <c r="A144" s="30"/>
      <c r="B144" s="30"/>
      <c r="C144" s="30"/>
      <c r="D144" s="30"/>
      <c r="E144" s="30"/>
      <c r="F144" s="30"/>
      <c r="G144" s="30"/>
      <c r="H144" s="30"/>
      <c r="I144" s="30"/>
      <c r="J144" s="30"/>
      <c r="K144" s="30"/>
      <c r="L144" s="30"/>
      <c r="M144" s="30"/>
      <c r="N144" s="30"/>
      <c r="O144" s="30"/>
      <c r="P144" s="30"/>
      <c r="Q144" s="30"/>
      <c r="R144" s="30"/>
      <c r="S144" s="30"/>
      <c r="T144" s="30"/>
      <c r="U144" s="30" t="str">
        <v>El-Ashker</v>
      </c>
      <c r="V144" s="30" t="str">
        <v>Taekwondo</v>
      </c>
      <c r="W144" s="30" t="str">
        <v>Adults</v>
      </c>
      <c r="X144" s="30" t="str">
        <v>N/A</v>
      </c>
      <c r="Y144" s="30" t="str">
        <v>Male</v>
      </c>
      <c r="Z144" s="30" t="str">
        <v>Biodex</v>
      </c>
      <c r="AA144" s="30"/>
      <c r="AB144" s="30"/>
      <c r="AC144" s="30"/>
      <c r="AD144" s="30"/>
      <c r="AE144" s="30"/>
      <c r="AF144" s="30"/>
      <c r="AG144" s="30"/>
      <c r="AH144" s="30"/>
      <c r="AI144" s="30"/>
      <c r="AJ144" s="30"/>
      <c r="AK144" s="30"/>
      <c r="AL144" s="30"/>
      <c r="AM144" s="30"/>
      <c r="AN144" s="30"/>
      <c r="AO144" s="30"/>
      <c r="AP144" s="30"/>
      <c r="AQ144" s="30"/>
      <c r="AR144" s="30"/>
      <c r="AS144" s="30"/>
    </row>
    <row r="145" spans="1:45" hidden="1" x14ac:dyDescent="0.25">
      <c r="A145" s="30"/>
      <c r="B145" s="30"/>
      <c r="C145" s="30"/>
      <c r="D145" s="30"/>
      <c r="E145" s="30"/>
      <c r="F145" s="30"/>
      <c r="G145" s="30"/>
      <c r="H145" s="30"/>
      <c r="I145" s="30"/>
      <c r="J145" s="30"/>
      <c r="K145" s="30"/>
      <c r="L145" s="30"/>
      <c r="M145" s="30"/>
      <c r="N145" s="30"/>
      <c r="O145" s="30"/>
      <c r="P145" s="30"/>
      <c r="Q145" s="30"/>
      <c r="R145" s="30"/>
      <c r="S145" s="30"/>
      <c r="T145" s="30"/>
      <c r="U145" s="30" t="str">
        <v>El-Ashker</v>
      </c>
      <c r="V145" s="30" t="str">
        <v>Karate</v>
      </c>
      <c r="W145" s="30" t="str">
        <v>Adults</v>
      </c>
      <c r="X145" s="30" t="str">
        <v>N/A</v>
      </c>
      <c r="Y145" s="30" t="str">
        <v>Male</v>
      </c>
      <c r="Z145" s="30" t="str">
        <v>Biodex</v>
      </c>
      <c r="AA145" s="30"/>
      <c r="AB145" s="30"/>
      <c r="AC145" s="30"/>
      <c r="AD145" s="30"/>
      <c r="AE145" s="30"/>
      <c r="AF145" s="30"/>
      <c r="AG145" s="30"/>
      <c r="AH145" s="30"/>
      <c r="AI145" s="30"/>
      <c r="AJ145" s="30"/>
      <c r="AK145" s="30"/>
      <c r="AL145" s="30"/>
      <c r="AM145" s="30"/>
      <c r="AN145" s="30"/>
      <c r="AO145" s="30"/>
      <c r="AP145" s="30"/>
      <c r="AQ145" s="30"/>
      <c r="AR145" s="30"/>
      <c r="AS145" s="30"/>
    </row>
    <row r="146" spans="1:45" hidden="1" x14ac:dyDescent="0.25">
      <c r="A146" s="30"/>
      <c r="B146" s="30"/>
      <c r="C146" s="30"/>
      <c r="D146" s="30"/>
      <c r="E146" s="30"/>
      <c r="F146" s="30"/>
      <c r="G146" s="30"/>
      <c r="H146" s="30"/>
      <c r="I146" s="30"/>
      <c r="J146" s="30"/>
      <c r="K146" s="30"/>
      <c r="L146" s="30"/>
      <c r="M146" s="30"/>
      <c r="N146" s="30"/>
      <c r="O146" s="30"/>
      <c r="P146" s="30"/>
      <c r="Q146" s="30"/>
      <c r="R146" s="30"/>
      <c r="S146" s="30"/>
      <c r="T146" s="30"/>
      <c r="U146" s="30" t="str">
        <v>El-Ashker</v>
      </c>
      <c r="V146" s="30" t="str">
        <v>Karate</v>
      </c>
      <c r="W146" s="30" t="str">
        <v>Adults</v>
      </c>
      <c r="X146" s="30" t="str">
        <v>N/A</v>
      </c>
      <c r="Y146" s="30" t="str">
        <v>Male</v>
      </c>
      <c r="Z146" s="30" t="str">
        <v>Biodex</v>
      </c>
      <c r="AA146" s="30"/>
      <c r="AB146" s="30"/>
      <c r="AC146" s="30"/>
      <c r="AD146" s="30"/>
      <c r="AE146" s="30"/>
      <c r="AF146" s="30"/>
      <c r="AG146" s="30"/>
      <c r="AH146" s="30"/>
      <c r="AI146" s="30"/>
      <c r="AJ146" s="30"/>
      <c r="AK146" s="30"/>
      <c r="AL146" s="30"/>
      <c r="AM146" s="30"/>
      <c r="AN146" s="30"/>
      <c r="AO146" s="30"/>
      <c r="AP146" s="30"/>
      <c r="AQ146" s="30"/>
      <c r="AR146" s="30"/>
      <c r="AS146" s="30"/>
    </row>
    <row r="147" spans="1:45" hidden="1" x14ac:dyDescent="0.25">
      <c r="A147" s="30"/>
      <c r="B147" s="30"/>
      <c r="C147" s="30"/>
      <c r="D147" s="30"/>
      <c r="E147" s="30"/>
      <c r="F147" s="30"/>
      <c r="G147" s="30"/>
      <c r="H147" s="30"/>
      <c r="I147" s="30"/>
      <c r="J147" s="30"/>
      <c r="K147" s="30"/>
      <c r="L147" s="30"/>
      <c r="M147" s="30"/>
      <c r="N147" s="30"/>
      <c r="O147" s="30"/>
      <c r="P147" s="30"/>
      <c r="Q147" s="30"/>
      <c r="R147" s="30"/>
      <c r="S147" s="30"/>
      <c r="T147" s="30"/>
      <c r="U147" s="30" t="str">
        <v>El-Ashker</v>
      </c>
      <c r="V147" s="30" t="str">
        <v>Judo</v>
      </c>
      <c r="W147" s="30" t="str">
        <v>Adults</v>
      </c>
      <c r="X147" s="30" t="str">
        <v>N/A</v>
      </c>
      <c r="Y147" s="30" t="str">
        <v>Male</v>
      </c>
      <c r="Z147" s="30" t="str">
        <v>Biodex</v>
      </c>
      <c r="AA147" s="30"/>
      <c r="AB147" s="30"/>
      <c r="AC147" s="30"/>
      <c r="AD147" s="30"/>
      <c r="AE147" s="30"/>
      <c r="AF147" s="30"/>
      <c r="AG147" s="30"/>
      <c r="AH147" s="30"/>
      <c r="AI147" s="30"/>
      <c r="AJ147" s="30"/>
      <c r="AK147" s="30"/>
      <c r="AL147" s="30"/>
      <c r="AM147" s="30"/>
      <c r="AN147" s="30"/>
      <c r="AO147" s="30"/>
      <c r="AP147" s="30"/>
      <c r="AQ147" s="30"/>
      <c r="AR147" s="30"/>
      <c r="AS147" s="30"/>
    </row>
    <row r="148" spans="1:45" hidden="1" x14ac:dyDescent="0.25">
      <c r="A148" s="30"/>
      <c r="B148" s="30"/>
      <c r="C148" s="30"/>
      <c r="D148" s="30"/>
      <c r="E148" s="30"/>
      <c r="F148" s="30"/>
      <c r="G148" s="30"/>
      <c r="H148" s="30"/>
      <c r="I148" s="30"/>
      <c r="J148" s="30"/>
      <c r="K148" s="30"/>
      <c r="L148" s="30"/>
      <c r="M148" s="30"/>
      <c r="N148" s="30"/>
      <c r="O148" s="30"/>
      <c r="P148" s="30"/>
      <c r="Q148" s="30"/>
      <c r="R148" s="30"/>
      <c r="S148" s="30"/>
      <c r="T148" s="30"/>
      <c r="U148" s="30" t="str">
        <v>El-Ashker</v>
      </c>
      <c r="V148" s="30" t="str">
        <v>Judo</v>
      </c>
      <c r="W148" s="30" t="str">
        <v>Adults</v>
      </c>
      <c r="X148" s="30" t="str">
        <v>N/A</v>
      </c>
      <c r="Y148" s="30" t="str">
        <v>Male</v>
      </c>
      <c r="Z148" s="30" t="str">
        <v>Biodex</v>
      </c>
      <c r="AA148" s="30"/>
      <c r="AB148" s="30"/>
      <c r="AC148" s="30"/>
      <c r="AD148" s="30"/>
      <c r="AE148" s="30"/>
      <c r="AF148" s="30"/>
      <c r="AG148" s="30"/>
      <c r="AH148" s="30"/>
      <c r="AI148" s="30"/>
      <c r="AJ148" s="30"/>
      <c r="AK148" s="30"/>
      <c r="AL148" s="30"/>
      <c r="AM148" s="30"/>
      <c r="AN148" s="30"/>
      <c r="AO148" s="30"/>
      <c r="AP148" s="30"/>
      <c r="AQ148" s="30"/>
      <c r="AR148" s="30"/>
      <c r="AS148" s="30"/>
    </row>
    <row r="149" spans="1:45" hidden="1" x14ac:dyDescent="0.25">
      <c r="A149" s="30"/>
      <c r="B149" s="30"/>
      <c r="C149" s="30"/>
      <c r="D149" s="30"/>
      <c r="E149" s="30"/>
      <c r="F149" s="30"/>
      <c r="G149" s="30"/>
      <c r="H149" s="30"/>
      <c r="I149" s="30"/>
      <c r="J149" s="30"/>
      <c r="K149" s="30"/>
      <c r="L149" s="30"/>
      <c r="M149" s="30"/>
      <c r="N149" s="30"/>
      <c r="O149" s="30"/>
      <c r="P149" s="30"/>
      <c r="Q149" s="30"/>
      <c r="R149" s="30"/>
      <c r="S149" s="30"/>
      <c r="T149" s="30"/>
      <c r="U149" s="30" t="str">
        <v>El-Ashker</v>
      </c>
      <c r="V149" s="30" t="str">
        <v>Boxing</v>
      </c>
      <c r="W149" s="30" t="str">
        <v>Adults</v>
      </c>
      <c r="X149" s="30" t="str">
        <v>N/A</v>
      </c>
      <c r="Y149" s="30" t="str">
        <v>Male</v>
      </c>
      <c r="Z149" s="30" t="str">
        <v>Biodex</v>
      </c>
      <c r="AA149" s="30"/>
      <c r="AB149" s="30"/>
      <c r="AC149" s="30"/>
      <c r="AD149" s="30"/>
      <c r="AE149" s="30"/>
      <c r="AF149" s="30"/>
      <c r="AG149" s="30"/>
      <c r="AH149" s="30"/>
      <c r="AI149" s="30"/>
      <c r="AJ149" s="30"/>
      <c r="AK149" s="30"/>
      <c r="AL149" s="30"/>
      <c r="AM149" s="30"/>
      <c r="AN149" s="30"/>
      <c r="AO149" s="30"/>
      <c r="AP149" s="30"/>
      <c r="AQ149" s="30"/>
      <c r="AR149" s="30"/>
      <c r="AS149" s="30"/>
    </row>
    <row r="150" spans="1:45" hidden="1" x14ac:dyDescent="0.25">
      <c r="A150" s="30"/>
      <c r="B150" s="30"/>
      <c r="C150" s="30"/>
      <c r="D150" s="30"/>
      <c r="E150" s="30"/>
      <c r="F150" s="30"/>
      <c r="G150" s="30"/>
      <c r="H150" s="30"/>
      <c r="I150" s="30"/>
      <c r="J150" s="30"/>
      <c r="K150" s="30"/>
      <c r="L150" s="30"/>
      <c r="M150" s="30"/>
      <c r="N150" s="30"/>
      <c r="O150" s="30"/>
      <c r="P150" s="30"/>
      <c r="Q150" s="30"/>
      <c r="R150" s="30"/>
      <c r="S150" s="30"/>
      <c r="T150" s="30"/>
      <c r="U150" s="30" t="str">
        <v>El-Ashker</v>
      </c>
      <c r="V150" s="30" t="str">
        <v>Boxing</v>
      </c>
      <c r="W150" s="30" t="str">
        <v>Adults</v>
      </c>
      <c r="X150" s="30" t="str">
        <v>N/A</v>
      </c>
      <c r="Y150" s="30" t="str">
        <v>Male</v>
      </c>
      <c r="Z150" s="30" t="str">
        <v>Biodex</v>
      </c>
      <c r="AA150" s="30"/>
      <c r="AB150" s="30"/>
      <c r="AC150" s="30"/>
      <c r="AD150" s="30"/>
      <c r="AE150" s="30"/>
      <c r="AF150" s="30"/>
      <c r="AG150" s="30"/>
      <c r="AH150" s="30"/>
      <c r="AI150" s="30"/>
      <c r="AJ150" s="30"/>
      <c r="AK150" s="30"/>
      <c r="AL150" s="30"/>
      <c r="AM150" s="30"/>
      <c r="AN150" s="30"/>
      <c r="AO150" s="30"/>
      <c r="AP150" s="30"/>
      <c r="AQ150" s="30"/>
      <c r="AR150" s="30"/>
      <c r="AS150" s="30"/>
    </row>
    <row r="151" spans="1:45" hidden="1" x14ac:dyDescent="0.25">
      <c r="A151" s="30"/>
      <c r="B151" s="30"/>
      <c r="C151" s="30"/>
      <c r="D151" s="30"/>
      <c r="E151" s="30"/>
      <c r="F151" s="30"/>
      <c r="G151" s="30"/>
      <c r="H151" s="30"/>
      <c r="I151" s="30"/>
      <c r="J151" s="30"/>
      <c r="K151" s="30"/>
      <c r="L151" s="30"/>
      <c r="M151" s="30"/>
      <c r="N151" s="30"/>
      <c r="O151" s="30"/>
      <c r="P151" s="30"/>
      <c r="Q151" s="30"/>
      <c r="R151" s="30"/>
      <c r="S151" s="30"/>
      <c r="T151" s="30"/>
      <c r="U151" s="30" t="str">
        <v>El-Ashker</v>
      </c>
      <c r="V151" s="30" t="str">
        <v>Taekwondo</v>
      </c>
      <c r="W151" s="30" t="str">
        <v>Adults</v>
      </c>
      <c r="X151" s="30" t="str">
        <v>N/A</v>
      </c>
      <c r="Y151" s="30" t="str">
        <v>Male</v>
      </c>
      <c r="Z151" s="30" t="str">
        <v>Biodex</v>
      </c>
      <c r="AA151" s="30"/>
      <c r="AB151" s="30"/>
      <c r="AC151" s="30"/>
      <c r="AD151" s="30"/>
      <c r="AE151" s="30"/>
      <c r="AF151" s="30"/>
      <c r="AG151" s="30"/>
      <c r="AH151" s="30"/>
      <c r="AI151" s="30"/>
      <c r="AJ151" s="30"/>
      <c r="AK151" s="30"/>
      <c r="AL151" s="30"/>
      <c r="AM151" s="30"/>
      <c r="AN151" s="30"/>
      <c r="AO151" s="30"/>
      <c r="AP151" s="30"/>
      <c r="AQ151" s="30"/>
      <c r="AR151" s="30"/>
      <c r="AS151" s="30"/>
    </row>
    <row r="152" spans="1:45" hidden="1" x14ac:dyDescent="0.25">
      <c r="A152" s="30"/>
      <c r="B152" s="30"/>
      <c r="C152" s="30"/>
      <c r="D152" s="30"/>
      <c r="E152" s="30"/>
      <c r="F152" s="30"/>
      <c r="G152" s="30"/>
      <c r="H152" s="30"/>
      <c r="I152" s="30"/>
      <c r="J152" s="30"/>
      <c r="K152" s="30"/>
      <c r="L152" s="30"/>
      <c r="M152" s="30"/>
      <c r="N152" s="30"/>
      <c r="O152" s="30"/>
      <c r="P152" s="30"/>
      <c r="Q152" s="30"/>
      <c r="R152" s="30"/>
      <c r="S152" s="30"/>
      <c r="T152" s="30"/>
      <c r="U152" s="30" t="str">
        <v>El-Ashker</v>
      </c>
      <c r="V152" s="30" t="str">
        <v>Taekwondo</v>
      </c>
      <c r="W152" s="30" t="str">
        <v>Adults</v>
      </c>
      <c r="X152" s="30" t="str">
        <v>N/A</v>
      </c>
      <c r="Y152" s="30" t="str">
        <v>Male</v>
      </c>
      <c r="Z152" s="30" t="str">
        <v>Biodex</v>
      </c>
      <c r="AA152" s="30"/>
      <c r="AB152" s="30"/>
      <c r="AC152" s="30"/>
      <c r="AD152" s="30"/>
      <c r="AE152" s="30"/>
      <c r="AF152" s="30"/>
      <c r="AG152" s="30"/>
      <c r="AH152" s="30"/>
      <c r="AI152" s="30"/>
      <c r="AJ152" s="30"/>
      <c r="AK152" s="30"/>
      <c r="AL152" s="30"/>
      <c r="AM152" s="30"/>
      <c r="AN152" s="30"/>
      <c r="AO152" s="30"/>
      <c r="AP152" s="30"/>
      <c r="AQ152" s="30"/>
      <c r="AR152" s="30"/>
      <c r="AS152" s="30"/>
    </row>
    <row r="153" spans="1:45" hidden="1" x14ac:dyDescent="0.25">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c r="AN153" s="30"/>
      <c r="AO153" s="30"/>
      <c r="AP153" s="30"/>
      <c r="AQ153" s="30"/>
      <c r="AR153" s="30"/>
      <c r="AS153" s="30"/>
    </row>
    <row r="154" spans="1:45" hidden="1" x14ac:dyDescent="0.25"/>
    <row r="155" spans="1:45" hidden="1" x14ac:dyDescent="0.25">
      <c r="A155" s="31"/>
      <c r="B155" s="32"/>
      <c r="C155" s="33"/>
      <c r="D155" s="33"/>
      <c r="E155" s="33"/>
      <c r="F155" s="33"/>
      <c r="G155" s="33"/>
      <c r="H155" s="33"/>
      <c r="I155" s="33"/>
      <c r="J155" s="33"/>
      <c r="K155" s="33"/>
      <c r="L155" s="33"/>
      <c r="M155" s="33"/>
      <c r="N155" s="33"/>
      <c r="O155" s="33"/>
    </row>
    <row r="156" spans="1:45" hidden="1" x14ac:dyDescent="0.25"/>
    <row r="157" spans="1:45" ht="10.5" hidden="1" customHeight="1" x14ac:dyDescent="0.25"/>
    <row r="158" spans="1:45" ht="10.5" hidden="1" customHeight="1" x14ac:dyDescent="0.25"/>
    <row r="159" spans="1:45" ht="10.5" hidden="1" customHeight="1" x14ac:dyDescent="0.25"/>
    <row r="160" spans="1:45" ht="10.5" hidden="1" customHeight="1" x14ac:dyDescent="0.25"/>
    <row r="161" spans="1:45" ht="10.5" hidden="1" customHeight="1" x14ac:dyDescent="0.25"/>
    <row r="162" spans="1:45" ht="10.5" hidden="1" customHeight="1" x14ac:dyDescent="0.25"/>
    <row r="163" spans="1:45" ht="10.5" hidden="1" customHeight="1" x14ac:dyDescent="0.25"/>
    <row r="164" spans="1:45" ht="10.5" hidden="1" customHeight="1" x14ac:dyDescent="0.25"/>
    <row r="165" spans="1:45" ht="10.5" hidden="1" customHeight="1" x14ac:dyDescent="0.25"/>
    <row r="166" spans="1:45" ht="10.5" hidden="1" customHeight="1" x14ac:dyDescent="0.25"/>
    <row r="167" spans="1:45" ht="10.5" hidden="1" customHeight="1" x14ac:dyDescent="0.25"/>
    <row r="168" spans="1:45" ht="10.5" hidden="1" customHeight="1" x14ac:dyDescent="0.25"/>
    <row r="169" spans="1:45" ht="10.5" hidden="1" customHeight="1" x14ac:dyDescent="0.25"/>
    <row r="170" spans="1:45" ht="10.5" hidden="1" customHeight="1" x14ac:dyDescent="0.25"/>
    <row r="171" spans="1:45" ht="10.5" hidden="1" customHeight="1" x14ac:dyDescent="0.25"/>
    <row r="172" spans="1:45" ht="10.5" hidden="1" customHeight="1" x14ac:dyDescent="0.25"/>
    <row r="173" spans="1:45" ht="10.5" customHeight="1" x14ac:dyDescent="0.25">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c r="AN173" s="30"/>
      <c r="AO173" s="30"/>
      <c r="AP173" s="30"/>
      <c r="AQ173" s="30"/>
      <c r="AR173" s="30"/>
      <c r="AS173" s="30"/>
    </row>
    <row r="174" spans="1:45" s="30" customFormat="1" ht="10.5" customHeight="1" x14ac:dyDescent="0.25"/>
    <row r="175" spans="1:45" s="181" customFormat="1" ht="10.5" customHeight="1" x14ac:dyDescent="0.25"/>
    <row r="176" spans="1:45" ht="10.5" customHeight="1" x14ac:dyDescent="0.25"/>
    <row r="177" spans="1:37" s="17" customFormat="1" ht="39.950000000000003" customHeight="1" x14ac:dyDescent="0.25">
      <c r="A177" s="45" t="s">
        <v>32</v>
      </c>
      <c r="B177" s="46" t="s">
        <v>0</v>
      </c>
      <c r="C177" s="47" t="s">
        <v>3</v>
      </c>
      <c r="D177" s="47" t="s">
        <v>75</v>
      </c>
      <c r="E177" s="47" t="s">
        <v>4</v>
      </c>
      <c r="F177" s="47" t="s">
        <v>6</v>
      </c>
      <c r="G177" s="47" t="s">
        <v>5</v>
      </c>
      <c r="H177" s="48" t="s">
        <v>7</v>
      </c>
      <c r="I177" s="48" t="s">
        <v>8</v>
      </c>
      <c r="J177" s="48" t="s">
        <v>9</v>
      </c>
      <c r="K177" s="48" t="s">
        <v>10</v>
      </c>
      <c r="L177" s="48" t="s">
        <v>11</v>
      </c>
      <c r="M177" s="48" t="s">
        <v>12</v>
      </c>
      <c r="N177" s="48" t="s">
        <v>13</v>
      </c>
      <c r="O177" s="48" t="s">
        <v>14</v>
      </c>
      <c r="P177" s="49" t="s">
        <v>150</v>
      </c>
      <c r="Q177" s="49" t="s">
        <v>151</v>
      </c>
      <c r="R177" s="49" t="s">
        <v>152</v>
      </c>
      <c r="S177" s="49" t="s">
        <v>153</v>
      </c>
      <c r="T177" s="49" t="s">
        <v>201</v>
      </c>
      <c r="U177" s="49" t="s">
        <v>203</v>
      </c>
      <c r="V177" s="49" t="s">
        <v>408</v>
      </c>
      <c r="W177" s="49" t="s">
        <v>202</v>
      </c>
      <c r="X177" s="49" t="s">
        <v>154</v>
      </c>
      <c r="Y177" s="49" t="s">
        <v>155</v>
      </c>
      <c r="Z177" s="49" t="s">
        <v>156</v>
      </c>
      <c r="AA177" s="49" t="s">
        <v>157</v>
      </c>
      <c r="AB177" s="49" t="s">
        <v>23</v>
      </c>
      <c r="AC177" s="49" t="s">
        <v>158</v>
      </c>
      <c r="AD177" s="49" t="s">
        <v>159</v>
      </c>
      <c r="AE177" s="49" t="s">
        <v>160</v>
      </c>
      <c r="AF177" s="49" t="s">
        <v>27</v>
      </c>
      <c r="AG177" s="49" t="s">
        <v>161</v>
      </c>
      <c r="AH177" s="49" t="s">
        <v>162</v>
      </c>
      <c r="AI177" s="49" t="s">
        <v>163</v>
      </c>
      <c r="AJ177" s="49" t="s">
        <v>164</v>
      </c>
      <c r="AK177" s="50" t="s">
        <v>165</v>
      </c>
    </row>
    <row r="178" spans="1:37" x14ac:dyDescent="0.25">
      <c r="A178" s="55">
        <v>90</v>
      </c>
      <c r="B178" s="104" t="s">
        <v>189</v>
      </c>
      <c r="C178" s="184" t="s">
        <v>187</v>
      </c>
      <c r="D178" s="104">
        <v>1992</v>
      </c>
      <c r="E178" s="35" t="s">
        <v>44</v>
      </c>
      <c r="F178" s="104" t="s">
        <v>130</v>
      </c>
      <c r="G178" s="104" t="s">
        <v>178</v>
      </c>
      <c r="H178" s="106">
        <v>24</v>
      </c>
      <c r="I178" s="104"/>
      <c r="J178" s="104">
        <v>21</v>
      </c>
      <c r="K178" s="104" t="s">
        <v>178</v>
      </c>
      <c r="L178" s="104" t="s">
        <v>66</v>
      </c>
      <c r="M178" s="104" t="s">
        <v>67</v>
      </c>
      <c r="N178" s="35" t="s">
        <v>59</v>
      </c>
      <c r="O178" s="108" t="s">
        <v>169</v>
      </c>
      <c r="P178" s="35">
        <v>39</v>
      </c>
      <c r="Q178" s="35">
        <v>7.9</v>
      </c>
      <c r="R178" s="35"/>
      <c r="S178" s="35"/>
      <c r="T178" s="35"/>
      <c r="U178" s="35"/>
      <c r="V178" s="35"/>
      <c r="W178" s="35"/>
      <c r="X178" s="35"/>
      <c r="Y178" s="35"/>
      <c r="Z178" s="35"/>
      <c r="AA178" s="35"/>
      <c r="AB178" s="35"/>
      <c r="AC178" s="35"/>
      <c r="AD178" s="35"/>
      <c r="AE178" s="35"/>
      <c r="AF178" s="35">
        <v>187.5</v>
      </c>
      <c r="AG178" s="35">
        <v>35</v>
      </c>
      <c r="AH178" s="35"/>
      <c r="AI178" s="35"/>
      <c r="AJ178" s="35"/>
      <c r="AK178" s="35"/>
    </row>
    <row r="179" spans="1:37" x14ac:dyDescent="0.25">
      <c r="A179" s="55">
        <v>210</v>
      </c>
      <c r="B179" s="104" t="s">
        <v>189</v>
      </c>
      <c r="C179" s="105" t="s">
        <v>187</v>
      </c>
      <c r="D179" s="104">
        <v>1992</v>
      </c>
      <c r="E179" s="35" t="s">
        <v>44</v>
      </c>
      <c r="F179" s="104" t="s">
        <v>130</v>
      </c>
      <c r="G179" s="104" t="s">
        <v>178</v>
      </c>
      <c r="H179" s="106">
        <v>24</v>
      </c>
      <c r="I179" s="104"/>
      <c r="J179" s="104">
        <v>21</v>
      </c>
      <c r="K179" s="104" t="s">
        <v>178</v>
      </c>
      <c r="L179" s="104" t="s">
        <v>66</v>
      </c>
      <c r="M179" s="104" t="s">
        <v>67</v>
      </c>
      <c r="N179" s="35" t="s">
        <v>59</v>
      </c>
      <c r="O179" s="108" t="s">
        <v>169</v>
      </c>
      <c r="P179" s="35">
        <v>33.6</v>
      </c>
      <c r="Q179" s="35">
        <v>5.8</v>
      </c>
      <c r="R179" s="35"/>
      <c r="S179" s="35"/>
      <c r="T179" s="35"/>
      <c r="U179" s="35"/>
      <c r="V179" s="35"/>
      <c r="W179" s="35"/>
      <c r="X179" s="35"/>
      <c r="Y179" s="35"/>
      <c r="Z179" s="35"/>
      <c r="AA179" s="35"/>
      <c r="AB179" s="35"/>
      <c r="AC179" s="35"/>
      <c r="AD179" s="35"/>
      <c r="AE179" s="35"/>
      <c r="AF179" s="35">
        <v>163.1</v>
      </c>
      <c r="AG179" s="35">
        <v>28.7</v>
      </c>
      <c r="AH179" s="35"/>
      <c r="AI179" s="35"/>
      <c r="AJ179" s="35"/>
      <c r="AK179" s="35"/>
    </row>
    <row r="180" spans="1:37" x14ac:dyDescent="0.25">
      <c r="A180" s="55">
        <v>90</v>
      </c>
      <c r="B180" s="104" t="s">
        <v>189</v>
      </c>
      <c r="C180" s="184" t="s">
        <v>187</v>
      </c>
      <c r="D180" s="104">
        <v>1992</v>
      </c>
      <c r="E180" s="35" t="s">
        <v>44</v>
      </c>
      <c r="F180" s="35" t="s">
        <v>188</v>
      </c>
      <c r="G180" s="104" t="s">
        <v>178</v>
      </c>
      <c r="H180" s="106">
        <v>58</v>
      </c>
      <c r="I180" s="104"/>
      <c r="J180" s="104">
        <v>9</v>
      </c>
      <c r="K180" s="104" t="s">
        <v>178</v>
      </c>
      <c r="L180" s="35" t="s">
        <v>66</v>
      </c>
      <c r="M180" s="104" t="s">
        <v>67</v>
      </c>
      <c r="N180" s="35" t="s">
        <v>59</v>
      </c>
      <c r="O180" s="108" t="s">
        <v>169</v>
      </c>
      <c r="P180" s="35">
        <v>27.5</v>
      </c>
      <c r="Q180" s="35">
        <v>6.3</v>
      </c>
      <c r="R180" s="35"/>
      <c r="S180" s="35"/>
      <c r="T180" s="35"/>
      <c r="U180" s="35"/>
      <c r="V180" s="35"/>
      <c r="W180" s="35"/>
      <c r="X180" s="35"/>
      <c r="Y180" s="35"/>
      <c r="Z180" s="35"/>
      <c r="AA180" s="35"/>
      <c r="AB180" s="35"/>
      <c r="AC180" s="35"/>
      <c r="AD180" s="35"/>
      <c r="AE180" s="35"/>
      <c r="AF180" s="35">
        <v>138.6</v>
      </c>
      <c r="AG180" s="35">
        <v>26.4</v>
      </c>
      <c r="AH180" s="35"/>
      <c r="AI180" s="35"/>
      <c r="AJ180" s="35"/>
      <c r="AK180" s="35"/>
    </row>
    <row r="181" spans="1:37" x14ac:dyDescent="0.25">
      <c r="A181" s="55">
        <v>210</v>
      </c>
      <c r="B181" s="104" t="s">
        <v>189</v>
      </c>
      <c r="C181" s="105" t="s">
        <v>187</v>
      </c>
      <c r="D181" s="104">
        <v>1992</v>
      </c>
      <c r="E181" s="35" t="s">
        <v>44</v>
      </c>
      <c r="F181" s="35" t="s">
        <v>188</v>
      </c>
      <c r="G181" s="104" t="s">
        <v>178</v>
      </c>
      <c r="H181" s="103">
        <v>58</v>
      </c>
      <c r="I181" s="35"/>
      <c r="J181" s="35">
        <v>9</v>
      </c>
      <c r="K181" s="104" t="s">
        <v>178</v>
      </c>
      <c r="L181" s="35" t="s">
        <v>66</v>
      </c>
      <c r="M181" s="104" t="s">
        <v>67</v>
      </c>
      <c r="N181" s="35" t="s">
        <v>59</v>
      </c>
      <c r="O181" s="108" t="s">
        <v>169</v>
      </c>
      <c r="P181" s="107">
        <v>24.2</v>
      </c>
      <c r="Q181" s="107">
        <v>4.8</v>
      </c>
      <c r="R181" s="107"/>
      <c r="S181" s="107"/>
      <c r="T181" s="107"/>
      <c r="U181" s="107"/>
      <c r="V181" s="107"/>
      <c r="W181" s="107"/>
      <c r="X181" s="35"/>
      <c r="Y181" s="35"/>
      <c r="Z181" s="35"/>
      <c r="AA181" s="35"/>
      <c r="AB181" s="35"/>
      <c r="AC181" s="35"/>
      <c r="AD181" s="35"/>
      <c r="AE181" s="35"/>
      <c r="AF181" s="35">
        <v>120.2</v>
      </c>
      <c r="AG181" s="35">
        <v>19.3</v>
      </c>
      <c r="AH181" s="35"/>
      <c r="AI181" s="107"/>
      <c r="AJ181" s="107"/>
      <c r="AK181" s="104"/>
    </row>
    <row r="182" spans="1:37" x14ac:dyDescent="0.25">
      <c r="A182" s="55">
        <v>90</v>
      </c>
      <c r="B182" s="104" t="s">
        <v>189</v>
      </c>
      <c r="C182" s="184" t="s">
        <v>187</v>
      </c>
      <c r="D182" s="104">
        <v>1992</v>
      </c>
      <c r="E182" s="35" t="s">
        <v>44</v>
      </c>
      <c r="F182" s="35" t="s">
        <v>188</v>
      </c>
      <c r="G182" s="104" t="s">
        <v>178</v>
      </c>
      <c r="H182" s="103">
        <v>56</v>
      </c>
      <c r="I182" s="35"/>
      <c r="J182" s="35">
        <v>9</v>
      </c>
      <c r="K182" s="104" t="s">
        <v>178</v>
      </c>
      <c r="L182" s="35" t="s">
        <v>86</v>
      </c>
      <c r="M182" s="104" t="s">
        <v>67</v>
      </c>
      <c r="N182" s="35" t="s">
        <v>59</v>
      </c>
      <c r="O182" s="108" t="s">
        <v>169</v>
      </c>
      <c r="P182" s="107">
        <v>15.8</v>
      </c>
      <c r="Q182" s="107">
        <v>3.7</v>
      </c>
      <c r="R182" s="107"/>
      <c r="S182" s="107"/>
      <c r="T182" s="107"/>
      <c r="U182" s="107"/>
      <c r="V182" s="107"/>
      <c r="W182" s="107"/>
      <c r="X182" s="35"/>
      <c r="Y182" s="35"/>
      <c r="Z182" s="35"/>
      <c r="AA182" s="35"/>
      <c r="AB182" s="35"/>
      <c r="AC182" s="35"/>
      <c r="AD182" s="35"/>
      <c r="AE182" s="35"/>
      <c r="AF182" s="35">
        <v>77.5</v>
      </c>
      <c r="AG182" s="35">
        <v>16</v>
      </c>
      <c r="AH182" s="35"/>
      <c r="AI182" s="107"/>
      <c r="AJ182" s="107"/>
      <c r="AK182" s="104"/>
    </row>
    <row r="183" spans="1:37" x14ac:dyDescent="0.25">
      <c r="A183" s="55">
        <v>210</v>
      </c>
      <c r="B183" s="104" t="s">
        <v>189</v>
      </c>
      <c r="C183" s="105" t="s">
        <v>187</v>
      </c>
      <c r="D183" s="104">
        <v>1992</v>
      </c>
      <c r="E183" s="35" t="s">
        <v>44</v>
      </c>
      <c r="F183" s="35" t="s">
        <v>188</v>
      </c>
      <c r="G183" s="104" t="s">
        <v>178</v>
      </c>
      <c r="H183" s="103">
        <v>56</v>
      </c>
      <c r="I183" s="35"/>
      <c r="J183" s="35">
        <v>9</v>
      </c>
      <c r="K183" s="104" t="s">
        <v>178</v>
      </c>
      <c r="L183" s="35" t="s">
        <v>86</v>
      </c>
      <c r="M183" s="104" t="s">
        <v>67</v>
      </c>
      <c r="N183" s="35" t="s">
        <v>59</v>
      </c>
      <c r="O183" s="108" t="s">
        <v>169</v>
      </c>
      <c r="P183" s="107">
        <v>14.8</v>
      </c>
      <c r="Q183" s="107">
        <v>3.3</v>
      </c>
      <c r="R183" s="107"/>
      <c r="S183" s="107"/>
      <c r="T183" s="107"/>
      <c r="U183" s="107"/>
      <c r="V183" s="107"/>
      <c r="W183" s="107"/>
      <c r="X183" s="107"/>
      <c r="Y183" s="107"/>
      <c r="Z183" s="107"/>
      <c r="AA183" s="107"/>
      <c r="AB183" s="104"/>
      <c r="AC183" s="104"/>
      <c r="AD183" s="104"/>
      <c r="AE183" s="107"/>
      <c r="AF183" s="107">
        <v>67.5</v>
      </c>
      <c r="AG183" s="107">
        <v>11.3</v>
      </c>
      <c r="AH183" s="107"/>
      <c r="AI183" s="107"/>
      <c r="AJ183" s="107"/>
      <c r="AK183" s="104"/>
    </row>
    <row r="184" spans="1:37" x14ac:dyDescent="0.25">
      <c r="A184" s="55">
        <v>210</v>
      </c>
      <c r="B184" s="104" t="s">
        <v>190</v>
      </c>
      <c r="C184" s="184" t="s">
        <v>175</v>
      </c>
      <c r="D184" s="104">
        <v>1997</v>
      </c>
      <c r="E184" s="35" t="s">
        <v>176</v>
      </c>
      <c r="F184" s="104" t="s">
        <v>68</v>
      </c>
      <c r="G184" s="104" t="s">
        <v>190</v>
      </c>
      <c r="H184" s="106">
        <v>22.6</v>
      </c>
      <c r="I184" s="104">
        <v>2</v>
      </c>
      <c r="J184" s="104">
        <v>125</v>
      </c>
      <c r="K184" s="104" t="s">
        <v>64</v>
      </c>
      <c r="L184" s="35" t="s">
        <v>66</v>
      </c>
      <c r="M184" s="104" t="s">
        <v>67</v>
      </c>
      <c r="N184" s="35" t="s">
        <v>58</v>
      </c>
      <c r="O184" s="108" t="s">
        <v>169</v>
      </c>
      <c r="P184" s="35">
        <v>36.5</v>
      </c>
      <c r="Q184" s="35">
        <v>6.8</v>
      </c>
      <c r="R184" s="35">
        <v>56.1</v>
      </c>
      <c r="S184" s="35">
        <v>12.2</v>
      </c>
      <c r="T184" s="35"/>
      <c r="U184" s="35"/>
      <c r="V184" s="35"/>
      <c r="W184" s="35"/>
      <c r="X184" s="107"/>
      <c r="Y184" s="107"/>
      <c r="Z184" s="107"/>
      <c r="AA184" s="107"/>
      <c r="AB184" s="104"/>
      <c r="AC184" s="104"/>
      <c r="AD184" s="104"/>
      <c r="AE184" s="107"/>
      <c r="AF184" s="107"/>
      <c r="AG184" s="107"/>
      <c r="AH184" s="107"/>
      <c r="AI184" s="107"/>
      <c r="AJ184" s="107">
        <v>66.599999999999994</v>
      </c>
      <c r="AK184" s="104">
        <v>12.7</v>
      </c>
    </row>
    <row r="185" spans="1:37" x14ac:dyDescent="0.25">
      <c r="A185" s="55">
        <v>210</v>
      </c>
      <c r="B185" s="35" t="s">
        <v>190</v>
      </c>
      <c r="C185" s="105" t="s">
        <v>175</v>
      </c>
      <c r="D185" s="104">
        <v>1997</v>
      </c>
      <c r="E185" s="35" t="s">
        <v>176</v>
      </c>
      <c r="F185" s="104" t="s">
        <v>68</v>
      </c>
      <c r="G185" s="104" t="s">
        <v>190</v>
      </c>
      <c r="H185" s="103">
        <v>22.6</v>
      </c>
      <c r="I185" s="104">
        <v>2</v>
      </c>
      <c r="J185" s="104">
        <v>125</v>
      </c>
      <c r="K185" s="104" t="s">
        <v>191</v>
      </c>
      <c r="L185" s="35" t="s">
        <v>66</v>
      </c>
      <c r="M185" s="104" t="s">
        <v>67</v>
      </c>
      <c r="N185" s="35" t="s">
        <v>58</v>
      </c>
      <c r="O185" s="108" t="s">
        <v>169</v>
      </c>
      <c r="P185" s="35">
        <v>37.200000000000003</v>
      </c>
      <c r="Q185" s="35">
        <v>6.1</v>
      </c>
      <c r="R185" s="35">
        <v>51.7</v>
      </c>
      <c r="S185" s="35">
        <v>11.4</v>
      </c>
      <c r="T185" s="35"/>
      <c r="U185" s="35"/>
      <c r="V185" s="35"/>
      <c r="W185" s="35"/>
      <c r="X185" s="104"/>
      <c r="Y185" s="104"/>
      <c r="Z185" s="104"/>
      <c r="AA185" s="104"/>
      <c r="AB185" s="104"/>
      <c r="AC185" s="104"/>
      <c r="AD185" s="104"/>
      <c r="AE185" s="104"/>
      <c r="AF185" s="104"/>
      <c r="AG185" s="104"/>
      <c r="AH185" s="104"/>
      <c r="AI185" s="104"/>
      <c r="AJ185" s="104">
        <v>73.5</v>
      </c>
      <c r="AK185" s="104">
        <v>12.3</v>
      </c>
    </row>
    <row r="186" spans="1:37" x14ac:dyDescent="0.25">
      <c r="A186" s="55">
        <v>300</v>
      </c>
      <c r="B186" s="104" t="s">
        <v>190</v>
      </c>
      <c r="C186" s="184" t="s">
        <v>175</v>
      </c>
      <c r="D186" s="104">
        <v>1997</v>
      </c>
      <c r="E186" s="35" t="s">
        <v>176</v>
      </c>
      <c r="F186" s="104" t="s">
        <v>68</v>
      </c>
      <c r="G186" s="104" t="s">
        <v>190</v>
      </c>
      <c r="H186" s="106">
        <v>22.6</v>
      </c>
      <c r="I186" s="104">
        <v>2</v>
      </c>
      <c r="J186" s="104">
        <v>125</v>
      </c>
      <c r="K186" s="104" t="s">
        <v>64</v>
      </c>
      <c r="L186" s="35" t="s">
        <v>66</v>
      </c>
      <c r="M186" s="104" t="s">
        <v>67</v>
      </c>
      <c r="N186" s="35" t="s">
        <v>58</v>
      </c>
      <c r="O186" s="108" t="s">
        <v>169</v>
      </c>
      <c r="P186" s="104">
        <v>35.700000000000003</v>
      </c>
      <c r="Q186" s="104">
        <v>6.8</v>
      </c>
      <c r="R186" s="104">
        <v>52.1</v>
      </c>
      <c r="S186" s="104">
        <v>11.9</v>
      </c>
      <c r="T186" s="104"/>
      <c r="U186" s="104"/>
      <c r="V186" s="104"/>
      <c r="W186" s="104"/>
      <c r="X186" s="104"/>
      <c r="Y186" s="104"/>
      <c r="Z186" s="104"/>
      <c r="AA186" s="104"/>
      <c r="AB186" s="104"/>
      <c r="AC186" s="104"/>
      <c r="AD186" s="104"/>
      <c r="AE186" s="104"/>
      <c r="AF186" s="104"/>
      <c r="AG186" s="104"/>
      <c r="AH186" s="104"/>
      <c r="AI186" s="104"/>
      <c r="AJ186" s="104">
        <v>70.3</v>
      </c>
      <c r="AK186" s="104">
        <v>12.3</v>
      </c>
    </row>
    <row r="187" spans="1:37" x14ac:dyDescent="0.25">
      <c r="A187" s="55">
        <v>300</v>
      </c>
      <c r="B187" s="35" t="s">
        <v>190</v>
      </c>
      <c r="C187" s="105" t="s">
        <v>175</v>
      </c>
      <c r="D187" s="104">
        <v>1997</v>
      </c>
      <c r="E187" s="35" t="s">
        <v>176</v>
      </c>
      <c r="F187" s="104" t="s">
        <v>68</v>
      </c>
      <c r="G187" s="104" t="s">
        <v>190</v>
      </c>
      <c r="H187" s="103">
        <v>22.6</v>
      </c>
      <c r="I187" s="104">
        <v>2</v>
      </c>
      <c r="J187" s="104">
        <v>125</v>
      </c>
      <c r="K187" s="104" t="s">
        <v>191</v>
      </c>
      <c r="L187" s="35" t="s">
        <v>66</v>
      </c>
      <c r="M187" s="104" t="s">
        <v>67</v>
      </c>
      <c r="N187" s="35" t="s">
        <v>58</v>
      </c>
      <c r="O187" s="108" t="s">
        <v>169</v>
      </c>
      <c r="P187" s="107">
        <v>35.799999999999997</v>
      </c>
      <c r="Q187" s="107">
        <v>5.3</v>
      </c>
      <c r="R187" s="107">
        <v>47.1</v>
      </c>
      <c r="S187" s="107">
        <v>9.6</v>
      </c>
      <c r="T187" s="107"/>
      <c r="U187" s="107"/>
      <c r="V187" s="107"/>
      <c r="W187" s="107"/>
      <c r="X187" s="107"/>
      <c r="Y187" s="107"/>
      <c r="Z187" s="107"/>
      <c r="AA187" s="35"/>
      <c r="AB187" s="35"/>
      <c r="AC187" s="35"/>
      <c r="AD187" s="35"/>
      <c r="AE187" s="107"/>
      <c r="AF187" s="107"/>
      <c r="AG187" s="107"/>
      <c r="AH187" s="107"/>
      <c r="AI187" s="107"/>
      <c r="AJ187" s="107">
        <v>77.599999999999994</v>
      </c>
      <c r="AK187" s="104">
        <v>11.9</v>
      </c>
    </row>
    <row r="188" spans="1:37" x14ac:dyDescent="0.25">
      <c r="A188" s="55">
        <v>60</v>
      </c>
      <c r="B188" s="104" t="s">
        <v>192</v>
      </c>
      <c r="C188" s="184" t="s">
        <v>166</v>
      </c>
      <c r="D188" s="107">
        <v>2018</v>
      </c>
      <c r="E188" s="35" t="s">
        <v>167</v>
      </c>
      <c r="F188" s="104" t="s">
        <v>172</v>
      </c>
      <c r="G188" s="35" t="s">
        <v>178</v>
      </c>
      <c r="H188" s="103">
        <v>13.28</v>
      </c>
      <c r="I188" s="35">
        <v>0.96</v>
      </c>
      <c r="J188" s="35">
        <v>25</v>
      </c>
      <c r="K188" s="35" t="s">
        <v>194</v>
      </c>
      <c r="L188" s="35" t="s">
        <v>66</v>
      </c>
      <c r="M188" s="104" t="s">
        <v>67</v>
      </c>
      <c r="N188" s="35" t="s">
        <v>59</v>
      </c>
      <c r="O188" s="108" t="s">
        <v>169</v>
      </c>
      <c r="P188" s="108">
        <v>18.11</v>
      </c>
      <c r="Q188" s="108">
        <v>4.9800000000000004</v>
      </c>
      <c r="R188" s="108">
        <v>23.12</v>
      </c>
      <c r="S188" s="108">
        <v>7.01</v>
      </c>
      <c r="T188" s="108"/>
      <c r="U188" s="108"/>
      <c r="V188" s="108"/>
      <c r="W188" s="108"/>
      <c r="X188" s="107"/>
      <c r="Y188" s="107"/>
      <c r="Z188" s="107"/>
      <c r="AA188" s="35"/>
      <c r="AB188" s="35"/>
      <c r="AC188" s="35"/>
      <c r="AD188" s="35"/>
      <c r="AE188" s="107"/>
      <c r="AF188" s="107"/>
      <c r="AG188" s="107"/>
      <c r="AH188" s="107"/>
      <c r="AI188" s="107"/>
      <c r="AJ188" s="108">
        <v>79.510000000000005</v>
      </c>
      <c r="AK188" s="108">
        <v>7.8</v>
      </c>
    </row>
    <row r="189" spans="1:37" x14ac:dyDescent="0.25">
      <c r="A189" s="55">
        <v>60</v>
      </c>
      <c r="B189" s="104" t="s">
        <v>192</v>
      </c>
      <c r="C189" s="105" t="s">
        <v>166</v>
      </c>
      <c r="D189" s="104">
        <v>2018</v>
      </c>
      <c r="E189" s="35" t="s">
        <v>167</v>
      </c>
      <c r="F189" s="104" t="s">
        <v>172</v>
      </c>
      <c r="G189" s="35" t="s">
        <v>178</v>
      </c>
      <c r="H189" s="103">
        <v>13.28</v>
      </c>
      <c r="I189" s="35">
        <v>0.96</v>
      </c>
      <c r="J189" s="104">
        <v>25</v>
      </c>
      <c r="K189" s="104" t="s">
        <v>194</v>
      </c>
      <c r="L189" s="35" t="s">
        <v>66</v>
      </c>
      <c r="M189" s="104" t="s">
        <v>67</v>
      </c>
      <c r="N189" s="35" t="s">
        <v>59</v>
      </c>
      <c r="O189" s="108" t="s">
        <v>169</v>
      </c>
      <c r="P189" s="108">
        <v>16.34</v>
      </c>
      <c r="Q189" s="108">
        <v>5.0199999999999996</v>
      </c>
      <c r="R189" s="108">
        <v>20.95</v>
      </c>
      <c r="S189" s="108">
        <v>6.64</v>
      </c>
      <c r="T189" s="108"/>
      <c r="U189" s="108"/>
      <c r="V189" s="108"/>
      <c r="W189" s="108"/>
      <c r="X189" s="104"/>
      <c r="Y189" s="104"/>
      <c r="Z189" s="104"/>
      <c r="AA189" s="104"/>
      <c r="AB189" s="104"/>
      <c r="AC189" s="104"/>
      <c r="AD189" s="104"/>
      <c r="AE189" s="104"/>
      <c r="AF189" s="104"/>
      <c r="AG189" s="104"/>
      <c r="AH189" s="104"/>
      <c r="AI189" s="104"/>
      <c r="AJ189" s="108">
        <v>78.8</v>
      </c>
      <c r="AK189" s="108">
        <v>11.88</v>
      </c>
    </row>
    <row r="190" spans="1:37" x14ac:dyDescent="0.25">
      <c r="A190" s="55">
        <v>60</v>
      </c>
      <c r="B190" s="109" t="s">
        <v>193</v>
      </c>
      <c r="C190" s="184" t="s">
        <v>166</v>
      </c>
      <c r="D190" s="35">
        <v>2018</v>
      </c>
      <c r="E190" s="35" t="s">
        <v>167</v>
      </c>
      <c r="F190" s="104" t="s">
        <v>172</v>
      </c>
      <c r="G190" s="35" t="s">
        <v>178</v>
      </c>
      <c r="H190" s="103">
        <v>13.52</v>
      </c>
      <c r="I190" s="104">
        <v>0.92</v>
      </c>
      <c r="J190" s="104">
        <v>25</v>
      </c>
      <c r="K190" s="104" t="s">
        <v>195</v>
      </c>
      <c r="L190" s="35" t="s">
        <v>66</v>
      </c>
      <c r="M190" s="104" t="s">
        <v>67</v>
      </c>
      <c r="N190" s="35" t="s">
        <v>59</v>
      </c>
      <c r="O190" s="108" t="s">
        <v>169</v>
      </c>
      <c r="P190" s="108">
        <v>18.7</v>
      </c>
      <c r="Q190" s="108">
        <v>4.5</v>
      </c>
      <c r="R190" s="108">
        <v>31.23</v>
      </c>
      <c r="S190" s="108">
        <v>8.51</v>
      </c>
      <c r="T190" s="108"/>
      <c r="U190" s="108"/>
      <c r="V190" s="108"/>
      <c r="W190" s="108"/>
      <c r="X190" s="104"/>
      <c r="Y190" s="104"/>
      <c r="Z190" s="104"/>
      <c r="AA190" s="104"/>
      <c r="AB190" s="104"/>
      <c r="AC190" s="104"/>
      <c r="AD190" s="104"/>
      <c r="AE190" s="104"/>
      <c r="AF190" s="104"/>
      <c r="AG190" s="104"/>
      <c r="AH190" s="104"/>
      <c r="AI190" s="104"/>
      <c r="AJ190" s="108">
        <v>62.43</v>
      </c>
      <c r="AK190" s="108">
        <v>15.73</v>
      </c>
    </row>
    <row r="191" spans="1:37" x14ac:dyDescent="0.25">
      <c r="A191" s="55">
        <v>60</v>
      </c>
      <c r="B191" s="109" t="s">
        <v>193</v>
      </c>
      <c r="C191" s="105" t="s">
        <v>166</v>
      </c>
      <c r="D191" s="35">
        <v>2018</v>
      </c>
      <c r="E191" s="35" t="s">
        <v>167</v>
      </c>
      <c r="F191" s="104" t="s">
        <v>172</v>
      </c>
      <c r="G191" s="35" t="s">
        <v>178</v>
      </c>
      <c r="H191" s="103">
        <v>13.52</v>
      </c>
      <c r="I191" s="104">
        <v>0.92</v>
      </c>
      <c r="J191" s="104">
        <v>25</v>
      </c>
      <c r="K191" s="104" t="s">
        <v>195</v>
      </c>
      <c r="L191" s="35" t="s">
        <v>66</v>
      </c>
      <c r="M191" s="104" t="s">
        <v>67</v>
      </c>
      <c r="N191" s="35" t="s">
        <v>59</v>
      </c>
      <c r="O191" s="108" t="s">
        <v>169</v>
      </c>
      <c r="P191" s="108">
        <v>19.21</v>
      </c>
      <c r="Q191" s="108">
        <v>6.05</v>
      </c>
      <c r="R191" s="108">
        <v>31.72</v>
      </c>
      <c r="S191" s="108">
        <v>8.0399999999999991</v>
      </c>
      <c r="T191" s="108"/>
      <c r="U191" s="108"/>
      <c r="V191" s="108"/>
      <c r="W191" s="108"/>
      <c r="X191" s="104"/>
      <c r="Y191" s="104"/>
      <c r="Z191" s="104"/>
      <c r="AA191" s="104"/>
      <c r="AB191" s="104"/>
      <c r="AC191" s="104"/>
      <c r="AD191" s="104"/>
      <c r="AE191" s="104"/>
      <c r="AF191" s="104"/>
      <c r="AG191" s="104"/>
      <c r="AH191" s="104"/>
      <c r="AI191" s="104"/>
      <c r="AJ191" s="108">
        <v>63.96</v>
      </c>
      <c r="AK191" s="108">
        <v>22.08</v>
      </c>
    </row>
    <row r="192" spans="1:37" x14ac:dyDescent="0.25">
      <c r="A192" s="55">
        <v>180</v>
      </c>
      <c r="B192" s="104" t="s">
        <v>192</v>
      </c>
      <c r="C192" s="184" t="s">
        <v>166</v>
      </c>
      <c r="D192" s="107">
        <v>2018</v>
      </c>
      <c r="E192" s="35" t="s">
        <v>167</v>
      </c>
      <c r="F192" s="104" t="s">
        <v>172</v>
      </c>
      <c r="G192" s="35" t="s">
        <v>178</v>
      </c>
      <c r="H192" s="103">
        <v>13.64</v>
      </c>
      <c r="I192" s="35">
        <v>0.9</v>
      </c>
      <c r="J192" s="35">
        <v>25</v>
      </c>
      <c r="K192" s="35" t="s">
        <v>194</v>
      </c>
      <c r="L192" s="35" t="s">
        <v>66</v>
      </c>
      <c r="M192" s="104" t="s">
        <v>67</v>
      </c>
      <c r="N192" s="35" t="s">
        <v>59</v>
      </c>
      <c r="O192" s="108" t="s">
        <v>169</v>
      </c>
      <c r="P192" s="108">
        <v>17.670000000000002</v>
      </c>
      <c r="Q192" s="108">
        <v>4.7300000000000004</v>
      </c>
      <c r="R192" s="108">
        <v>23.91</v>
      </c>
      <c r="S192" s="108">
        <v>5.41</v>
      </c>
      <c r="T192" s="108"/>
      <c r="U192" s="108"/>
      <c r="V192" s="108"/>
      <c r="W192" s="108"/>
      <c r="X192" s="35"/>
      <c r="Y192" s="35"/>
      <c r="Z192" s="35"/>
      <c r="AA192" s="35"/>
      <c r="AB192" s="35"/>
      <c r="AC192" s="35"/>
      <c r="AD192" s="35"/>
      <c r="AE192" s="35"/>
      <c r="AF192" s="35"/>
      <c r="AG192" s="35"/>
      <c r="AH192" s="35"/>
      <c r="AI192" s="35"/>
      <c r="AJ192" s="108">
        <v>73.69</v>
      </c>
      <c r="AK192" s="108">
        <v>5.69</v>
      </c>
    </row>
    <row r="193" spans="1:37" x14ac:dyDescent="0.25">
      <c r="A193" s="55">
        <v>180</v>
      </c>
      <c r="B193" s="104" t="s">
        <v>192</v>
      </c>
      <c r="C193" s="105" t="s">
        <v>166</v>
      </c>
      <c r="D193" s="104">
        <v>2018</v>
      </c>
      <c r="E193" s="35" t="s">
        <v>167</v>
      </c>
      <c r="F193" s="104" t="s">
        <v>172</v>
      </c>
      <c r="G193" s="35" t="s">
        <v>178</v>
      </c>
      <c r="H193" s="103">
        <v>13.736000000000001</v>
      </c>
      <c r="I193" s="35">
        <v>0.88400000000000001</v>
      </c>
      <c r="J193" s="104">
        <v>25</v>
      </c>
      <c r="K193" s="104" t="s">
        <v>194</v>
      </c>
      <c r="L193" s="35" t="s">
        <v>66</v>
      </c>
      <c r="M193" s="104" t="s">
        <v>67</v>
      </c>
      <c r="N193" s="35" t="s">
        <v>59</v>
      </c>
      <c r="O193" s="108" t="s">
        <v>169</v>
      </c>
      <c r="P193" s="108">
        <v>16.440000000000001</v>
      </c>
      <c r="Q193" s="108">
        <v>4.76</v>
      </c>
      <c r="R193" s="108">
        <v>28.12</v>
      </c>
      <c r="S193" s="108">
        <v>7.75</v>
      </c>
      <c r="T193" s="108"/>
      <c r="U193" s="108"/>
      <c r="V193" s="108"/>
      <c r="W193" s="108"/>
      <c r="X193" s="35"/>
      <c r="Y193" s="35"/>
      <c r="Z193" s="35"/>
      <c r="AA193" s="35"/>
      <c r="AB193" s="35"/>
      <c r="AC193" s="35"/>
      <c r="AD193" s="35"/>
      <c r="AE193" s="35"/>
      <c r="AF193" s="35"/>
      <c r="AG193" s="35"/>
      <c r="AH193" s="35"/>
      <c r="AI193" s="35"/>
      <c r="AJ193" s="108">
        <v>62</v>
      </c>
      <c r="AK193" s="108">
        <v>20.54</v>
      </c>
    </row>
    <row r="194" spans="1:37" x14ac:dyDescent="0.25">
      <c r="A194" s="55">
        <v>180</v>
      </c>
      <c r="B194" s="109" t="s">
        <v>193</v>
      </c>
      <c r="C194" s="184" t="s">
        <v>166</v>
      </c>
      <c r="D194" s="35">
        <v>2018</v>
      </c>
      <c r="E194" s="35" t="s">
        <v>167</v>
      </c>
      <c r="F194" s="104" t="s">
        <v>172</v>
      </c>
      <c r="G194" s="35" t="s">
        <v>178</v>
      </c>
      <c r="H194" s="103">
        <v>13.832000000000001</v>
      </c>
      <c r="I194" s="104">
        <v>0.86799999999999999</v>
      </c>
      <c r="J194" s="104">
        <v>25</v>
      </c>
      <c r="K194" s="104" t="s">
        <v>195</v>
      </c>
      <c r="L194" s="35" t="s">
        <v>66</v>
      </c>
      <c r="M194" s="104" t="s">
        <v>67</v>
      </c>
      <c r="N194" s="35" t="s">
        <v>59</v>
      </c>
      <c r="O194" s="108" t="s">
        <v>169</v>
      </c>
      <c r="P194" s="108">
        <v>16.84</v>
      </c>
      <c r="Q194" s="108">
        <v>4.24</v>
      </c>
      <c r="R194" s="108">
        <v>21.83</v>
      </c>
      <c r="S194" s="108">
        <v>5.47</v>
      </c>
      <c r="T194" s="108"/>
      <c r="U194" s="108"/>
      <c r="V194" s="108"/>
      <c r="W194" s="108"/>
      <c r="X194" s="35"/>
      <c r="Y194" s="35"/>
      <c r="Z194" s="35"/>
      <c r="AA194" s="35"/>
      <c r="AB194" s="35"/>
      <c r="AC194" s="35"/>
      <c r="AD194" s="35"/>
      <c r="AE194" s="35"/>
      <c r="AF194" s="35"/>
      <c r="AG194" s="35"/>
      <c r="AH194" s="35"/>
      <c r="AI194" s="35"/>
      <c r="AJ194" s="108">
        <v>77.72</v>
      </c>
      <c r="AK194" s="108">
        <v>8.85</v>
      </c>
    </row>
    <row r="195" spans="1:37" x14ac:dyDescent="0.25">
      <c r="A195" s="55">
        <v>180</v>
      </c>
      <c r="B195" s="109" t="s">
        <v>193</v>
      </c>
      <c r="C195" s="105" t="s">
        <v>166</v>
      </c>
      <c r="D195" s="35">
        <v>2018</v>
      </c>
      <c r="E195" s="35" t="s">
        <v>167</v>
      </c>
      <c r="F195" s="104" t="s">
        <v>172</v>
      </c>
      <c r="G195" s="35" t="s">
        <v>178</v>
      </c>
      <c r="H195" s="103">
        <v>13.928000000000001</v>
      </c>
      <c r="I195" s="104">
        <v>0.85199999999999998</v>
      </c>
      <c r="J195" s="104">
        <v>25</v>
      </c>
      <c r="K195" s="104" t="s">
        <v>195</v>
      </c>
      <c r="L195" s="35" t="s">
        <v>66</v>
      </c>
      <c r="M195" s="104" t="s">
        <v>67</v>
      </c>
      <c r="N195" s="35" t="s">
        <v>59</v>
      </c>
      <c r="O195" s="108" t="s">
        <v>169</v>
      </c>
      <c r="P195" s="108">
        <v>17.55</v>
      </c>
      <c r="Q195" s="108">
        <v>5.85</v>
      </c>
      <c r="R195" s="108">
        <v>28.4</v>
      </c>
      <c r="S195" s="108">
        <v>7.49</v>
      </c>
      <c r="T195" s="108"/>
      <c r="U195" s="108"/>
      <c r="V195" s="108"/>
      <c r="W195" s="108"/>
      <c r="X195" s="35"/>
      <c r="Y195" s="35"/>
      <c r="Z195" s="35"/>
      <c r="AA195" s="35"/>
      <c r="AB195" s="35"/>
      <c r="AC195" s="35"/>
      <c r="AD195" s="35"/>
      <c r="AE195" s="35"/>
      <c r="AF195" s="35"/>
      <c r="AG195" s="35"/>
      <c r="AH195" s="35"/>
      <c r="AI195" s="35"/>
      <c r="AJ195" s="108">
        <v>62.43</v>
      </c>
      <c r="AK195" s="108">
        <v>14.73</v>
      </c>
    </row>
    <row r="196" spans="1:37" hidden="1" x14ac:dyDescent="0.25">
      <c r="A196" s="55">
        <v>120</v>
      </c>
      <c r="B196" s="35" t="s">
        <v>196</v>
      </c>
      <c r="C196" s="105" t="s">
        <v>197</v>
      </c>
      <c r="D196" s="35">
        <v>2001</v>
      </c>
      <c r="E196" s="35" t="s">
        <v>176</v>
      </c>
      <c r="F196" s="104" t="s">
        <v>172</v>
      </c>
      <c r="G196" s="35" t="s">
        <v>178</v>
      </c>
      <c r="H196" s="106">
        <v>14.22</v>
      </c>
      <c r="I196" s="104">
        <v>0.55000000000000004</v>
      </c>
      <c r="J196" s="104">
        <v>18</v>
      </c>
      <c r="K196" s="104" t="s">
        <v>178</v>
      </c>
      <c r="L196" s="104" t="s">
        <v>66</v>
      </c>
      <c r="M196" s="104" t="s">
        <v>67</v>
      </c>
      <c r="N196" s="35" t="s">
        <v>59</v>
      </c>
      <c r="O196" s="104" t="s">
        <v>112</v>
      </c>
      <c r="P196" s="104">
        <v>45.35</v>
      </c>
      <c r="Q196" s="104">
        <v>7.87</v>
      </c>
      <c r="R196" s="104">
        <v>62.48</v>
      </c>
      <c r="S196" s="104">
        <v>6.91</v>
      </c>
      <c r="T196" s="104"/>
      <c r="U196" s="104"/>
      <c r="V196" s="104"/>
      <c r="W196" s="104"/>
      <c r="X196" s="107">
        <v>50.37</v>
      </c>
      <c r="Y196" s="107">
        <v>12.34</v>
      </c>
      <c r="Z196" s="104">
        <v>56.28</v>
      </c>
      <c r="AA196" s="104">
        <v>9.07</v>
      </c>
      <c r="AB196" s="104"/>
      <c r="AC196" s="104"/>
      <c r="AD196" s="104"/>
      <c r="AE196" s="104"/>
      <c r="AF196" s="104"/>
      <c r="AG196" s="104"/>
      <c r="AH196" s="104"/>
      <c r="AI196" s="104"/>
      <c r="AJ196" s="104"/>
      <c r="AK196" s="104"/>
    </row>
    <row r="197" spans="1:37" hidden="1" x14ac:dyDescent="0.25">
      <c r="A197" s="55">
        <v>120</v>
      </c>
      <c r="B197" s="35" t="s">
        <v>196</v>
      </c>
      <c r="C197" s="105" t="s">
        <v>197</v>
      </c>
      <c r="D197" s="35">
        <v>2001</v>
      </c>
      <c r="E197" s="35" t="s">
        <v>176</v>
      </c>
      <c r="F197" s="104" t="s">
        <v>172</v>
      </c>
      <c r="G197" s="35" t="s">
        <v>178</v>
      </c>
      <c r="H197" s="106">
        <v>14.22</v>
      </c>
      <c r="I197" s="104">
        <v>0.55000000000000004</v>
      </c>
      <c r="J197" s="104">
        <v>18</v>
      </c>
      <c r="K197" s="104" t="s">
        <v>178</v>
      </c>
      <c r="L197" s="104" t="s">
        <v>66</v>
      </c>
      <c r="M197" s="104" t="s">
        <v>122</v>
      </c>
      <c r="N197" s="35" t="s">
        <v>59</v>
      </c>
      <c r="O197" s="104" t="s">
        <v>112</v>
      </c>
      <c r="P197" s="104">
        <v>60.29</v>
      </c>
      <c r="Q197" s="104">
        <v>11.95</v>
      </c>
      <c r="R197" s="104">
        <v>81.239999999999995</v>
      </c>
      <c r="S197" s="104">
        <v>9.65</v>
      </c>
      <c r="T197" s="104"/>
      <c r="U197" s="104"/>
      <c r="V197" s="104"/>
      <c r="W197" s="104"/>
      <c r="X197" s="104">
        <v>89.42</v>
      </c>
      <c r="Y197" s="104">
        <v>14.17</v>
      </c>
      <c r="Z197" s="104">
        <v>96.23</v>
      </c>
      <c r="AA197" s="104">
        <v>13.24</v>
      </c>
      <c r="AB197" s="104"/>
      <c r="AC197" s="104"/>
      <c r="AD197" s="104"/>
      <c r="AE197" s="104"/>
      <c r="AF197" s="104"/>
      <c r="AG197" s="104"/>
      <c r="AH197" s="104"/>
      <c r="AI197" s="104"/>
      <c r="AJ197" s="104"/>
      <c r="AK197" s="104"/>
    </row>
    <row r="198" spans="1:37" ht="16.5" x14ac:dyDescent="0.25">
      <c r="A198" s="55">
        <v>60</v>
      </c>
      <c r="B198" s="35" t="s">
        <v>200</v>
      </c>
      <c r="C198" s="182" t="s">
        <v>168</v>
      </c>
      <c r="D198" s="35">
        <v>2019</v>
      </c>
      <c r="E198" s="108" t="s">
        <v>54</v>
      </c>
      <c r="F198" s="104" t="s">
        <v>172</v>
      </c>
      <c r="G198" s="35" t="s">
        <v>178</v>
      </c>
      <c r="H198" s="106">
        <v>15.1</v>
      </c>
      <c r="I198" s="104">
        <v>1.1000000000000001</v>
      </c>
      <c r="J198" s="104">
        <v>28</v>
      </c>
      <c r="K198" s="104" t="s">
        <v>64</v>
      </c>
      <c r="L198" s="35" t="s">
        <v>66</v>
      </c>
      <c r="M198" s="104" t="s">
        <v>67</v>
      </c>
      <c r="N198" s="35" t="s">
        <v>59</v>
      </c>
      <c r="O198" s="108" t="s">
        <v>169</v>
      </c>
      <c r="P198" s="110">
        <v>35.799999999999997</v>
      </c>
      <c r="Q198" s="110">
        <v>11</v>
      </c>
      <c r="R198" s="110">
        <v>48.7</v>
      </c>
      <c r="S198" s="110">
        <v>13.7</v>
      </c>
      <c r="T198" s="110" t="s">
        <v>170</v>
      </c>
      <c r="U198" s="110">
        <v>11.8</v>
      </c>
      <c r="V198" s="110">
        <v>66.8</v>
      </c>
      <c r="W198" s="110">
        <v>17.7</v>
      </c>
      <c r="X198" s="34"/>
      <c r="Y198" s="34"/>
      <c r="Z198" s="34"/>
      <c r="AA198" s="34"/>
      <c r="AB198" s="111"/>
      <c r="AC198" s="111"/>
      <c r="AD198" s="111"/>
      <c r="AE198" s="111"/>
      <c r="AF198" s="110">
        <v>43</v>
      </c>
      <c r="AG198" s="110">
        <v>13</v>
      </c>
      <c r="AH198" s="110">
        <v>59</v>
      </c>
      <c r="AI198" s="110">
        <v>15.6</v>
      </c>
      <c r="AJ198" s="110">
        <v>74.8</v>
      </c>
      <c r="AK198" s="110">
        <v>14.3</v>
      </c>
    </row>
    <row r="199" spans="1:37" ht="16.5" x14ac:dyDescent="0.25">
      <c r="A199" s="55">
        <v>60</v>
      </c>
      <c r="B199" s="35" t="s">
        <v>200</v>
      </c>
      <c r="C199" s="44" t="s">
        <v>168</v>
      </c>
      <c r="D199" s="35">
        <v>2019</v>
      </c>
      <c r="E199" s="108" t="s">
        <v>54</v>
      </c>
      <c r="F199" s="104" t="s">
        <v>172</v>
      </c>
      <c r="G199" s="35" t="s">
        <v>178</v>
      </c>
      <c r="H199" s="106">
        <v>15.1</v>
      </c>
      <c r="I199" s="104">
        <v>1.1000000000000001</v>
      </c>
      <c r="J199" s="104">
        <v>28</v>
      </c>
      <c r="K199" s="104" t="s">
        <v>191</v>
      </c>
      <c r="L199" s="35" t="s">
        <v>66</v>
      </c>
      <c r="M199" s="104" t="s">
        <v>67</v>
      </c>
      <c r="N199" s="35" t="s">
        <v>59</v>
      </c>
      <c r="O199" s="108" t="s">
        <v>169</v>
      </c>
      <c r="P199" s="110">
        <v>35</v>
      </c>
      <c r="Q199" s="110">
        <v>10.7</v>
      </c>
      <c r="R199" s="110">
        <v>43.9</v>
      </c>
      <c r="S199" s="110">
        <v>11.6</v>
      </c>
      <c r="T199" s="110" t="s">
        <v>171</v>
      </c>
      <c r="U199" s="110">
        <v>12.5</v>
      </c>
      <c r="V199" s="110">
        <v>60.5</v>
      </c>
      <c r="W199" s="110">
        <v>15.9</v>
      </c>
      <c r="X199" s="34"/>
      <c r="Y199" s="34"/>
      <c r="Z199" s="34"/>
      <c r="AA199" s="34"/>
      <c r="AB199" s="111"/>
      <c r="AC199" s="111"/>
      <c r="AD199" s="111"/>
      <c r="AE199" s="111"/>
      <c r="AF199" s="110">
        <v>41.8</v>
      </c>
      <c r="AG199" s="110">
        <v>12.9</v>
      </c>
      <c r="AH199" s="110">
        <v>54</v>
      </c>
      <c r="AI199" s="110">
        <v>16</v>
      </c>
      <c r="AJ199" s="110">
        <v>80.099999999999994</v>
      </c>
      <c r="AK199" s="110">
        <v>14</v>
      </c>
    </row>
    <row r="200" spans="1:37" ht="16.5" x14ac:dyDescent="0.25">
      <c r="A200" s="55">
        <v>240</v>
      </c>
      <c r="B200" s="35" t="s">
        <v>200</v>
      </c>
      <c r="C200" s="182" t="s">
        <v>168</v>
      </c>
      <c r="D200" s="35">
        <v>2019</v>
      </c>
      <c r="E200" s="108" t="s">
        <v>54</v>
      </c>
      <c r="F200" s="104" t="s">
        <v>172</v>
      </c>
      <c r="G200" s="35" t="s">
        <v>178</v>
      </c>
      <c r="H200" s="106">
        <v>15.1</v>
      </c>
      <c r="I200" s="104">
        <v>1.1000000000000001</v>
      </c>
      <c r="J200" s="104">
        <v>28</v>
      </c>
      <c r="K200" s="104" t="s">
        <v>64</v>
      </c>
      <c r="L200" s="35" t="s">
        <v>66</v>
      </c>
      <c r="M200" s="104" t="s">
        <v>67</v>
      </c>
      <c r="N200" s="35" t="s">
        <v>59</v>
      </c>
      <c r="O200" s="108" t="s">
        <v>169</v>
      </c>
      <c r="P200" s="110">
        <v>31.7</v>
      </c>
      <c r="Q200" s="110">
        <v>9.1</v>
      </c>
      <c r="R200" s="110">
        <v>44.7</v>
      </c>
      <c r="S200" s="110">
        <v>11.2</v>
      </c>
      <c r="T200" s="110">
        <v>43.2</v>
      </c>
      <c r="U200" s="110">
        <v>10.3</v>
      </c>
      <c r="V200" s="110">
        <v>61.4</v>
      </c>
      <c r="W200" s="110">
        <v>14.3</v>
      </c>
      <c r="X200" s="34"/>
      <c r="Y200" s="34"/>
      <c r="Z200" s="34"/>
      <c r="AA200" s="34"/>
      <c r="AB200" s="111"/>
      <c r="AC200" s="111"/>
      <c r="AD200" s="111"/>
      <c r="AE200" s="111"/>
      <c r="AF200" s="110">
        <v>35.1</v>
      </c>
      <c r="AG200" s="110">
        <v>11.1</v>
      </c>
      <c r="AH200" s="110">
        <v>51.4</v>
      </c>
      <c r="AI200" s="110">
        <v>15.2</v>
      </c>
      <c r="AJ200" s="110">
        <v>71.400000000000006</v>
      </c>
      <c r="AK200" s="110">
        <v>12.6</v>
      </c>
    </row>
    <row r="201" spans="1:37" ht="16.5" x14ac:dyDescent="0.25">
      <c r="A201" s="55">
        <v>240</v>
      </c>
      <c r="B201" s="35" t="s">
        <v>200</v>
      </c>
      <c r="C201" s="44" t="s">
        <v>168</v>
      </c>
      <c r="D201" s="35">
        <v>2019</v>
      </c>
      <c r="E201" s="108" t="s">
        <v>54</v>
      </c>
      <c r="F201" s="104" t="s">
        <v>172</v>
      </c>
      <c r="G201" s="35" t="s">
        <v>178</v>
      </c>
      <c r="H201" s="106">
        <v>15.1</v>
      </c>
      <c r="I201" s="104">
        <v>1.1000000000000001</v>
      </c>
      <c r="J201" s="104">
        <v>28</v>
      </c>
      <c r="K201" s="104" t="s">
        <v>191</v>
      </c>
      <c r="L201" s="35" t="s">
        <v>66</v>
      </c>
      <c r="M201" s="104" t="s">
        <v>67</v>
      </c>
      <c r="N201" s="35" t="s">
        <v>59</v>
      </c>
      <c r="O201" s="108" t="s">
        <v>169</v>
      </c>
      <c r="P201" s="110">
        <v>30.7</v>
      </c>
      <c r="Q201" s="35">
        <v>8.1999999999999993</v>
      </c>
      <c r="R201" s="110">
        <v>41.1</v>
      </c>
      <c r="S201" s="110">
        <v>11</v>
      </c>
      <c r="T201" s="110" t="s">
        <v>198</v>
      </c>
      <c r="U201" s="110">
        <v>9.1</v>
      </c>
      <c r="V201" s="110" t="s">
        <v>199</v>
      </c>
      <c r="W201" s="110">
        <v>15.8</v>
      </c>
      <c r="X201" s="34"/>
      <c r="Y201" s="34"/>
      <c r="Z201" s="34"/>
      <c r="AA201" s="34"/>
      <c r="AB201" s="111"/>
      <c r="AC201" s="111"/>
      <c r="AD201" s="111"/>
      <c r="AE201" s="111"/>
      <c r="AF201" s="110">
        <v>33.4</v>
      </c>
      <c r="AG201" s="110">
        <v>9.9</v>
      </c>
      <c r="AH201" s="110">
        <v>45.7</v>
      </c>
      <c r="AI201" s="110">
        <v>13.9</v>
      </c>
      <c r="AJ201" s="110">
        <v>77.3</v>
      </c>
      <c r="AK201" s="110">
        <v>19.2</v>
      </c>
    </row>
    <row r="202" spans="1:37" x14ac:dyDescent="0.25">
      <c r="A202" s="55">
        <v>240</v>
      </c>
      <c r="B202" s="35" t="s">
        <v>200</v>
      </c>
      <c r="C202" s="182" t="s">
        <v>168</v>
      </c>
      <c r="D202" s="35">
        <v>2019</v>
      </c>
      <c r="E202" s="108" t="s">
        <v>54</v>
      </c>
      <c r="F202" s="104" t="s">
        <v>172</v>
      </c>
      <c r="G202" s="35" t="s">
        <v>178</v>
      </c>
      <c r="H202" s="106">
        <v>15.1</v>
      </c>
      <c r="I202" s="104">
        <v>1.1000000000000001</v>
      </c>
      <c r="J202" s="104">
        <v>28</v>
      </c>
      <c r="K202" s="104" t="s">
        <v>64</v>
      </c>
      <c r="L202" s="35" t="s">
        <v>66</v>
      </c>
      <c r="M202" s="104" t="s">
        <v>122</v>
      </c>
      <c r="N202" s="35" t="s">
        <v>59</v>
      </c>
      <c r="O202" s="108" t="s">
        <v>169</v>
      </c>
      <c r="P202" s="35">
        <v>59.2</v>
      </c>
      <c r="Q202" s="35">
        <v>16.3</v>
      </c>
      <c r="R202" s="35">
        <v>66.5</v>
      </c>
      <c r="S202" s="35">
        <v>24.3</v>
      </c>
      <c r="T202" s="35"/>
      <c r="U202" s="35"/>
      <c r="V202" s="35"/>
      <c r="W202" s="35"/>
      <c r="X202" s="108"/>
      <c r="Y202" s="108"/>
      <c r="Z202" s="108"/>
      <c r="AA202" s="108"/>
      <c r="AB202" s="108"/>
      <c r="AC202" s="108"/>
      <c r="AD202" s="184"/>
      <c r="AE202" s="104"/>
      <c r="AF202" s="104"/>
      <c r="AG202" s="104"/>
      <c r="AH202" s="104"/>
      <c r="AI202" s="104"/>
      <c r="AJ202" s="104"/>
      <c r="AK202" s="104"/>
    </row>
    <row r="203" spans="1:37" x14ac:dyDescent="0.25">
      <c r="A203" s="55">
        <v>240</v>
      </c>
      <c r="B203" s="35" t="s">
        <v>200</v>
      </c>
      <c r="C203" s="44" t="s">
        <v>168</v>
      </c>
      <c r="D203" s="35">
        <v>2019</v>
      </c>
      <c r="E203" s="108" t="s">
        <v>54</v>
      </c>
      <c r="F203" s="104" t="s">
        <v>172</v>
      </c>
      <c r="G203" s="35" t="s">
        <v>178</v>
      </c>
      <c r="H203" s="106">
        <v>15.1</v>
      </c>
      <c r="I203" s="104">
        <v>1.1000000000000001</v>
      </c>
      <c r="J203" s="104">
        <v>28</v>
      </c>
      <c r="K203" s="104" t="s">
        <v>191</v>
      </c>
      <c r="L203" s="35" t="s">
        <v>66</v>
      </c>
      <c r="M203" s="104" t="s">
        <v>122</v>
      </c>
      <c r="N203" s="35" t="s">
        <v>59</v>
      </c>
      <c r="O203" s="108" t="s">
        <v>169</v>
      </c>
      <c r="P203" s="35">
        <v>57.7</v>
      </c>
      <c r="Q203" s="35">
        <v>14.3</v>
      </c>
      <c r="R203" s="35">
        <v>64.2</v>
      </c>
      <c r="S203" s="35">
        <v>21.3</v>
      </c>
      <c r="T203" s="35"/>
      <c r="U203" s="35"/>
      <c r="V203" s="35"/>
      <c r="W203" s="35"/>
      <c r="X203" s="108"/>
      <c r="Y203" s="108"/>
      <c r="Z203" s="108"/>
      <c r="AA203" s="108"/>
      <c r="AB203" s="108"/>
      <c r="AC203" s="108"/>
      <c r="AD203" s="105"/>
      <c r="AE203" s="104"/>
      <c r="AF203" s="104"/>
      <c r="AG203" s="104"/>
      <c r="AH203" s="104"/>
      <c r="AI203" s="104"/>
      <c r="AJ203" s="104"/>
      <c r="AK203" s="104"/>
    </row>
    <row r="204" spans="1:37" x14ac:dyDescent="0.25">
      <c r="A204" s="55">
        <v>180</v>
      </c>
      <c r="B204" s="112" t="s">
        <v>206</v>
      </c>
      <c r="C204" s="182" t="s">
        <v>204</v>
      </c>
      <c r="D204" s="35">
        <v>2020</v>
      </c>
      <c r="E204" s="35" t="s">
        <v>176</v>
      </c>
      <c r="F204" s="35" t="s">
        <v>60</v>
      </c>
      <c r="G204" s="104" t="s">
        <v>190</v>
      </c>
      <c r="H204" s="113">
        <v>20.94</v>
      </c>
      <c r="I204" s="108">
        <v>1.21</v>
      </c>
      <c r="J204" s="108">
        <v>9</v>
      </c>
      <c r="K204" s="104" t="s">
        <v>178</v>
      </c>
      <c r="L204" s="35" t="s">
        <v>66</v>
      </c>
      <c r="M204" s="104" t="s">
        <v>67</v>
      </c>
      <c r="N204" s="112" t="s">
        <v>205</v>
      </c>
      <c r="O204" s="108" t="s">
        <v>169</v>
      </c>
      <c r="P204" s="35">
        <v>20.67</v>
      </c>
      <c r="Q204" s="35">
        <v>7.14</v>
      </c>
      <c r="R204" s="104">
        <v>27.44</v>
      </c>
      <c r="S204" s="104">
        <v>12.31</v>
      </c>
      <c r="T204" s="35"/>
      <c r="U204" s="35"/>
      <c r="V204" s="35"/>
      <c r="W204" s="35"/>
      <c r="X204" s="35"/>
      <c r="Y204" s="35"/>
      <c r="Z204" s="35"/>
      <c r="AA204" s="108"/>
      <c r="AB204" s="108"/>
      <c r="AC204" s="35"/>
      <c r="AD204" s="104"/>
      <c r="AE204" s="104"/>
      <c r="AF204" s="104"/>
      <c r="AG204" s="104"/>
      <c r="AH204" s="104"/>
      <c r="AI204" s="104"/>
      <c r="AJ204" s="104"/>
      <c r="AK204" s="104"/>
    </row>
    <row r="205" spans="1:37" x14ac:dyDescent="0.25">
      <c r="A205" s="55">
        <v>180</v>
      </c>
      <c r="B205" s="112" t="s">
        <v>207</v>
      </c>
      <c r="C205" s="44" t="s">
        <v>204</v>
      </c>
      <c r="D205" s="35">
        <v>2020</v>
      </c>
      <c r="E205" s="35" t="s">
        <v>176</v>
      </c>
      <c r="F205" s="35" t="s">
        <v>60</v>
      </c>
      <c r="G205" s="108" t="s">
        <v>208</v>
      </c>
      <c r="H205" s="113">
        <v>20.94</v>
      </c>
      <c r="I205" s="108">
        <v>1.21</v>
      </c>
      <c r="J205" s="108">
        <v>9</v>
      </c>
      <c r="K205" s="104" t="s">
        <v>178</v>
      </c>
      <c r="L205" s="35" t="s">
        <v>66</v>
      </c>
      <c r="M205" s="104" t="s">
        <v>67</v>
      </c>
      <c r="N205" s="112" t="s">
        <v>205</v>
      </c>
      <c r="O205" s="108" t="s">
        <v>169</v>
      </c>
      <c r="P205" s="104">
        <v>23.22</v>
      </c>
      <c r="Q205" s="104">
        <v>7.41</v>
      </c>
      <c r="R205" s="104">
        <v>37.22</v>
      </c>
      <c r="S205" s="104">
        <v>15.4</v>
      </c>
      <c r="T205" s="104"/>
      <c r="U205" s="104"/>
      <c r="V205" s="104"/>
      <c r="W205" s="104"/>
      <c r="X205" s="104"/>
      <c r="Y205" s="104"/>
      <c r="Z205" s="104"/>
      <c r="AA205" s="104"/>
      <c r="AB205" s="104"/>
      <c r="AC205" s="104"/>
      <c r="AD205" s="104"/>
      <c r="AE205" s="104"/>
      <c r="AF205" s="104"/>
      <c r="AG205" s="104"/>
      <c r="AH205" s="104"/>
      <c r="AI205" s="104"/>
      <c r="AJ205" s="104"/>
      <c r="AK205" s="104"/>
    </row>
    <row r="206" spans="1:37" x14ac:dyDescent="0.25">
      <c r="A206" s="55">
        <v>300</v>
      </c>
      <c r="B206" s="112" t="s">
        <v>206</v>
      </c>
      <c r="C206" s="182" t="s">
        <v>204</v>
      </c>
      <c r="D206" s="35">
        <v>2020</v>
      </c>
      <c r="E206" s="35" t="s">
        <v>176</v>
      </c>
      <c r="F206" s="35" t="s">
        <v>60</v>
      </c>
      <c r="G206" s="104" t="s">
        <v>190</v>
      </c>
      <c r="H206" s="113">
        <v>20.94</v>
      </c>
      <c r="I206" s="108">
        <v>1.21</v>
      </c>
      <c r="J206" s="108">
        <v>9</v>
      </c>
      <c r="K206" s="104" t="s">
        <v>178</v>
      </c>
      <c r="L206" s="35" t="s">
        <v>66</v>
      </c>
      <c r="M206" s="104" t="s">
        <v>67</v>
      </c>
      <c r="N206" s="112" t="s">
        <v>205</v>
      </c>
      <c r="O206" s="108" t="s">
        <v>169</v>
      </c>
      <c r="P206" s="104">
        <v>16.440000000000001</v>
      </c>
      <c r="Q206" s="104">
        <v>7.14</v>
      </c>
      <c r="R206" s="104">
        <v>22.22</v>
      </c>
      <c r="S206" s="104">
        <v>10.210000000000001</v>
      </c>
      <c r="T206" s="104"/>
      <c r="U206" s="104"/>
      <c r="V206" s="104"/>
      <c r="W206" s="104"/>
      <c r="X206" s="104"/>
      <c r="Y206" s="104"/>
      <c r="Z206" s="104"/>
      <c r="AA206" s="104"/>
      <c r="AB206" s="104"/>
      <c r="AC206" s="104"/>
      <c r="AD206" s="104"/>
      <c r="AE206" s="104"/>
      <c r="AF206" s="104"/>
      <c r="AG206" s="104"/>
      <c r="AH206" s="104"/>
      <c r="AI206" s="104"/>
      <c r="AJ206" s="104"/>
      <c r="AK206" s="104"/>
    </row>
    <row r="207" spans="1:37" x14ac:dyDescent="0.25">
      <c r="A207" s="55">
        <v>300</v>
      </c>
      <c r="B207" s="112" t="s">
        <v>207</v>
      </c>
      <c r="C207" s="44" t="s">
        <v>204</v>
      </c>
      <c r="D207" s="35">
        <v>2020</v>
      </c>
      <c r="E207" s="35" t="s">
        <v>176</v>
      </c>
      <c r="F207" s="35" t="s">
        <v>60</v>
      </c>
      <c r="G207" s="108" t="s">
        <v>208</v>
      </c>
      <c r="H207" s="113">
        <v>20.94</v>
      </c>
      <c r="I207" s="108">
        <v>1.21</v>
      </c>
      <c r="J207" s="108">
        <v>9</v>
      </c>
      <c r="K207" s="104" t="s">
        <v>178</v>
      </c>
      <c r="L207" s="35" t="s">
        <v>66</v>
      </c>
      <c r="M207" s="104" t="s">
        <v>67</v>
      </c>
      <c r="N207" s="112" t="s">
        <v>205</v>
      </c>
      <c r="O207" s="108" t="s">
        <v>169</v>
      </c>
      <c r="P207" s="104">
        <v>19.899999999999999</v>
      </c>
      <c r="Q207" s="104">
        <v>3.99</v>
      </c>
      <c r="R207" s="104">
        <v>31</v>
      </c>
      <c r="S207" s="104">
        <v>13.39</v>
      </c>
      <c r="T207" s="104"/>
      <c r="U207" s="104"/>
      <c r="V207" s="104"/>
      <c r="W207" s="104"/>
      <c r="X207" s="104"/>
      <c r="Y207" s="104"/>
      <c r="Z207" s="104"/>
      <c r="AA207" s="104"/>
      <c r="AB207" s="104"/>
      <c r="AC207" s="104"/>
      <c r="AD207" s="104"/>
      <c r="AE207" s="104"/>
      <c r="AF207" s="104"/>
      <c r="AG207" s="104"/>
      <c r="AH207" s="104"/>
      <c r="AI207" s="104"/>
      <c r="AJ207" s="104"/>
      <c r="AK207" s="104"/>
    </row>
    <row r="208" spans="1:37" hidden="1" x14ac:dyDescent="0.25">
      <c r="A208" s="55">
        <v>90</v>
      </c>
      <c r="B208" s="104" t="s">
        <v>210</v>
      </c>
      <c r="C208" s="44" t="s">
        <v>209</v>
      </c>
      <c r="D208" s="35">
        <v>2012</v>
      </c>
      <c r="E208" s="35" t="s">
        <v>176</v>
      </c>
      <c r="F208" s="104" t="s">
        <v>60</v>
      </c>
      <c r="G208" s="35" t="s">
        <v>178</v>
      </c>
      <c r="H208" s="106">
        <v>20.2</v>
      </c>
      <c r="I208" s="104">
        <v>1.4</v>
      </c>
      <c r="J208" s="104">
        <v>30</v>
      </c>
      <c r="K208" s="104" t="s">
        <v>64</v>
      </c>
      <c r="L208" s="104" t="s">
        <v>66</v>
      </c>
      <c r="M208" s="104" t="s">
        <v>67</v>
      </c>
      <c r="N208" s="35" t="s">
        <v>58</v>
      </c>
      <c r="O208" s="112" t="s">
        <v>211</v>
      </c>
      <c r="P208" s="104">
        <v>11.1</v>
      </c>
      <c r="Q208" s="104">
        <v>2.9</v>
      </c>
      <c r="R208" s="104">
        <v>15.7</v>
      </c>
      <c r="S208" s="104">
        <v>4.4000000000000004</v>
      </c>
      <c r="T208" s="104"/>
      <c r="U208" s="104"/>
      <c r="V208" s="104"/>
      <c r="W208" s="104"/>
      <c r="X208" s="104"/>
      <c r="Y208" s="104"/>
      <c r="Z208" s="104"/>
      <c r="AA208" s="104"/>
      <c r="AB208" s="104"/>
      <c r="AC208" s="104"/>
      <c r="AD208" s="104"/>
      <c r="AE208" s="104"/>
      <c r="AF208" s="104"/>
      <c r="AG208" s="104"/>
      <c r="AH208" s="104"/>
      <c r="AI208" s="104"/>
      <c r="AJ208" s="104"/>
      <c r="AK208" s="104"/>
    </row>
    <row r="209" spans="1:37" hidden="1" x14ac:dyDescent="0.25">
      <c r="A209" s="55">
        <v>90</v>
      </c>
      <c r="B209" s="104" t="s">
        <v>210</v>
      </c>
      <c r="C209" s="44" t="s">
        <v>209</v>
      </c>
      <c r="D209" s="35">
        <v>2012</v>
      </c>
      <c r="E209" s="35" t="s">
        <v>176</v>
      </c>
      <c r="F209" s="104" t="s">
        <v>60</v>
      </c>
      <c r="G209" s="35" t="s">
        <v>178</v>
      </c>
      <c r="H209" s="106">
        <v>20.2</v>
      </c>
      <c r="I209" s="104">
        <v>1.4</v>
      </c>
      <c r="J209" s="104">
        <v>30</v>
      </c>
      <c r="K209" s="104" t="s">
        <v>191</v>
      </c>
      <c r="L209" s="104" t="s">
        <v>66</v>
      </c>
      <c r="M209" s="104" t="s">
        <v>67</v>
      </c>
      <c r="N209" s="35" t="s">
        <v>58</v>
      </c>
      <c r="O209" s="112" t="s">
        <v>211</v>
      </c>
      <c r="P209" s="104">
        <v>11.1</v>
      </c>
      <c r="Q209" s="104">
        <v>3.9</v>
      </c>
      <c r="R209" s="104">
        <v>15</v>
      </c>
      <c r="S209" s="104">
        <v>3.6</v>
      </c>
      <c r="T209" s="104"/>
      <c r="U209" s="104"/>
      <c r="V209" s="104"/>
      <c r="W209" s="104"/>
      <c r="X209" s="104"/>
      <c r="Y209" s="104"/>
      <c r="Z209" s="104"/>
      <c r="AA209" s="104"/>
      <c r="AB209" s="104"/>
      <c r="AC209" s="104"/>
      <c r="AD209" s="104"/>
      <c r="AE209" s="104"/>
      <c r="AF209" s="104"/>
      <c r="AG209" s="104"/>
      <c r="AH209" s="104"/>
      <c r="AI209" s="104"/>
      <c r="AJ209" s="104"/>
      <c r="AK209" s="104"/>
    </row>
    <row r="210" spans="1:37" hidden="1" x14ac:dyDescent="0.25">
      <c r="A210" s="55">
        <v>180</v>
      </c>
      <c r="B210" s="104" t="s">
        <v>210</v>
      </c>
      <c r="C210" s="44" t="s">
        <v>209</v>
      </c>
      <c r="D210" s="35">
        <v>2012</v>
      </c>
      <c r="E210" s="35" t="s">
        <v>176</v>
      </c>
      <c r="F210" s="104" t="s">
        <v>60</v>
      </c>
      <c r="G210" s="35" t="s">
        <v>178</v>
      </c>
      <c r="H210" s="106">
        <v>20.2</v>
      </c>
      <c r="I210" s="104">
        <v>1.4</v>
      </c>
      <c r="J210" s="104">
        <v>30</v>
      </c>
      <c r="K210" s="104" t="s">
        <v>64</v>
      </c>
      <c r="L210" s="104" t="s">
        <v>66</v>
      </c>
      <c r="M210" s="104" t="s">
        <v>67</v>
      </c>
      <c r="N210" s="35" t="s">
        <v>58</v>
      </c>
      <c r="O210" s="112" t="s">
        <v>211</v>
      </c>
      <c r="P210" s="104">
        <v>33</v>
      </c>
      <c r="Q210" s="104">
        <v>10.4</v>
      </c>
      <c r="R210" s="104">
        <v>21.8</v>
      </c>
      <c r="S210" s="104">
        <v>7.6</v>
      </c>
      <c r="T210" s="104"/>
      <c r="U210" s="104"/>
      <c r="V210" s="104"/>
      <c r="W210" s="104"/>
      <c r="X210" s="104"/>
      <c r="Y210" s="104"/>
      <c r="Z210" s="104"/>
      <c r="AA210" s="104"/>
      <c r="AB210" s="104"/>
      <c r="AC210" s="104"/>
      <c r="AD210" s="104"/>
      <c r="AE210" s="104"/>
      <c r="AF210" s="104"/>
      <c r="AG210" s="104"/>
      <c r="AH210" s="104"/>
      <c r="AI210" s="104"/>
      <c r="AJ210" s="104"/>
      <c r="AK210" s="104"/>
    </row>
    <row r="211" spans="1:37" hidden="1" x14ac:dyDescent="0.25">
      <c r="A211" s="55">
        <v>180</v>
      </c>
      <c r="B211" s="104" t="s">
        <v>210</v>
      </c>
      <c r="C211" s="44" t="s">
        <v>209</v>
      </c>
      <c r="D211" s="35">
        <v>2012</v>
      </c>
      <c r="E211" s="35" t="s">
        <v>176</v>
      </c>
      <c r="F211" s="104" t="s">
        <v>60</v>
      </c>
      <c r="G211" s="35" t="s">
        <v>178</v>
      </c>
      <c r="H211" s="106">
        <v>20.2</v>
      </c>
      <c r="I211" s="104">
        <v>1.4</v>
      </c>
      <c r="J211" s="104">
        <v>30</v>
      </c>
      <c r="K211" s="104" t="s">
        <v>191</v>
      </c>
      <c r="L211" s="104" t="s">
        <v>66</v>
      </c>
      <c r="M211" s="104" t="s">
        <v>67</v>
      </c>
      <c r="N211" s="35" t="s">
        <v>58</v>
      </c>
      <c r="O211" s="112" t="s">
        <v>211</v>
      </c>
      <c r="P211" s="104">
        <v>25.7</v>
      </c>
      <c r="Q211" s="104">
        <v>8.3000000000000007</v>
      </c>
      <c r="R211" s="104">
        <v>28.4</v>
      </c>
      <c r="S211" s="104">
        <v>10.3</v>
      </c>
      <c r="T211" s="104"/>
      <c r="U211" s="104"/>
      <c r="V211" s="104"/>
      <c r="W211" s="104"/>
      <c r="X211" s="104"/>
      <c r="Y211" s="104"/>
      <c r="Z211" s="104"/>
      <c r="AA211" s="104"/>
      <c r="AB211" s="104"/>
      <c r="AC211" s="104"/>
      <c r="AD211" s="104"/>
      <c r="AE211" s="104"/>
      <c r="AF211" s="104"/>
      <c r="AG211" s="104"/>
      <c r="AH211" s="104"/>
      <c r="AI211" s="104"/>
      <c r="AJ211" s="104"/>
      <c r="AK211" s="104"/>
    </row>
    <row r="212" spans="1:37" x14ac:dyDescent="0.25">
      <c r="A212" s="55">
        <v>60</v>
      </c>
      <c r="B212" s="112"/>
      <c r="C212" s="35" t="s">
        <v>173</v>
      </c>
      <c r="D212" s="35">
        <v>2022</v>
      </c>
      <c r="E212" s="35" t="s">
        <v>38</v>
      </c>
      <c r="F212" s="104" t="s">
        <v>60</v>
      </c>
      <c r="G212" s="104" t="s">
        <v>178</v>
      </c>
      <c r="H212" s="106">
        <v>18.7</v>
      </c>
      <c r="I212" s="104">
        <v>5.3</v>
      </c>
      <c r="J212" s="104">
        <v>20</v>
      </c>
      <c r="K212" s="104" t="s">
        <v>64</v>
      </c>
      <c r="L212" s="104" t="s">
        <v>46</v>
      </c>
      <c r="M212" s="104" t="s">
        <v>67</v>
      </c>
      <c r="N212" s="35" t="s">
        <v>59</v>
      </c>
      <c r="O212" s="108" t="s">
        <v>169</v>
      </c>
      <c r="P212" s="104">
        <v>21.9</v>
      </c>
      <c r="Q212" s="104">
        <v>6.6</v>
      </c>
      <c r="R212" s="104">
        <v>40</v>
      </c>
      <c r="S212" s="104">
        <v>14.9</v>
      </c>
      <c r="T212" s="104">
        <v>34.9</v>
      </c>
      <c r="U212" s="104">
        <v>6.1</v>
      </c>
      <c r="V212" s="104">
        <v>63.1</v>
      </c>
      <c r="W212" s="104">
        <v>15.6</v>
      </c>
      <c r="X212" s="104"/>
      <c r="Y212" s="104"/>
      <c r="Z212" s="104"/>
      <c r="AA212" s="104"/>
      <c r="AB212" s="35">
        <v>18.3</v>
      </c>
      <c r="AC212" s="35">
        <v>6.5</v>
      </c>
      <c r="AD212" s="35">
        <v>37.4</v>
      </c>
      <c r="AE212" s="35">
        <v>7.1</v>
      </c>
      <c r="AF212" s="104">
        <v>263.2</v>
      </c>
      <c r="AG212" s="35">
        <v>84.7</v>
      </c>
      <c r="AH212" s="35">
        <v>541.6</v>
      </c>
      <c r="AI212" s="35">
        <v>224.9</v>
      </c>
      <c r="AJ212" s="104"/>
      <c r="AK212" s="104"/>
    </row>
    <row r="213" spans="1:37" x14ac:dyDescent="0.25">
      <c r="A213" s="55">
        <v>60</v>
      </c>
      <c r="B213" s="112"/>
      <c r="C213" s="35" t="s">
        <v>173</v>
      </c>
      <c r="D213" s="35">
        <v>2022</v>
      </c>
      <c r="E213" s="35" t="s">
        <v>38</v>
      </c>
      <c r="F213" s="104" t="s">
        <v>60</v>
      </c>
      <c r="G213" s="104" t="s">
        <v>178</v>
      </c>
      <c r="H213" s="106">
        <v>18.7</v>
      </c>
      <c r="I213" s="104">
        <v>5.3</v>
      </c>
      <c r="J213" s="104">
        <v>20</v>
      </c>
      <c r="K213" s="104" t="s">
        <v>191</v>
      </c>
      <c r="L213" s="104" t="s">
        <v>46</v>
      </c>
      <c r="M213" s="104" t="s">
        <v>67</v>
      </c>
      <c r="N213" s="35" t="s">
        <v>59</v>
      </c>
      <c r="O213" s="108" t="s">
        <v>169</v>
      </c>
      <c r="P213" s="104">
        <v>20.2</v>
      </c>
      <c r="Q213" s="104">
        <v>6.3</v>
      </c>
      <c r="R213" s="104">
        <v>29.1</v>
      </c>
      <c r="S213" s="104">
        <v>10.1</v>
      </c>
      <c r="T213" s="104">
        <v>32.1</v>
      </c>
      <c r="U213" s="104">
        <v>5.9</v>
      </c>
      <c r="V213" s="104">
        <v>45.9</v>
      </c>
      <c r="W213" s="104">
        <v>9.8000000000000007</v>
      </c>
      <c r="X213" s="104"/>
      <c r="Y213" s="104"/>
      <c r="Z213" s="104"/>
      <c r="AA213" s="104"/>
      <c r="AB213" s="104">
        <v>17</v>
      </c>
      <c r="AC213" s="104">
        <v>7.1</v>
      </c>
      <c r="AD213" s="104">
        <v>27</v>
      </c>
      <c r="AE213" s="104">
        <v>11.6</v>
      </c>
      <c r="AF213" s="35">
        <v>243.3</v>
      </c>
      <c r="AG213" s="104">
        <v>88</v>
      </c>
      <c r="AH213" s="104">
        <v>390.2</v>
      </c>
      <c r="AI213" s="104">
        <v>143.19999999999999</v>
      </c>
      <c r="AJ213" s="104"/>
      <c r="AK213" s="104"/>
    </row>
    <row r="214" spans="1:37" x14ac:dyDescent="0.25">
      <c r="A214" s="55">
        <v>180</v>
      </c>
      <c r="B214" s="35"/>
      <c r="C214" s="35" t="s">
        <v>173</v>
      </c>
      <c r="D214" s="35">
        <v>2022</v>
      </c>
      <c r="E214" s="35" t="s">
        <v>38</v>
      </c>
      <c r="F214" s="104" t="s">
        <v>60</v>
      </c>
      <c r="G214" s="104" t="s">
        <v>178</v>
      </c>
      <c r="H214" s="106">
        <v>18.7</v>
      </c>
      <c r="I214" s="104">
        <v>5.3</v>
      </c>
      <c r="J214" s="104">
        <v>20</v>
      </c>
      <c r="K214" s="104" t="s">
        <v>64</v>
      </c>
      <c r="L214" s="104" t="s">
        <v>46</v>
      </c>
      <c r="M214" s="104" t="s">
        <v>67</v>
      </c>
      <c r="N214" s="35" t="s">
        <v>59</v>
      </c>
      <c r="O214" s="108" t="s">
        <v>169</v>
      </c>
      <c r="P214" s="35">
        <v>21.4</v>
      </c>
      <c r="Q214" s="35">
        <v>7.9</v>
      </c>
      <c r="R214" s="35">
        <v>39.9</v>
      </c>
      <c r="S214" s="35">
        <v>16.399999999999999</v>
      </c>
      <c r="T214" s="35">
        <v>33.700000000000003</v>
      </c>
      <c r="U214" s="35">
        <v>7.8</v>
      </c>
      <c r="V214" s="35">
        <v>62.5</v>
      </c>
      <c r="W214" s="35">
        <v>17.3</v>
      </c>
      <c r="X214" s="35"/>
      <c r="Y214" s="35"/>
      <c r="Z214" s="35"/>
      <c r="AA214" s="35"/>
      <c r="AB214" s="35">
        <v>25.4</v>
      </c>
      <c r="AC214" s="35">
        <v>8.9</v>
      </c>
      <c r="AD214" s="35">
        <v>63.3</v>
      </c>
      <c r="AE214" s="35">
        <v>33.200000000000003</v>
      </c>
      <c r="AF214" s="35">
        <v>219.8</v>
      </c>
      <c r="AG214" s="35">
        <v>84.3</v>
      </c>
      <c r="AH214" s="35">
        <v>534.4</v>
      </c>
      <c r="AI214" s="35">
        <v>244.5</v>
      </c>
      <c r="AJ214" s="104"/>
      <c r="AK214" s="104"/>
    </row>
    <row r="215" spans="1:37" x14ac:dyDescent="0.25">
      <c r="A215" s="55">
        <v>180</v>
      </c>
      <c r="B215" s="34"/>
      <c r="C215" s="35" t="s">
        <v>173</v>
      </c>
      <c r="D215" s="35">
        <v>2022</v>
      </c>
      <c r="E215" s="35" t="s">
        <v>38</v>
      </c>
      <c r="F215" s="104" t="s">
        <v>60</v>
      </c>
      <c r="G215" s="104" t="s">
        <v>178</v>
      </c>
      <c r="H215" s="106">
        <v>18.7</v>
      </c>
      <c r="I215" s="104">
        <v>5.3</v>
      </c>
      <c r="J215" s="104">
        <v>20</v>
      </c>
      <c r="K215" s="104" t="s">
        <v>191</v>
      </c>
      <c r="L215" s="104" t="s">
        <v>46</v>
      </c>
      <c r="M215" s="104" t="s">
        <v>67</v>
      </c>
      <c r="N215" s="35" t="s">
        <v>59</v>
      </c>
      <c r="O215" s="108" t="s">
        <v>169</v>
      </c>
      <c r="P215" s="35">
        <v>19.100000000000001</v>
      </c>
      <c r="Q215" s="35">
        <v>6.8</v>
      </c>
      <c r="R215" s="35">
        <v>28.1</v>
      </c>
      <c r="S215" s="35">
        <v>11.5</v>
      </c>
      <c r="T215" s="34">
        <v>29.9</v>
      </c>
      <c r="U215" s="34">
        <v>6</v>
      </c>
      <c r="V215" s="34">
        <v>44</v>
      </c>
      <c r="W215" s="34">
        <v>12.6</v>
      </c>
      <c r="X215" s="34"/>
      <c r="Y215" s="34"/>
      <c r="Z215" s="34"/>
      <c r="AA215" s="34"/>
      <c r="AB215" s="34">
        <v>23</v>
      </c>
      <c r="AC215" s="34">
        <v>9.6999999999999993</v>
      </c>
      <c r="AD215" s="34">
        <v>42.1</v>
      </c>
      <c r="AE215" s="34">
        <v>22.2</v>
      </c>
      <c r="AF215" s="34">
        <v>193.6</v>
      </c>
      <c r="AG215" s="34">
        <v>89</v>
      </c>
      <c r="AH215" s="34">
        <v>363.8</v>
      </c>
      <c r="AI215" s="34">
        <v>161.30000000000001</v>
      </c>
      <c r="AJ215" s="104"/>
      <c r="AK215" s="104"/>
    </row>
    <row r="216" spans="1:37" x14ac:dyDescent="0.25">
      <c r="A216" s="55">
        <v>60</v>
      </c>
      <c r="B216" s="34" t="s">
        <v>214</v>
      </c>
      <c r="C216" s="182" t="s">
        <v>174</v>
      </c>
      <c r="D216" s="35">
        <v>2005</v>
      </c>
      <c r="E216" s="35" t="s">
        <v>44</v>
      </c>
      <c r="F216" s="35" t="s">
        <v>130</v>
      </c>
      <c r="G216" s="34" t="s">
        <v>212</v>
      </c>
      <c r="H216" s="102">
        <v>37</v>
      </c>
      <c r="I216" s="104">
        <v>12</v>
      </c>
      <c r="J216" s="104">
        <v>17</v>
      </c>
      <c r="K216" s="34" t="s">
        <v>109</v>
      </c>
      <c r="L216" s="35" t="s">
        <v>66</v>
      </c>
      <c r="M216" s="104" t="s">
        <v>67</v>
      </c>
      <c r="N216" s="35" t="s">
        <v>59</v>
      </c>
      <c r="O216" s="108" t="s">
        <v>169</v>
      </c>
      <c r="P216" s="34">
        <v>24.3</v>
      </c>
      <c r="Q216" s="34">
        <v>3</v>
      </c>
      <c r="R216" s="34">
        <v>34.9</v>
      </c>
      <c r="S216" s="34">
        <v>3.8</v>
      </c>
      <c r="T216" s="34"/>
      <c r="U216" s="34"/>
      <c r="V216" s="34"/>
      <c r="W216" s="34"/>
      <c r="X216" s="34"/>
      <c r="Y216" s="114"/>
      <c r="Z216" s="104"/>
      <c r="AA216" s="104"/>
      <c r="AB216" s="104"/>
      <c r="AC216" s="104"/>
      <c r="AD216" s="104"/>
      <c r="AE216" s="104"/>
      <c r="AF216" s="104"/>
      <c r="AG216" s="104"/>
      <c r="AH216" s="104"/>
      <c r="AI216" s="104"/>
      <c r="AJ216" s="104"/>
      <c r="AK216" s="104"/>
    </row>
    <row r="217" spans="1:37" x14ac:dyDescent="0.25">
      <c r="A217" s="55">
        <v>60</v>
      </c>
      <c r="B217" s="34" t="s">
        <v>214</v>
      </c>
      <c r="C217" s="44" t="s">
        <v>174</v>
      </c>
      <c r="D217" s="35">
        <v>2005</v>
      </c>
      <c r="E217" s="35" t="s">
        <v>44</v>
      </c>
      <c r="F217" s="35" t="s">
        <v>130</v>
      </c>
      <c r="G217" s="34" t="s">
        <v>212</v>
      </c>
      <c r="H217" s="102">
        <v>37</v>
      </c>
      <c r="I217" s="104">
        <v>12</v>
      </c>
      <c r="J217" s="35">
        <v>17</v>
      </c>
      <c r="K217" s="35" t="s">
        <v>213</v>
      </c>
      <c r="L217" s="35" t="s">
        <v>66</v>
      </c>
      <c r="M217" s="104" t="s">
        <v>67</v>
      </c>
      <c r="N217" s="35" t="s">
        <v>59</v>
      </c>
      <c r="O217" s="108" t="s">
        <v>169</v>
      </c>
      <c r="P217" s="34">
        <v>28.1</v>
      </c>
      <c r="Q217" s="34">
        <v>3.4</v>
      </c>
      <c r="R217" s="34">
        <v>37.5</v>
      </c>
      <c r="S217" s="34">
        <v>3.9</v>
      </c>
      <c r="T217" s="35"/>
      <c r="U217" s="35"/>
      <c r="V217" s="35"/>
      <c r="W217" s="35"/>
      <c r="X217" s="35"/>
      <c r="Y217" s="35"/>
      <c r="Z217" s="34"/>
      <c r="AA217" s="34"/>
      <c r="AB217" s="104"/>
      <c r="AC217" s="104"/>
      <c r="AD217" s="104"/>
      <c r="AE217" s="104"/>
      <c r="AF217" s="104"/>
      <c r="AG217" s="104"/>
      <c r="AH217" s="104"/>
      <c r="AI217" s="104"/>
      <c r="AJ217" s="104"/>
      <c r="AK217" s="104"/>
    </row>
    <row r="218" spans="1:37" x14ac:dyDescent="0.25">
      <c r="A218" s="55">
        <v>60</v>
      </c>
      <c r="B218" s="34" t="s">
        <v>214</v>
      </c>
      <c r="C218" s="182" t="s">
        <v>174</v>
      </c>
      <c r="D218" s="35">
        <v>2005</v>
      </c>
      <c r="E218" s="35" t="s">
        <v>44</v>
      </c>
      <c r="F218" s="35" t="s">
        <v>130</v>
      </c>
      <c r="G218" s="35" t="s">
        <v>106</v>
      </c>
      <c r="H218" s="103">
        <v>21</v>
      </c>
      <c r="I218" s="34">
        <v>5</v>
      </c>
      <c r="J218" s="34">
        <v>22</v>
      </c>
      <c r="K218" s="34" t="s">
        <v>64</v>
      </c>
      <c r="L218" s="35" t="s">
        <v>66</v>
      </c>
      <c r="M218" s="104" t="s">
        <v>67</v>
      </c>
      <c r="N218" s="35" t="s">
        <v>59</v>
      </c>
      <c r="O218" s="108" t="s">
        <v>169</v>
      </c>
      <c r="P218" s="34">
        <v>24.5</v>
      </c>
      <c r="Q218" s="34">
        <v>2</v>
      </c>
      <c r="R218" s="34">
        <v>29</v>
      </c>
      <c r="S218" s="34">
        <v>2.6</v>
      </c>
      <c r="T218" s="34"/>
      <c r="U218" s="34"/>
      <c r="V218" s="34"/>
      <c r="W218" s="34"/>
      <c r="X218" s="34"/>
      <c r="Y218" s="34"/>
      <c r="Z218" s="34"/>
      <c r="AA218" s="34"/>
      <c r="AB218" s="104"/>
      <c r="AC218" s="104"/>
      <c r="AD218" s="104"/>
      <c r="AE218" s="104"/>
      <c r="AF218" s="104"/>
      <c r="AG218" s="104"/>
      <c r="AH218" s="104"/>
      <c r="AI218" s="104"/>
      <c r="AJ218" s="104"/>
      <c r="AK218" s="104"/>
    </row>
    <row r="219" spans="1:37" x14ac:dyDescent="0.25">
      <c r="A219" s="55">
        <v>60</v>
      </c>
      <c r="B219" s="34" t="s">
        <v>214</v>
      </c>
      <c r="C219" s="44" t="s">
        <v>174</v>
      </c>
      <c r="D219" s="35">
        <v>2005</v>
      </c>
      <c r="E219" s="35" t="s">
        <v>44</v>
      </c>
      <c r="F219" s="35" t="s">
        <v>130</v>
      </c>
      <c r="G219" s="104" t="s">
        <v>106</v>
      </c>
      <c r="H219" s="103">
        <v>21</v>
      </c>
      <c r="I219" s="34">
        <v>5</v>
      </c>
      <c r="J219" s="104">
        <v>22</v>
      </c>
      <c r="K219" s="104" t="s">
        <v>191</v>
      </c>
      <c r="L219" s="35" t="s">
        <v>66</v>
      </c>
      <c r="M219" s="104" t="s">
        <v>67</v>
      </c>
      <c r="N219" s="35" t="s">
        <v>59</v>
      </c>
      <c r="O219" s="108" t="s">
        <v>169</v>
      </c>
      <c r="P219" s="34">
        <v>25.2</v>
      </c>
      <c r="Q219" s="34">
        <v>1.9</v>
      </c>
      <c r="R219" s="34">
        <v>29.8</v>
      </c>
      <c r="S219" s="34">
        <v>2.8</v>
      </c>
      <c r="T219" s="104"/>
      <c r="U219" s="104"/>
      <c r="V219" s="104"/>
      <c r="W219" s="104"/>
      <c r="X219" s="104"/>
      <c r="Y219" s="104"/>
      <c r="Z219" s="104"/>
      <c r="AA219" s="104"/>
      <c r="AB219" s="104"/>
      <c r="AC219" s="104"/>
      <c r="AD219" s="104"/>
      <c r="AE219" s="104"/>
      <c r="AF219" s="104"/>
      <c r="AG219" s="104"/>
      <c r="AH219" s="104"/>
      <c r="AI219" s="104"/>
      <c r="AJ219" s="104"/>
      <c r="AK219" s="104"/>
    </row>
    <row r="220" spans="1:37" x14ac:dyDescent="0.25">
      <c r="A220" s="55">
        <v>60</v>
      </c>
      <c r="B220" s="112" t="s">
        <v>216</v>
      </c>
      <c r="C220" s="35" t="s">
        <v>215</v>
      </c>
      <c r="D220" s="35">
        <v>2007</v>
      </c>
      <c r="E220" s="35" t="s">
        <v>38</v>
      </c>
      <c r="F220" s="35" t="s">
        <v>60</v>
      </c>
      <c r="G220" s="104" t="s">
        <v>217</v>
      </c>
      <c r="H220" s="106">
        <v>14</v>
      </c>
      <c r="I220" s="104"/>
      <c r="J220" s="104">
        <v>26</v>
      </c>
      <c r="K220" s="34" t="s">
        <v>64</v>
      </c>
      <c r="L220" s="35" t="s">
        <v>66</v>
      </c>
      <c r="M220" s="104" t="s">
        <v>67</v>
      </c>
      <c r="N220" s="35" t="s">
        <v>58</v>
      </c>
      <c r="O220" s="108" t="s">
        <v>169</v>
      </c>
      <c r="P220" s="34">
        <v>38.1</v>
      </c>
      <c r="Q220" s="34">
        <v>6</v>
      </c>
      <c r="R220" s="104">
        <v>48.3</v>
      </c>
      <c r="S220" s="104">
        <v>9.1</v>
      </c>
      <c r="T220" s="104"/>
      <c r="U220" s="104"/>
      <c r="V220" s="104"/>
      <c r="W220" s="104"/>
      <c r="X220" s="104"/>
      <c r="Y220" s="104"/>
      <c r="Z220" s="104"/>
      <c r="AA220" s="104"/>
      <c r="AB220" s="104"/>
      <c r="AC220" s="104"/>
      <c r="AD220" s="104"/>
      <c r="AE220" s="104"/>
      <c r="AF220" s="104"/>
      <c r="AG220" s="104"/>
      <c r="AH220" s="104"/>
      <c r="AI220" s="104"/>
      <c r="AJ220" s="104"/>
      <c r="AK220" s="104"/>
    </row>
    <row r="221" spans="1:37" x14ac:dyDescent="0.25">
      <c r="A221" s="55">
        <v>60</v>
      </c>
      <c r="B221" s="112" t="s">
        <v>216</v>
      </c>
      <c r="C221" s="35" t="s">
        <v>215</v>
      </c>
      <c r="D221" s="35">
        <v>2007</v>
      </c>
      <c r="E221" s="35" t="s">
        <v>38</v>
      </c>
      <c r="F221" s="35" t="s">
        <v>60</v>
      </c>
      <c r="G221" s="104" t="s">
        <v>217</v>
      </c>
      <c r="H221" s="106">
        <v>14</v>
      </c>
      <c r="I221" s="104"/>
      <c r="J221" s="104">
        <v>26</v>
      </c>
      <c r="K221" s="104" t="s">
        <v>191</v>
      </c>
      <c r="L221" s="35" t="s">
        <v>66</v>
      </c>
      <c r="M221" s="104" t="s">
        <v>67</v>
      </c>
      <c r="N221" s="35" t="s">
        <v>58</v>
      </c>
      <c r="O221" s="108" t="s">
        <v>169</v>
      </c>
      <c r="P221" s="112">
        <v>35.200000000000003</v>
      </c>
      <c r="Q221" s="112">
        <v>6.7</v>
      </c>
      <c r="R221" s="112">
        <v>40.9</v>
      </c>
      <c r="S221" s="112">
        <v>9</v>
      </c>
      <c r="T221" s="104"/>
      <c r="U221" s="104"/>
      <c r="V221" s="104"/>
      <c r="W221" s="104"/>
      <c r="X221" s="104"/>
      <c r="Y221" s="104"/>
      <c r="Z221" s="104"/>
      <c r="AA221" s="104"/>
      <c r="AB221" s="104"/>
      <c r="AC221" s="104"/>
      <c r="AD221" s="104"/>
      <c r="AE221" s="104"/>
      <c r="AF221" s="104"/>
      <c r="AG221" s="104"/>
      <c r="AH221" s="104"/>
      <c r="AI221" s="104"/>
      <c r="AJ221" s="104"/>
      <c r="AK221" s="104"/>
    </row>
    <row r="222" spans="1:37" x14ac:dyDescent="0.25">
      <c r="A222" s="55">
        <v>60</v>
      </c>
      <c r="B222" s="112" t="s">
        <v>216</v>
      </c>
      <c r="C222" s="35" t="s">
        <v>215</v>
      </c>
      <c r="D222" s="35">
        <v>2007</v>
      </c>
      <c r="E222" s="35" t="s">
        <v>38</v>
      </c>
      <c r="F222" s="35" t="s">
        <v>60</v>
      </c>
      <c r="G222" s="104" t="s">
        <v>217</v>
      </c>
      <c r="H222" s="106">
        <v>14</v>
      </c>
      <c r="I222" s="104"/>
      <c r="J222" s="104">
        <v>26</v>
      </c>
      <c r="K222" s="34" t="s">
        <v>64</v>
      </c>
      <c r="L222" s="35" t="s">
        <v>66</v>
      </c>
      <c r="M222" s="104" t="s">
        <v>122</v>
      </c>
      <c r="N222" s="35" t="s">
        <v>58</v>
      </c>
      <c r="O222" s="108" t="s">
        <v>169</v>
      </c>
      <c r="P222" s="112">
        <v>43.2</v>
      </c>
      <c r="Q222" s="112">
        <v>9.3000000000000007</v>
      </c>
      <c r="R222" s="112">
        <v>53.8</v>
      </c>
      <c r="S222" s="112">
        <v>14.6</v>
      </c>
      <c r="T222" s="104"/>
      <c r="U222" s="104"/>
      <c r="V222" s="104"/>
      <c r="W222" s="104"/>
      <c r="X222" s="104"/>
      <c r="Y222" s="104"/>
      <c r="Z222" s="104"/>
      <c r="AA222" s="104"/>
      <c r="AB222" s="104"/>
      <c r="AC222" s="104"/>
      <c r="AD222" s="104"/>
      <c r="AE222" s="104"/>
      <c r="AF222" s="104"/>
      <c r="AG222" s="104"/>
      <c r="AH222" s="104"/>
      <c r="AI222" s="104"/>
      <c r="AJ222" s="104"/>
      <c r="AK222" s="104"/>
    </row>
    <row r="223" spans="1:37" x14ac:dyDescent="0.25">
      <c r="A223" s="55">
        <v>60</v>
      </c>
      <c r="B223" s="112" t="s">
        <v>216</v>
      </c>
      <c r="C223" s="35" t="s">
        <v>215</v>
      </c>
      <c r="D223" s="35">
        <v>2007</v>
      </c>
      <c r="E223" s="35" t="s">
        <v>38</v>
      </c>
      <c r="F223" s="35" t="s">
        <v>60</v>
      </c>
      <c r="G223" s="104" t="s">
        <v>217</v>
      </c>
      <c r="H223" s="106">
        <v>14</v>
      </c>
      <c r="I223" s="104"/>
      <c r="J223" s="104">
        <v>26</v>
      </c>
      <c r="K223" s="104" t="s">
        <v>191</v>
      </c>
      <c r="L223" s="35" t="s">
        <v>66</v>
      </c>
      <c r="M223" s="104" t="s">
        <v>122</v>
      </c>
      <c r="N223" s="35" t="s">
        <v>58</v>
      </c>
      <c r="O223" s="108" t="s">
        <v>169</v>
      </c>
      <c r="P223" s="35">
        <v>39</v>
      </c>
      <c r="Q223" s="35">
        <v>7.7</v>
      </c>
      <c r="R223" s="104">
        <v>42.7</v>
      </c>
      <c r="S223" s="104">
        <v>11</v>
      </c>
      <c r="T223" s="104"/>
      <c r="U223" s="104"/>
      <c r="V223" s="104"/>
      <c r="W223" s="104"/>
      <c r="X223" s="104"/>
      <c r="Y223" s="104"/>
      <c r="Z223" s="104"/>
      <c r="AA223" s="104"/>
      <c r="AB223" s="104"/>
      <c r="AC223" s="104"/>
      <c r="AD223" s="104"/>
      <c r="AE223" s="104"/>
      <c r="AF223" s="104"/>
      <c r="AG223" s="104"/>
      <c r="AH223" s="104"/>
      <c r="AI223" s="104"/>
      <c r="AJ223" s="104"/>
      <c r="AK223" s="104"/>
    </row>
    <row r="224" spans="1:37" x14ac:dyDescent="0.25">
      <c r="A224" s="55">
        <v>60</v>
      </c>
      <c r="B224" s="112" t="s">
        <v>216</v>
      </c>
      <c r="C224" s="35" t="s">
        <v>215</v>
      </c>
      <c r="D224" s="35">
        <v>2007</v>
      </c>
      <c r="E224" s="35" t="s">
        <v>38</v>
      </c>
      <c r="F224" s="35" t="s">
        <v>60</v>
      </c>
      <c r="G224" s="104" t="s">
        <v>218</v>
      </c>
      <c r="H224" s="106">
        <v>14</v>
      </c>
      <c r="I224" s="104"/>
      <c r="J224" s="104">
        <v>14</v>
      </c>
      <c r="K224" s="34" t="s">
        <v>64</v>
      </c>
      <c r="L224" s="104" t="s">
        <v>86</v>
      </c>
      <c r="M224" s="104" t="s">
        <v>67</v>
      </c>
      <c r="N224" s="35" t="s">
        <v>58</v>
      </c>
      <c r="O224" s="108" t="s">
        <v>169</v>
      </c>
      <c r="P224" s="104">
        <v>30.3</v>
      </c>
      <c r="Q224" s="104">
        <v>5.6</v>
      </c>
      <c r="R224" s="104">
        <v>40.200000000000003</v>
      </c>
      <c r="S224" s="104">
        <v>5.9</v>
      </c>
      <c r="T224" s="104"/>
      <c r="U224" s="104"/>
      <c r="V224" s="104"/>
      <c r="W224" s="104"/>
      <c r="X224" s="104"/>
      <c r="Y224" s="104"/>
      <c r="Z224" s="104"/>
      <c r="AA224" s="104"/>
      <c r="AB224" s="104"/>
      <c r="AC224" s="104"/>
      <c r="AD224" s="104"/>
      <c r="AE224" s="104"/>
      <c r="AF224" s="104"/>
      <c r="AG224" s="104"/>
      <c r="AH224" s="104"/>
      <c r="AI224" s="104"/>
      <c r="AJ224" s="104"/>
      <c r="AK224" s="104"/>
    </row>
    <row r="225" spans="1:37" x14ac:dyDescent="0.25">
      <c r="A225" s="55">
        <v>60</v>
      </c>
      <c r="B225" s="112" t="s">
        <v>216</v>
      </c>
      <c r="C225" s="35" t="s">
        <v>215</v>
      </c>
      <c r="D225" s="35">
        <v>2007</v>
      </c>
      <c r="E225" s="35" t="s">
        <v>38</v>
      </c>
      <c r="F225" s="35" t="s">
        <v>60</v>
      </c>
      <c r="G225" s="104" t="s">
        <v>218</v>
      </c>
      <c r="H225" s="106">
        <v>14</v>
      </c>
      <c r="I225" s="104"/>
      <c r="J225" s="104">
        <v>14</v>
      </c>
      <c r="K225" s="104" t="s">
        <v>191</v>
      </c>
      <c r="L225" s="104" t="s">
        <v>86</v>
      </c>
      <c r="M225" s="104" t="s">
        <v>67</v>
      </c>
      <c r="N225" s="35" t="s">
        <v>58</v>
      </c>
      <c r="O225" s="108" t="s">
        <v>169</v>
      </c>
      <c r="P225" s="104">
        <v>27.3</v>
      </c>
      <c r="Q225" s="104">
        <v>5.0999999999999996</v>
      </c>
      <c r="R225" s="104">
        <v>27.9</v>
      </c>
      <c r="S225" s="104">
        <v>5.6</v>
      </c>
      <c r="T225" s="104"/>
      <c r="U225" s="104"/>
      <c r="V225" s="104"/>
      <c r="W225" s="104"/>
      <c r="X225" s="104"/>
      <c r="Y225" s="104"/>
      <c r="Z225" s="104"/>
      <c r="AA225" s="104"/>
      <c r="AB225" s="104"/>
      <c r="AC225" s="104"/>
      <c r="AD225" s="104"/>
      <c r="AE225" s="104"/>
      <c r="AF225" s="104"/>
      <c r="AG225" s="104"/>
      <c r="AH225" s="104"/>
      <c r="AI225" s="104"/>
      <c r="AJ225" s="104"/>
      <c r="AK225" s="104"/>
    </row>
    <row r="226" spans="1:37" x14ac:dyDescent="0.25">
      <c r="A226" s="55">
        <v>60</v>
      </c>
      <c r="B226" s="112" t="s">
        <v>216</v>
      </c>
      <c r="C226" s="35" t="s">
        <v>215</v>
      </c>
      <c r="D226" s="35">
        <v>2007</v>
      </c>
      <c r="E226" s="35" t="s">
        <v>38</v>
      </c>
      <c r="F226" s="35" t="s">
        <v>60</v>
      </c>
      <c r="G226" s="104" t="s">
        <v>218</v>
      </c>
      <c r="H226" s="106">
        <v>14</v>
      </c>
      <c r="I226" s="104"/>
      <c r="J226" s="104">
        <v>14</v>
      </c>
      <c r="K226" s="34" t="s">
        <v>64</v>
      </c>
      <c r="L226" s="104" t="s">
        <v>86</v>
      </c>
      <c r="M226" s="104" t="s">
        <v>122</v>
      </c>
      <c r="N226" s="35" t="s">
        <v>58</v>
      </c>
      <c r="O226" s="108" t="s">
        <v>169</v>
      </c>
      <c r="P226" s="104">
        <v>36.1</v>
      </c>
      <c r="Q226" s="104">
        <v>6.3</v>
      </c>
      <c r="R226" s="104">
        <v>41.8</v>
      </c>
      <c r="S226" s="104">
        <v>7.8</v>
      </c>
      <c r="T226" s="104"/>
      <c r="U226" s="104"/>
      <c r="V226" s="104"/>
      <c r="W226" s="104"/>
      <c r="X226" s="104"/>
      <c r="Y226" s="104"/>
      <c r="Z226" s="104"/>
      <c r="AA226" s="104"/>
      <c r="AB226" s="104"/>
      <c r="AC226" s="104"/>
      <c r="AD226" s="104"/>
      <c r="AE226" s="104"/>
      <c r="AF226" s="104"/>
      <c r="AG226" s="104"/>
      <c r="AH226" s="104"/>
      <c r="AI226" s="104"/>
      <c r="AJ226" s="104"/>
      <c r="AK226" s="104"/>
    </row>
    <row r="227" spans="1:37" x14ac:dyDescent="0.25">
      <c r="A227" s="55">
        <v>60</v>
      </c>
      <c r="B227" s="112" t="s">
        <v>216</v>
      </c>
      <c r="C227" s="35" t="s">
        <v>215</v>
      </c>
      <c r="D227" s="35">
        <v>2007</v>
      </c>
      <c r="E227" s="35" t="s">
        <v>38</v>
      </c>
      <c r="F227" s="35" t="s">
        <v>60</v>
      </c>
      <c r="G227" s="104" t="s">
        <v>218</v>
      </c>
      <c r="H227" s="106">
        <v>14</v>
      </c>
      <c r="I227" s="104"/>
      <c r="J227" s="104">
        <v>14</v>
      </c>
      <c r="K227" s="104" t="s">
        <v>191</v>
      </c>
      <c r="L227" s="104" t="s">
        <v>86</v>
      </c>
      <c r="M227" s="104" t="s">
        <v>122</v>
      </c>
      <c r="N227" s="35" t="s">
        <v>58</v>
      </c>
      <c r="O227" s="108" t="s">
        <v>169</v>
      </c>
      <c r="P227" s="104">
        <v>31.1</v>
      </c>
      <c r="Q227" s="104">
        <v>5.2</v>
      </c>
      <c r="R227" s="104">
        <v>30.9</v>
      </c>
      <c r="S227" s="104">
        <v>8.4</v>
      </c>
      <c r="T227" s="104"/>
      <c r="U227" s="104"/>
      <c r="V227" s="104"/>
      <c r="W227" s="104"/>
      <c r="X227" s="104"/>
      <c r="Y227" s="104"/>
      <c r="Z227" s="104"/>
      <c r="AA227" s="104"/>
      <c r="AB227" s="104"/>
      <c r="AC227" s="104"/>
      <c r="AD227" s="104"/>
      <c r="AE227" s="104"/>
      <c r="AF227" s="104"/>
      <c r="AG227" s="104"/>
      <c r="AH227" s="104"/>
      <c r="AI227" s="104"/>
      <c r="AJ227" s="104"/>
      <c r="AK227" s="104"/>
    </row>
    <row r="228" spans="1:37" x14ac:dyDescent="0.25">
      <c r="A228" s="55">
        <v>180</v>
      </c>
      <c r="B228" s="35"/>
      <c r="C228" s="35" t="s">
        <v>215</v>
      </c>
      <c r="D228" s="35">
        <v>2007</v>
      </c>
      <c r="E228" s="35" t="s">
        <v>38</v>
      </c>
      <c r="F228" s="35" t="s">
        <v>60</v>
      </c>
      <c r="G228" s="104" t="s">
        <v>217</v>
      </c>
      <c r="H228" s="106">
        <v>14</v>
      </c>
      <c r="I228" s="104"/>
      <c r="J228" s="112">
        <v>26</v>
      </c>
      <c r="K228" s="34" t="s">
        <v>64</v>
      </c>
      <c r="L228" s="35" t="s">
        <v>66</v>
      </c>
      <c r="M228" s="104" t="s">
        <v>67</v>
      </c>
      <c r="N228" s="35" t="s">
        <v>58</v>
      </c>
      <c r="O228" s="108" t="s">
        <v>169</v>
      </c>
      <c r="P228" s="104">
        <v>33.1</v>
      </c>
      <c r="Q228" s="104">
        <v>6.1</v>
      </c>
      <c r="R228" s="104">
        <v>42.6</v>
      </c>
      <c r="S228" s="104">
        <v>9.5</v>
      </c>
      <c r="T228" s="104"/>
      <c r="U228" s="104"/>
      <c r="V228" s="104"/>
      <c r="W228" s="104"/>
      <c r="X228" s="104"/>
      <c r="Y228" s="104"/>
      <c r="Z228" s="104"/>
      <c r="AA228" s="104"/>
      <c r="AB228" s="104"/>
      <c r="AC228" s="104"/>
      <c r="AD228" s="104"/>
      <c r="AE228" s="104"/>
      <c r="AF228" s="104"/>
      <c r="AG228" s="104"/>
      <c r="AH228" s="104"/>
      <c r="AI228" s="104"/>
      <c r="AJ228" s="104"/>
      <c r="AK228" s="104"/>
    </row>
    <row r="229" spans="1:37" x14ac:dyDescent="0.25">
      <c r="A229" s="55">
        <v>180</v>
      </c>
      <c r="B229" s="35"/>
      <c r="C229" s="35" t="s">
        <v>215</v>
      </c>
      <c r="D229" s="35">
        <v>2007</v>
      </c>
      <c r="E229" s="35" t="s">
        <v>38</v>
      </c>
      <c r="F229" s="35" t="s">
        <v>60</v>
      </c>
      <c r="G229" s="104" t="s">
        <v>217</v>
      </c>
      <c r="H229" s="106">
        <v>14</v>
      </c>
      <c r="I229" s="104"/>
      <c r="J229" s="112">
        <v>26</v>
      </c>
      <c r="K229" s="104" t="s">
        <v>191</v>
      </c>
      <c r="L229" s="35" t="s">
        <v>66</v>
      </c>
      <c r="M229" s="104" t="s">
        <v>67</v>
      </c>
      <c r="N229" s="35" t="s">
        <v>58</v>
      </c>
      <c r="O229" s="108" t="s">
        <v>169</v>
      </c>
      <c r="P229" s="104">
        <v>24.2</v>
      </c>
      <c r="Q229" s="104">
        <v>4.0999999999999996</v>
      </c>
      <c r="R229" s="104">
        <v>35.799999999999997</v>
      </c>
      <c r="S229" s="104">
        <v>8.4</v>
      </c>
      <c r="T229" s="104"/>
      <c r="U229" s="104"/>
      <c r="V229" s="104"/>
      <c r="W229" s="104"/>
      <c r="X229" s="104"/>
      <c r="Y229" s="104"/>
      <c r="Z229" s="104"/>
      <c r="AA229" s="104"/>
      <c r="AB229" s="104"/>
      <c r="AC229" s="104"/>
      <c r="AD229" s="104"/>
      <c r="AE229" s="104"/>
      <c r="AF229" s="104"/>
      <c r="AG229" s="104"/>
      <c r="AH229" s="104"/>
      <c r="AI229" s="104"/>
      <c r="AJ229" s="104"/>
      <c r="AK229" s="104"/>
    </row>
    <row r="230" spans="1:37" x14ac:dyDescent="0.25">
      <c r="A230" s="55">
        <v>180</v>
      </c>
      <c r="B230" s="35"/>
      <c r="C230" s="35" t="s">
        <v>215</v>
      </c>
      <c r="D230" s="35">
        <v>2007</v>
      </c>
      <c r="E230" s="35" t="s">
        <v>38</v>
      </c>
      <c r="F230" s="35" t="s">
        <v>60</v>
      </c>
      <c r="G230" s="104" t="s">
        <v>217</v>
      </c>
      <c r="H230" s="106">
        <v>14</v>
      </c>
      <c r="I230" s="104"/>
      <c r="J230" s="112">
        <v>26</v>
      </c>
      <c r="K230" s="34" t="s">
        <v>64</v>
      </c>
      <c r="L230" s="35" t="s">
        <v>66</v>
      </c>
      <c r="M230" s="104" t="s">
        <v>122</v>
      </c>
      <c r="N230" s="35" t="s">
        <v>58</v>
      </c>
      <c r="O230" s="108" t="s">
        <v>169</v>
      </c>
      <c r="P230" s="104">
        <v>45.3</v>
      </c>
      <c r="Q230" s="104">
        <v>8.3000000000000007</v>
      </c>
      <c r="R230" s="104">
        <v>49.6</v>
      </c>
      <c r="S230" s="104">
        <v>14</v>
      </c>
      <c r="T230" s="104"/>
      <c r="U230" s="104"/>
      <c r="V230" s="104"/>
      <c r="W230" s="104"/>
      <c r="X230" s="104"/>
      <c r="Y230" s="104"/>
      <c r="Z230" s="104"/>
      <c r="AA230" s="104"/>
      <c r="AB230" s="104"/>
      <c r="AC230" s="104"/>
      <c r="AD230" s="104"/>
      <c r="AE230" s="104"/>
      <c r="AF230" s="104"/>
      <c r="AG230" s="104"/>
      <c r="AH230" s="104"/>
      <c r="AI230" s="104"/>
      <c r="AJ230" s="104"/>
      <c r="AK230" s="104"/>
    </row>
    <row r="231" spans="1:37" x14ac:dyDescent="0.25">
      <c r="A231" s="55">
        <v>180</v>
      </c>
      <c r="B231" s="35"/>
      <c r="C231" s="35" t="s">
        <v>215</v>
      </c>
      <c r="D231" s="35">
        <v>2007</v>
      </c>
      <c r="E231" s="35" t="s">
        <v>38</v>
      </c>
      <c r="F231" s="35" t="s">
        <v>60</v>
      </c>
      <c r="G231" s="104" t="s">
        <v>217</v>
      </c>
      <c r="H231" s="106">
        <v>14</v>
      </c>
      <c r="I231" s="104"/>
      <c r="J231" s="104">
        <v>26</v>
      </c>
      <c r="K231" s="104" t="s">
        <v>191</v>
      </c>
      <c r="L231" s="35" t="s">
        <v>66</v>
      </c>
      <c r="M231" s="104" t="s">
        <v>122</v>
      </c>
      <c r="N231" s="35" t="s">
        <v>58</v>
      </c>
      <c r="O231" s="108" t="s">
        <v>169</v>
      </c>
      <c r="P231" s="104">
        <v>41.6</v>
      </c>
      <c r="Q231" s="104">
        <v>7.9</v>
      </c>
      <c r="R231" s="104">
        <v>45.2</v>
      </c>
      <c r="S231" s="104">
        <v>8.5</v>
      </c>
      <c r="T231" s="104"/>
      <c r="U231" s="104"/>
      <c r="V231" s="104"/>
      <c r="W231" s="104"/>
      <c r="X231" s="104"/>
      <c r="Y231" s="104"/>
      <c r="Z231" s="104"/>
      <c r="AA231" s="104"/>
      <c r="AB231" s="104"/>
      <c r="AC231" s="104"/>
      <c r="AD231" s="104"/>
      <c r="AE231" s="104"/>
      <c r="AF231" s="104"/>
      <c r="AG231" s="104"/>
      <c r="AH231" s="104"/>
      <c r="AI231" s="104"/>
      <c r="AJ231" s="104"/>
      <c r="AK231" s="104"/>
    </row>
    <row r="232" spans="1:37" x14ac:dyDescent="0.25">
      <c r="A232" s="55">
        <v>180</v>
      </c>
      <c r="B232" s="35"/>
      <c r="C232" s="35" t="s">
        <v>215</v>
      </c>
      <c r="D232" s="35">
        <v>2007</v>
      </c>
      <c r="E232" s="35" t="s">
        <v>38</v>
      </c>
      <c r="F232" s="35" t="s">
        <v>60</v>
      </c>
      <c r="G232" s="104" t="s">
        <v>218</v>
      </c>
      <c r="H232" s="106">
        <v>14</v>
      </c>
      <c r="I232" s="104"/>
      <c r="J232" s="104">
        <v>14</v>
      </c>
      <c r="K232" s="34" t="s">
        <v>64</v>
      </c>
      <c r="L232" s="104" t="s">
        <v>86</v>
      </c>
      <c r="M232" s="104" t="s">
        <v>67</v>
      </c>
      <c r="N232" s="35" t="s">
        <v>58</v>
      </c>
      <c r="O232" s="108" t="s">
        <v>169</v>
      </c>
      <c r="P232" s="104">
        <v>24.2</v>
      </c>
      <c r="Q232" s="104">
        <v>4.0999999999999996</v>
      </c>
      <c r="R232" s="104">
        <v>35.4</v>
      </c>
      <c r="S232" s="104">
        <v>5</v>
      </c>
      <c r="T232" s="104"/>
      <c r="U232" s="104"/>
      <c r="V232" s="104"/>
      <c r="W232" s="104"/>
      <c r="X232" s="104"/>
      <c r="Y232" s="104"/>
      <c r="Z232" s="104"/>
      <c r="AA232" s="104"/>
      <c r="AB232" s="104"/>
      <c r="AC232" s="104"/>
      <c r="AD232" s="104"/>
      <c r="AE232" s="104"/>
      <c r="AF232" s="104"/>
      <c r="AG232" s="104"/>
      <c r="AH232" s="104"/>
      <c r="AI232" s="104"/>
      <c r="AJ232" s="104"/>
      <c r="AK232" s="104"/>
    </row>
    <row r="233" spans="1:37" x14ac:dyDescent="0.25">
      <c r="A233" s="55">
        <v>180</v>
      </c>
      <c r="B233" s="35"/>
      <c r="C233" s="35" t="s">
        <v>215</v>
      </c>
      <c r="D233" s="35">
        <v>2007</v>
      </c>
      <c r="E233" s="35" t="s">
        <v>38</v>
      </c>
      <c r="F233" s="35" t="s">
        <v>60</v>
      </c>
      <c r="G233" s="104" t="s">
        <v>218</v>
      </c>
      <c r="H233" s="106">
        <v>14</v>
      </c>
      <c r="I233" s="104"/>
      <c r="J233" s="104">
        <v>14</v>
      </c>
      <c r="K233" s="104" t="s">
        <v>191</v>
      </c>
      <c r="L233" s="104" t="s">
        <v>86</v>
      </c>
      <c r="M233" s="104" t="s">
        <v>67</v>
      </c>
      <c r="N233" s="35" t="s">
        <v>58</v>
      </c>
      <c r="O233" s="108" t="s">
        <v>169</v>
      </c>
      <c r="P233" s="104">
        <v>23.2</v>
      </c>
      <c r="Q233" s="104">
        <v>4.9000000000000004</v>
      </c>
      <c r="R233" s="104" t="s">
        <v>219</v>
      </c>
      <c r="S233" s="104">
        <v>4.9000000000000004</v>
      </c>
      <c r="T233" s="104"/>
      <c r="U233" s="104"/>
      <c r="V233" s="104"/>
      <c r="W233" s="104"/>
      <c r="X233" s="104"/>
      <c r="Y233" s="104"/>
      <c r="Z233" s="104"/>
      <c r="AA233" s="104"/>
      <c r="AB233" s="104"/>
      <c r="AC233" s="104"/>
      <c r="AD233" s="104"/>
      <c r="AE233" s="104"/>
      <c r="AF233" s="104"/>
      <c r="AG233" s="104"/>
      <c r="AH233" s="104"/>
      <c r="AI233" s="104"/>
      <c r="AJ233" s="104"/>
      <c r="AK233" s="104"/>
    </row>
    <row r="234" spans="1:37" x14ac:dyDescent="0.25">
      <c r="A234" s="55">
        <v>180</v>
      </c>
      <c r="B234" s="35"/>
      <c r="C234" s="35" t="s">
        <v>215</v>
      </c>
      <c r="D234" s="35">
        <v>2007</v>
      </c>
      <c r="E234" s="35" t="s">
        <v>38</v>
      </c>
      <c r="F234" s="35" t="s">
        <v>60</v>
      </c>
      <c r="G234" s="104" t="s">
        <v>218</v>
      </c>
      <c r="H234" s="106">
        <v>14</v>
      </c>
      <c r="I234" s="104"/>
      <c r="J234" s="104">
        <v>14</v>
      </c>
      <c r="K234" s="34" t="s">
        <v>64</v>
      </c>
      <c r="L234" s="104" t="s">
        <v>86</v>
      </c>
      <c r="M234" s="104" t="s">
        <v>122</v>
      </c>
      <c r="N234" s="35" t="s">
        <v>58</v>
      </c>
      <c r="O234" s="108" t="s">
        <v>169</v>
      </c>
      <c r="P234" s="104">
        <v>36.1</v>
      </c>
      <c r="Q234" s="104">
        <v>4.2</v>
      </c>
      <c r="R234" s="104">
        <v>41.6</v>
      </c>
      <c r="S234" s="104">
        <v>7.8</v>
      </c>
      <c r="T234" s="104"/>
      <c r="U234" s="104"/>
      <c r="V234" s="104"/>
      <c r="W234" s="104"/>
      <c r="X234" s="104"/>
      <c r="Y234" s="104"/>
      <c r="Z234" s="104"/>
      <c r="AA234" s="104"/>
      <c r="AB234" s="104"/>
      <c r="AC234" s="104"/>
      <c r="AD234" s="104"/>
      <c r="AE234" s="104"/>
      <c r="AF234" s="104"/>
      <c r="AG234" s="104"/>
      <c r="AH234" s="104"/>
      <c r="AI234" s="104"/>
      <c r="AJ234" s="104"/>
      <c r="AK234" s="104"/>
    </row>
    <row r="235" spans="1:37" x14ac:dyDescent="0.25">
      <c r="A235" s="55">
        <v>180</v>
      </c>
      <c r="B235" s="35"/>
      <c r="C235" s="35" t="s">
        <v>215</v>
      </c>
      <c r="D235" s="35">
        <v>2007</v>
      </c>
      <c r="E235" s="35" t="s">
        <v>38</v>
      </c>
      <c r="F235" s="35" t="s">
        <v>60</v>
      </c>
      <c r="G235" s="104" t="s">
        <v>218</v>
      </c>
      <c r="H235" s="106">
        <v>14</v>
      </c>
      <c r="I235" s="104"/>
      <c r="J235" s="104">
        <v>14</v>
      </c>
      <c r="K235" s="104" t="s">
        <v>191</v>
      </c>
      <c r="L235" s="104" t="s">
        <v>86</v>
      </c>
      <c r="M235" s="104" t="s">
        <v>122</v>
      </c>
      <c r="N235" s="35" t="s">
        <v>58</v>
      </c>
      <c r="O235" s="108" t="s">
        <v>169</v>
      </c>
      <c r="P235" s="104">
        <v>23.2</v>
      </c>
      <c r="Q235" s="104">
        <v>4.9000000000000004</v>
      </c>
      <c r="R235" s="104">
        <v>24.4</v>
      </c>
      <c r="S235" s="104">
        <v>4.9000000000000004</v>
      </c>
      <c r="T235" s="104"/>
      <c r="U235" s="104"/>
      <c r="V235" s="104"/>
      <c r="W235" s="104"/>
      <c r="X235" s="104"/>
      <c r="Y235" s="104"/>
      <c r="Z235" s="104"/>
      <c r="AA235" s="104"/>
      <c r="AB235" s="104"/>
      <c r="AC235" s="104"/>
      <c r="AD235" s="104"/>
      <c r="AE235" s="104"/>
      <c r="AF235" s="104"/>
      <c r="AG235" s="104"/>
      <c r="AH235" s="104"/>
      <c r="AI235" s="104"/>
      <c r="AJ235" s="104"/>
      <c r="AK235" s="104"/>
    </row>
    <row r="236" spans="1:37" x14ac:dyDescent="0.25">
      <c r="A236" s="55">
        <v>60</v>
      </c>
      <c r="B236" s="115" t="s">
        <v>225</v>
      </c>
      <c r="C236" s="182" t="s">
        <v>220</v>
      </c>
      <c r="D236" s="35">
        <v>2010</v>
      </c>
      <c r="E236" s="34" t="s">
        <v>63</v>
      </c>
      <c r="F236" s="34" t="s">
        <v>60</v>
      </c>
      <c r="G236" s="35" t="s">
        <v>178</v>
      </c>
      <c r="H236" s="102">
        <v>23</v>
      </c>
      <c r="I236" s="35">
        <v>3.4</v>
      </c>
      <c r="J236" s="34">
        <v>27</v>
      </c>
      <c r="K236" s="104" t="s">
        <v>64</v>
      </c>
      <c r="L236" s="34" t="s">
        <v>86</v>
      </c>
      <c r="M236" s="104" t="s">
        <v>67</v>
      </c>
      <c r="N236" s="104" t="s">
        <v>58</v>
      </c>
      <c r="O236" s="108" t="s">
        <v>169</v>
      </c>
      <c r="P236" s="104">
        <v>25</v>
      </c>
      <c r="Q236" s="104">
        <v>5.8</v>
      </c>
      <c r="R236" s="104">
        <v>31.9</v>
      </c>
      <c r="S236" s="104">
        <v>7.3</v>
      </c>
      <c r="T236" s="104"/>
      <c r="U236" s="104"/>
      <c r="V236" s="104"/>
      <c r="W236" s="104"/>
      <c r="X236" s="104"/>
      <c r="Y236" s="104"/>
      <c r="Z236" s="104"/>
      <c r="AA236" s="104"/>
      <c r="AB236" s="104"/>
      <c r="AC236" s="104"/>
      <c r="AD236" s="104"/>
      <c r="AE236" s="104"/>
      <c r="AF236" s="104"/>
      <c r="AG236" s="104"/>
      <c r="AH236" s="104"/>
      <c r="AI236" s="104"/>
      <c r="AJ236" s="104">
        <v>0.79</v>
      </c>
      <c r="AK236" s="104">
        <v>0.12</v>
      </c>
    </row>
    <row r="237" spans="1:37" x14ac:dyDescent="0.25">
      <c r="A237" s="55">
        <v>60</v>
      </c>
      <c r="B237" s="115" t="s">
        <v>225</v>
      </c>
      <c r="C237" s="44" t="s">
        <v>220</v>
      </c>
      <c r="D237" s="35">
        <v>2010</v>
      </c>
      <c r="E237" s="34" t="s">
        <v>63</v>
      </c>
      <c r="F237" s="34" t="s">
        <v>60</v>
      </c>
      <c r="G237" s="104" t="s">
        <v>178</v>
      </c>
      <c r="H237" s="102">
        <v>23</v>
      </c>
      <c r="I237" s="35">
        <v>3.4</v>
      </c>
      <c r="J237" s="34">
        <v>27</v>
      </c>
      <c r="K237" s="104" t="s">
        <v>191</v>
      </c>
      <c r="L237" s="34" t="s">
        <v>86</v>
      </c>
      <c r="M237" s="104" t="s">
        <v>67</v>
      </c>
      <c r="N237" s="104" t="s">
        <v>58</v>
      </c>
      <c r="O237" s="108" t="s">
        <v>169</v>
      </c>
      <c r="P237" s="104">
        <v>23.8</v>
      </c>
      <c r="Q237" s="104">
        <v>3.7</v>
      </c>
      <c r="R237" s="104">
        <v>28.6</v>
      </c>
      <c r="S237" s="104">
        <v>5</v>
      </c>
      <c r="T237" s="104"/>
      <c r="U237" s="104"/>
      <c r="V237" s="104"/>
      <c r="W237" s="104"/>
      <c r="X237" s="104"/>
      <c r="Y237" s="104"/>
      <c r="Z237" s="104"/>
      <c r="AA237" s="104"/>
      <c r="AB237" s="104"/>
      <c r="AC237" s="104"/>
      <c r="AD237" s="104"/>
      <c r="AE237" s="104"/>
      <c r="AF237" s="104"/>
      <c r="AG237" s="104"/>
      <c r="AH237" s="104"/>
      <c r="AI237" s="104"/>
      <c r="AJ237" s="104">
        <v>0.84</v>
      </c>
      <c r="AK237" s="104">
        <v>0.12</v>
      </c>
    </row>
    <row r="238" spans="1:37" x14ac:dyDescent="0.25">
      <c r="A238" s="55">
        <v>180</v>
      </c>
      <c r="B238" s="115" t="s">
        <v>226</v>
      </c>
      <c r="C238" s="182" t="s">
        <v>220</v>
      </c>
      <c r="D238" s="35">
        <v>2010</v>
      </c>
      <c r="E238" s="34" t="s">
        <v>63</v>
      </c>
      <c r="F238" s="34" t="s">
        <v>60</v>
      </c>
      <c r="G238" s="35" t="s">
        <v>178</v>
      </c>
      <c r="H238" s="102">
        <v>23</v>
      </c>
      <c r="I238" s="35">
        <v>3.4</v>
      </c>
      <c r="J238" s="34">
        <v>27</v>
      </c>
      <c r="K238" s="104" t="s">
        <v>64</v>
      </c>
      <c r="L238" s="34" t="s">
        <v>86</v>
      </c>
      <c r="M238" s="104" t="s">
        <v>122</v>
      </c>
      <c r="N238" s="104" t="s">
        <v>58</v>
      </c>
      <c r="O238" s="108" t="s">
        <v>169</v>
      </c>
      <c r="P238" s="104">
        <v>33.700000000000003</v>
      </c>
      <c r="Q238" s="104">
        <v>8</v>
      </c>
      <c r="R238" s="104">
        <v>36.299999999999997</v>
      </c>
      <c r="S238" s="104">
        <v>8.5</v>
      </c>
      <c r="T238" s="104"/>
      <c r="U238" s="104"/>
      <c r="V238" s="104"/>
      <c r="W238" s="104"/>
      <c r="X238" s="104"/>
      <c r="Y238" s="104"/>
      <c r="Z238" s="104"/>
      <c r="AA238" s="104"/>
      <c r="AB238" s="104"/>
      <c r="AC238" s="104"/>
      <c r="AD238" s="104"/>
      <c r="AE238" s="104"/>
      <c r="AF238" s="104"/>
      <c r="AG238" s="104"/>
      <c r="AH238" s="104"/>
      <c r="AI238" s="104"/>
      <c r="AJ238" s="104">
        <v>1.21</v>
      </c>
      <c r="AK238" s="104">
        <v>0.28000000000000003</v>
      </c>
    </row>
    <row r="239" spans="1:37" x14ac:dyDescent="0.25">
      <c r="A239" s="55">
        <v>180</v>
      </c>
      <c r="B239" s="112"/>
      <c r="C239" s="44" t="s">
        <v>220</v>
      </c>
      <c r="D239" s="35">
        <v>2010</v>
      </c>
      <c r="E239" s="34" t="s">
        <v>63</v>
      </c>
      <c r="F239" s="34" t="s">
        <v>60</v>
      </c>
      <c r="G239" s="104" t="s">
        <v>178</v>
      </c>
      <c r="H239" s="102">
        <v>23</v>
      </c>
      <c r="I239" s="35">
        <v>3.4</v>
      </c>
      <c r="J239" s="34">
        <v>27</v>
      </c>
      <c r="K239" s="104" t="s">
        <v>191</v>
      </c>
      <c r="L239" s="34" t="s">
        <v>86</v>
      </c>
      <c r="M239" s="104" t="s">
        <v>122</v>
      </c>
      <c r="N239" s="104" t="s">
        <v>58</v>
      </c>
      <c r="O239" s="108" t="s">
        <v>169</v>
      </c>
      <c r="P239" s="104">
        <v>32.200000000000003</v>
      </c>
      <c r="Q239" s="104">
        <v>4.9000000000000004</v>
      </c>
      <c r="R239" s="104">
        <v>32.200000000000003</v>
      </c>
      <c r="S239" s="104">
        <v>6.1</v>
      </c>
      <c r="T239" s="104"/>
      <c r="U239" s="104"/>
      <c r="V239" s="104"/>
      <c r="W239" s="104"/>
      <c r="X239" s="104"/>
      <c r="Y239" s="104"/>
      <c r="Z239" s="104"/>
      <c r="AA239" s="104"/>
      <c r="AB239" s="104"/>
      <c r="AC239" s="104"/>
      <c r="AD239" s="104"/>
      <c r="AE239" s="104"/>
      <c r="AF239" s="104"/>
      <c r="AG239" s="104"/>
      <c r="AH239" s="104"/>
      <c r="AI239" s="104"/>
      <c r="AJ239" s="104">
        <v>1.32</v>
      </c>
      <c r="AK239" s="104">
        <v>0.3</v>
      </c>
    </row>
    <row r="240" spans="1:37" x14ac:dyDescent="0.25">
      <c r="A240" s="55">
        <v>180</v>
      </c>
      <c r="B240" s="115"/>
      <c r="C240" s="182" t="s">
        <v>220</v>
      </c>
      <c r="D240" s="35">
        <v>2010</v>
      </c>
      <c r="E240" s="34" t="s">
        <v>63</v>
      </c>
      <c r="F240" s="34" t="s">
        <v>60</v>
      </c>
      <c r="G240" s="35" t="s">
        <v>178</v>
      </c>
      <c r="H240" s="102">
        <v>23</v>
      </c>
      <c r="I240" s="35">
        <v>3.4</v>
      </c>
      <c r="J240" s="34">
        <v>27</v>
      </c>
      <c r="K240" s="104" t="s">
        <v>64</v>
      </c>
      <c r="L240" s="34" t="s">
        <v>86</v>
      </c>
      <c r="M240" s="104" t="s">
        <v>67</v>
      </c>
      <c r="N240" s="104" t="s">
        <v>58</v>
      </c>
      <c r="O240" s="108" t="s">
        <v>169</v>
      </c>
      <c r="P240" s="104">
        <v>23</v>
      </c>
      <c r="Q240" s="104">
        <v>4.5999999999999996</v>
      </c>
      <c r="R240" s="104">
        <v>28.5</v>
      </c>
      <c r="S240" s="104">
        <v>6.2</v>
      </c>
      <c r="T240" s="104"/>
      <c r="U240" s="104"/>
      <c r="V240" s="104"/>
      <c r="W240" s="104"/>
      <c r="X240" s="104"/>
      <c r="Y240" s="104"/>
      <c r="Z240" s="104"/>
      <c r="AA240" s="104"/>
      <c r="AB240" s="104"/>
      <c r="AC240" s="104"/>
      <c r="AD240" s="104"/>
      <c r="AE240" s="104"/>
      <c r="AF240" s="104"/>
      <c r="AG240" s="104"/>
      <c r="AH240" s="104"/>
      <c r="AI240" s="104"/>
      <c r="AJ240" s="104">
        <v>0.82</v>
      </c>
      <c r="AK240" s="104">
        <v>0.13</v>
      </c>
    </row>
    <row r="241" spans="1:37" x14ac:dyDescent="0.25">
      <c r="A241" s="55">
        <v>180</v>
      </c>
      <c r="B241" s="35"/>
      <c r="C241" s="44" t="s">
        <v>220</v>
      </c>
      <c r="D241" s="35">
        <v>2010</v>
      </c>
      <c r="E241" s="34" t="s">
        <v>63</v>
      </c>
      <c r="F241" s="34" t="s">
        <v>60</v>
      </c>
      <c r="G241" s="104" t="s">
        <v>178</v>
      </c>
      <c r="H241" s="102">
        <v>23</v>
      </c>
      <c r="I241" s="35">
        <v>3.4</v>
      </c>
      <c r="J241" s="34">
        <v>27</v>
      </c>
      <c r="K241" s="104" t="s">
        <v>191</v>
      </c>
      <c r="L241" s="34" t="s">
        <v>86</v>
      </c>
      <c r="M241" s="104" t="s">
        <v>67</v>
      </c>
      <c r="N241" s="104" t="s">
        <v>58</v>
      </c>
      <c r="O241" s="108" t="s">
        <v>169</v>
      </c>
      <c r="P241" s="104">
        <v>21.1</v>
      </c>
      <c r="Q241" s="104">
        <v>3.8</v>
      </c>
      <c r="R241" s="104">
        <v>25.2</v>
      </c>
      <c r="S241" s="104">
        <v>5.0999999999999996</v>
      </c>
      <c r="T241" s="104"/>
      <c r="U241" s="104"/>
      <c r="V241" s="104"/>
      <c r="W241" s="104"/>
      <c r="X241" s="104"/>
      <c r="Y241" s="104"/>
      <c r="Z241" s="104"/>
      <c r="AA241" s="104"/>
      <c r="AB241" s="104"/>
      <c r="AC241" s="104"/>
      <c r="AD241" s="104"/>
      <c r="AE241" s="104"/>
      <c r="AF241" s="104"/>
      <c r="AG241" s="104"/>
      <c r="AH241" s="104"/>
      <c r="AI241" s="104"/>
      <c r="AJ241" s="104">
        <v>0.85</v>
      </c>
      <c r="AK241" s="104">
        <v>0.13</v>
      </c>
    </row>
    <row r="242" spans="1:37" x14ac:dyDescent="0.25">
      <c r="A242" s="55">
        <v>300</v>
      </c>
      <c r="B242" s="35"/>
      <c r="C242" s="182" t="s">
        <v>220</v>
      </c>
      <c r="D242" s="35">
        <v>2010</v>
      </c>
      <c r="E242" s="34" t="s">
        <v>63</v>
      </c>
      <c r="F242" s="34" t="s">
        <v>60</v>
      </c>
      <c r="G242" s="35" t="s">
        <v>178</v>
      </c>
      <c r="H242" s="102">
        <v>23</v>
      </c>
      <c r="I242" s="35">
        <v>3.4</v>
      </c>
      <c r="J242" s="34">
        <v>27</v>
      </c>
      <c r="K242" s="104" t="s">
        <v>64</v>
      </c>
      <c r="L242" s="34" t="s">
        <v>86</v>
      </c>
      <c r="M242" s="104" t="s">
        <v>67</v>
      </c>
      <c r="N242" s="104" t="s">
        <v>58</v>
      </c>
      <c r="O242" s="108" t="s">
        <v>169</v>
      </c>
      <c r="P242" s="104">
        <v>20.7</v>
      </c>
      <c r="Q242" s="104">
        <v>5.4</v>
      </c>
      <c r="R242" s="104">
        <v>25.6</v>
      </c>
      <c r="S242" s="104">
        <v>6.3</v>
      </c>
      <c r="T242" s="104"/>
      <c r="U242" s="104"/>
      <c r="V242" s="104"/>
      <c r="W242" s="104"/>
      <c r="X242" s="104"/>
      <c r="Y242" s="104"/>
      <c r="Z242" s="104"/>
      <c r="AA242" s="104"/>
      <c r="AB242" s="104"/>
      <c r="AC242" s="104"/>
      <c r="AD242" s="104"/>
      <c r="AE242" s="104"/>
      <c r="AF242" s="104"/>
      <c r="AG242" s="104"/>
      <c r="AH242" s="104"/>
      <c r="AI242" s="104"/>
      <c r="AJ242" s="104">
        <v>0.81</v>
      </c>
      <c r="AK242" s="104" t="s">
        <v>221</v>
      </c>
    </row>
    <row r="243" spans="1:37" x14ac:dyDescent="0.25">
      <c r="A243" s="55">
        <v>300</v>
      </c>
      <c r="B243" s="35"/>
      <c r="C243" s="44" t="s">
        <v>220</v>
      </c>
      <c r="D243" s="35">
        <v>2010</v>
      </c>
      <c r="E243" s="34" t="s">
        <v>63</v>
      </c>
      <c r="F243" s="34" t="s">
        <v>60</v>
      </c>
      <c r="G243" s="104" t="s">
        <v>178</v>
      </c>
      <c r="H243" s="102">
        <v>23</v>
      </c>
      <c r="I243" s="35">
        <v>3.4</v>
      </c>
      <c r="J243" s="34">
        <v>27</v>
      </c>
      <c r="K243" s="104" t="s">
        <v>191</v>
      </c>
      <c r="L243" s="34" t="s">
        <v>86</v>
      </c>
      <c r="M243" s="104" t="s">
        <v>67</v>
      </c>
      <c r="N243" s="104" t="s">
        <v>58</v>
      </c>
      <c r="O243" s="108" t="s">
        <v>169</v>
      </c>
      <c r="P243" s="104">
        <v>17.600000000000001</v>
      </c>
      <c r="Q243" s="104">
        <v>3.5</v>
      </c>
      <c r="R243" s="104">
        <v>21.3</v>
      </c>
      <c r="S243" s="104">
        <v>5.3</v>
      </c>
      <c r="T243" s="104"/>
      <c r="U243" s="104"/>
      <c r="V243" s="104"/>
      <c r="W243" s="104"/>
      <c r="X243" s="104"/>
      <c r="Y243" s="104"/>
      <c r="Z243" s="104"/>
      <c r="AA243" s="104"/>
      <c r="AB243" s="104"/>
      <c r="AC243" s="104"/>
      <c r="AD243" s="104"/>
      <c r="AE243" s="104"/>
      <c r="AF243" s="104"/>
      <c r="AG243" s="104"/>
      <c r="AH243" s="104"/>
      <c r="AI243" s="104"/>
      <c r="AJ243" s="104" t="s">
        <v>222</v>
      </c>
      <c r="AK243" s="104" t="s">
        <v>223</v>
      </c>
    </row>
    <row r="244" spans="1:37" x14ac:dyDescent="0.25">
      <c r="A244" s="55">
        <v>300</v>
      </c>
      <c r="B244" s="35"/>
      <c r="C244" s="182" t="s">
        <v>220</v>
      </c>
      <c r="D244" s="35">
        <v>2010</v>
      </c>
      <c r="E244" s="34" t="s">
        <v>63</v>
      </c>
      <c r="F244" s="34" t="s">
        <v>60</v>
      </c>
      <c r="G244" s="35" t="s">
        <v>178</v>
      </c>
      <c r="H244" s="102">
        <v>23</v>
      </c>
      <c r="I244" s="35">
        <v>3.4</v>
      </c>
      <c r="J244" s="34">
        <v>27</v>
      </c>
      <c r="K244" s="104" t="s">
        <v>64</v>
      </c>
      <c r="L244" s="34" t="s">
        <v>86</v>
      </c>
      <c r="M244" s="104" t="s">
        <v>122</v>
      </c>
      <c r="N244" s="104" t="s">
        <v>58</v>
      </c>
      <c r="O244" s="108" t="s">
        <v>169</v>
      </c>
      <c r="P244" s="104">
        <v>36.9</v>
      </c>
      <c r="Q244" s="104">
        <v>5.6</v>
      </c>
      <c r="R244" s="104">
        <v>38.200000000000003</v>
      </c>
      <c r="S244" s="104">
        <v>7.6</v>
      </c>
      <c r="T244" s="104"/>
      <c r="U244" s="104"/>
      <c r="V244" s="104"/>
      <c r="W244" s="104"/>
      <c r="X244" s="104"/>
      <c r="Y244" s="104"/>
      <c r="Z244" s="104"/>
      <c r="AA244" s="104"/>
      <c r="AB244" s="104"/>
      <c r="AC244" s="104"/>
      <c r="AD244" s="104"/>
      <c r="AE244" s="104"/>
      <c r="AF244" s="104"/>
      <c r="AG244" s="104"/>
      <c r="AH244" s="104"/>
      <c r="AI244" s="104"/>
      <c r="AJ244" s="104">
        <v>1.54</v>
      </c>
      <c r="AK244" s="104">
        <v>0.41</v>
      </c>
    </row>
    <row r="245" spans="1:37" x14ac:dyDescent="0.25">
      <c r="A245" s="55">
        <v>300</v>
      </c>
      <c r="B245" s="112" t="s">
        <v>224</v>
      </c>
      <c r="C245" s="44" t="s">
        <v>220</v>
      </c>
      <c r="D245" s="35">
        <v>2010</v>
      </c>
      <c r="E245" s="34" t="s">
        <v>63</v>
      </c>
      <c r="F245" s="34" t="s">
        <v>60</v>
      </c>
      <c r="G245" s="104" t="s">
        <v>178</v>
      </c>
      <c r="H245" s="102">
        <v>23</v>
      </c>
      <c r="I245" s="35">
        <v>3.4</v>
      </c>
      <c r="J245" s="34">
        <v>27</v>
      </c>
      <c r="K245" s="104" t="s">
        <v>191</v>
      </c>
      <c r="L245" s="34" t="s">
        <v>86</v>
      </c>
      <c r="M245" s="104" t="s">
        <v>122</v>
      </c>
      <c r="N245" s="104" t="s">
        <v>58</v>
      </c>
      <c r="O245" s="108" t="s">
        <v>169</v>
      </c>
      <c r="P245" s="104">
        <v>35.9</v>
      </c>
      <c r="Q245" s="104">
        <v>5.3</v>
      </c>
      <c r="R245" s="104">
        <v>34.9</v>
      </c>
      <c r="S245" s="104">
        <v>6.4</v>
      </c>
      <c r="T245" s="104"/>
      <c r="U245" s="104"/>
      <c r="V245" s="104"/>
      <c r="W245" s="104"/>
      <c r="X245" s="104"/>
      <c r="Y245" s="104"/>
      <c r="Z245" s="104"/>
      <c r="AA245" s="104"/>
      <c r="AB245" s="104"/>
      <c r="AC245" s="104"/>
      <c r="AD245" s="104"/>
      <c r="AE245" s="104"/>
      <c r="AF245" s="104"/>
      <c r="AG245" s="104"/>
      <c r="AH245" s="104"/>
      <c r="AI245" s="104"/>
      <c r="AJ245" s="104">
        <v>1.81</v>
      </c>
      <c r="AK245" s="104">
        <v>0.56999999999999995</v>
      </c>
    </row>
    <row r="246" spans="1:37" x14ac:dyDescent="0.25">
      <c r="A246" s="55">
        <v>60</v>
      </c>
      <c r="B246" s="35"/>
      <c r="C246" s="183" t="s">
        <v>227</v>
      </c>
      <c r="D246" s="35">
        <v>2012</v>
      </c>
      <c r="E246" s="35" t="s">
        <v>167</v>
      </c>
      <c r="F246" s="34" t="s">
        <v>172</v>
      </c>
      <c r="G246" s="104" t="s">
        <v>228</v>
      </c>
      <c r="H246" s="106">
        <v>14.55</v>
      </c>
      <c r="I246" s="104">
        <v>0.5</v>
      </c>
      <c r="J246" s="104">
        <v>60</v>
      </c>
      <c r="K246" s="104" t="s">
        <v>64</v>
      </c>
      <c r="L246" s="35" t="s">
        <v>66</v>
      </c>
      <c r="M246" s="104" t="s">
        <v>67</v>
      </c>
      <c r="N246" s="104" t="s">
        <v>59</v>
      </c>
      <c r="O246" s="108" t="s">
        <v>169</v>
      </c>
      <c r="P246" s="104">
        <v>26.39</v>
      </c>
      <c r="Q246" s="104">
        <v>5.66</v>
      </c>
      <c r="R246" s="104">
        <v>33.880000000000003</v>
      </c>
      <c r="S246" s="104">
        <v>8.5</v>
      </c>
      <c r="T246" s="104"/>
      <c r="U246" s="104"/>
      <c r="V246" s="104"/>
      <c r="W246" s="104"/>
      <c r="X246" s="104"/>
      <c r="Y246" s="104"/>
      <c r="Z246" s="104"/>
      <c r="AA246" s="104"/>
      <c r="AB246" s="104"/>
      <c r="AC246" s="104"/>
      <c r="AD246" s="104"/>
      <c r="AE246" s="104"/>
      <c r="AF246" s="104"/>
      <c r="AG246" s="104"/>
      <c r="AH246" s="104"/>
      <c r="AI246" s="104"/>
      <c r="AJ246" s="104">
        <v>77.89</v>
      </c>
      <c r="AK246" s="104">
        <v>15.23</v>
      </c>
    </row>
    <row r="247" spans="1:37" x14ac:dyDescent="0.25">
      <c r="A247" s="55">
        <v>60</v>
      </c>
      <c r="B247" s="112" t="s">
        <v>229</v>
      </c>
      <c r="C247" s="116" t="s">
        <v>227</v>
      </c>
      <c r="D247" s="35">
        <v>2012</v>
      </c>
      <c r="E247" s="35" t="s">
        <v>167</v>
      </c>
      <c r="F247" s="34" t="s">
        <v>172</v>
      </c>
      <c r="G247" s="104" t="s">
        <v>106</v>
      </c>
      <c r="H247" s="106">
        <v>14.55</v>
      </c>
      <c r="I247" s="104">
        <v>0.5</v>
      </c>
      <c r="J247" s="104">
        <v>60</v>
      </c>
      <c r="K247" s="104" t="s">
        <v>191</v>
      </c>
      <c r="L247" s="35" t="s">
        <v>66</v>
      </c>
      <c r="M247" s="104" t="s">
        <v>67</v>
      </c>
      <c r="N247" s="104" t="s">
        <v>59</v>
      </c>
      <c r="O247" s="108" t="s">
        <v>169</v>
      </c>
      <c r="P247" s="104">
        <v>24.96</v>
      </c>
      <c r="Q247" s="104">
        <v>4.74</v>
      </c>
      <c r="R247" s="104">
        <v>34.01</v>
      </c>
      <c r="S247" s="104">
        <v>9.33</v>
      </c>
      <c r="T247" s="104"/>
      <c r="U247" s="104"/>
      <c r="V247" s="104"/>
      <c r="W247" s="104"/>
      <c r="X247" s="104"/>
      <c r="Y247" s="104"/>
      <c r="Z247" s="104"/>
      <c r="AA247" s="104"/>
      <c r="AB247" s="104"/>
      <c r="AC247" s="104"/>
      <c r="AD247" s="104"/>
      <c r="AE247" s="104"/>
      <c r="AF247" s="104"/>
      <c r="AG247" s="104"/>
      <c r="AH247" s="104"/>
      <c r="AI247" s="104"/>
      <c r="AJ247" s="104">
        <v>77.89</v>
      </c>
      <c r="AK247" s="104">
        <v>15.23</v>
      </c>
    </row>
    <row r="248" spans="1:37" x14ac:dyDescent="0.25">
      <c r="A248" s="55">
        <v>60</v>
      </c>
      <c r="B248" s="104"/>
      <c r="C248" s="183" t="s">
        <v>227</v>
      </c>
      <c r="D248" s="35">
        <v>2012</v>
      </c>
      <c r="E248" s="35" t="s">
        <v>167</v>
      </c>
      <c r="F248" s="34" t="s">
        <v>172</v>
      </c>
      <c r="G248" s="104" t="s">
        <v>228</v>
      </c>
      <c r="H248" s="106">
        <v>14.62</v>
      </c>
      <c r="I248" s="104">
        <v>0.49</v>
      </c>
      <c r="J248" s="104">
        <v>60</v>
      </c>
      <c r="K248" s="104" t="s">
        <v>64</v>
      </c>
      <c r="L248" s="35" t="s">
        <v>66</v>
      </c>
      <c r="M248" s="104" t="s">
        <v>67</v>
      </c>
      <c r="N248" s="104" t="s">
        <v>59</v>
      </c>
      <c r="O248" s="108" t="s">
        <v>169</v>
      </c>
      <c r="P248" s="104">
        <v>25.05</v>
      </c>
      <c r="Q248" s="104">
        <v>7.08</v>
      </c>
      <c r="R248" s="104">
        <v>26.99</v>
      </c>
      <c r="S248" s="104">
        <v>8.27</v>
      </c>
      <c r="T248" s="104"/>
      <c r="U248" s="104"/>
      <c r="V248" s="104"/>
      <c r="W248" s="104"/>
      <c r="X248" s="104"/>
      <c r="Y248" s="104"/>
      <c r="Z248" s="104"/>
      <c r="AA248" s="104"/>
      <c r="AB248" s="104"/>
      <c r="AC248" s="104"/>
      <c r="AD248" s="104"/>
      <c r="AE248" s="104"/>
      <c r="AF248" s="104"/>
      <c r="AG248" s="104"/>
      <c r="AH248" s="104"/>
      <c r="AI248" s="104"/>
      <c r="AJ248" s="104">
        <v>92.81</v>
      </c>
      <c r="AK248" s="104">
        <v>13.31</v>
      </c>
    </row>
    <row r="249" spans="1:37" x14ac:dyDescent="0.25">
      <c r="A249" s="55">
        <v>60</v>
      </c>
      <c r="B249" s="112" t="s">
        <v>229</v>
      </c>
      <c r="C249" s="116" t="s">
        <v>227</v>
      </c>
      <c r="D249" s="35">
        <v>2012</v>
      </c>
      <c r="E249" s="35" t="s">
        <v>167</v>
      </c>
      <c r="F249" s="34" t="s">
        <v>172</v>
      </c>
      <c r="G249" s="104" t="s">
        <v>106</v>
      </c>
      <c r="H249" s="106">
        <v>14.62</v>
      </c>
      <c r="I249" s="104">
        <v>0.49</v>
      </c>
      <c r="J249" s="104">
        <v>60</v>
      </c>
      <c r="K249" s="104" t="s">
        <v>191</v>
      </c>
      <c r="L249" s="35" t="s">
        <v>66</v>
      </c>
      <c r="M249" s="104" t="s">
        <v>67</v>
      </c>
      <c r="N249" s="104" t="s">
        <v>59</v>
      </c>
      <c r="O249" s="108" t="s">
        <v>169</v>
      </c>
      <c r="P249" s="104">
        <v>24.09</v>
      </c>
      <c r="Q249" s="104">
        <v>6.1</v>
      </c>
      <c r="R249" s="104">
        <v>25.91</v>
      </c>
      <c r="S249" s="104">
        <v>6.99</v>
      </c>
      <c r="T249" s="104"/>
      <c r="U249" s="104"/>
      <c r="V249" s="104"/>
      <c r="W249" s="104"/>
      <c r="X249" s="104"/>
      <c r="Y249" s="104"/>
      <c r="Z249" s="104"/>
      <c r="AA249" s="104"/>
      <c r="AB249" s="104"/>
      <c r="AC249" s="104"/>
      <c r="AD249" s="104"/>
      <c r="AE249" s="104"/>
      <c r="AF249" s="104"/>
      <c r="AG249" s="104"/>
      <c r="AH249" s="104"/>
      <c r="AI249" s="104"/>
      <c r="AJ249" s="104">
        <v>92.81</v>
      </c>
      <c r="AK249" s="104">
        <v>13.31</v>
      </c>
    </row>
    <row r="250" spans="1:37" x14ac:dyDescent="0.25">
      <c r="A250" s="55">
        <v>180</v>
      </c>
      <c r="B250" s="104"/>
      <c r="C250" s="183" t="s">
        <v>227</v>
      </c>
      <c r="D250" s="35">
        <v>2012</v>
      </c>
      <c r="E250" s="35" t="s">
        <v>167</v>
      </c>
      <c r="F250" s="34" t="s">
        <v>172</v>
      </c>
      <c r="G250" s="104" t="s">
        <v>228</v>
      </c>
      <c r="H250" s="106">
        <v>14.654999999999999</v>
      </c>
      <c r="I250" s="104">
        <v>0.48499999999999999</v>
      </c>
      <c r="J250" s="104">
        <v>60</v>
      </c>
      <c r="K250" s="104" t="s">
        <v>64</v>
      </c>
      <c r="L250" s="35" t="s">
        <v>66</v>
      </c>
      <c r="M250" s="104" t="s">
        <v>67</v>
      </c>
      <c r="N250" s="104" t="s">
        <v>59</v>
      </c>
      <c r="O250" s="108" t="s">
        <v>169</v>
      </c>
      <c r="P250" s="104">
        <v>23.29</v>
      </c>
      <c r="Q250" s="104">
        <v>4.1500000000000004</v>
      </c>
      <c r="R250" s="104">
        <v>31.15</v>
      </c>
      <c r="S250" s="104">
        <v>7.93</v>
      </c>
      <c r="T250" s="104"/>
      <c r="U250" s="104"/>
      <c r="V250" s="104"/>
      <c r="W250" s="104"/>
      <c r="X250" s="104"/>
      <c r="Y250" s="104"/>
      <c r="Z250" s="104"/>
      <c r="AA250" s="104"/>
      <c r="AB250" s="104"/>
      <c r="AC250" s="104"/>
      <c r="AD250" s="104"/>
      <c r="AE250" s="104"/>
      <c r="AF250" s="104"/>
      <c r="AG250" s="104"/>
      <c r="AH250" s="104"/>
      <c r="AI250" s="104"/>
      <c r="AJ250" s="104">
        <v>74.77</v>
      </c>
      <c r="AK250" s="104">
        <v>13.99</v>
      </c>
    </row>
    <row r="251" spans="1:37" x14ac:dyDescent="0.25">
      <c r="A251" s="55">
        <v>180</v>
      </c>
      <c r="B251" s="104"/>
      <c r="C251" s="116" t="s">
        <v>227</v>
      </c>
      <c r="D251" s="35">
        <v>2012</v>
      </c>
      <c r="E251" s="35" t="s">
        <v>167</v>
      </c>
      <c r="F251" s="34" t="s">
        <v>172</v>
      </c>
      <c r="G251" s="104" t="s">
        <v>106</v>
      </c>
      <c r="H251" s="106">
        <v>14.683</v>
      </c>
      <c r="I251" s="104">
        <v>0.48099999999999998</v>
      </c>
      <c r="J251" s="104">
        <v>60</v>
      </c>
      <c r="K251" s="104" t="s">
        <v>191</v>
      </c>
      <c r="L251" s="35" t="s">
        <v>66</v>
      </c>
      <c r="M251" s="104" t="s">
        <v>67</v>
      </c>
      <c r="N251" s="104" t="s">
        <v>59</v>
      </c>
      <c r="O251" s="108" t="s">
        <v>169</v>
      </c>
      <c r="P251" s="104">
        <v>22.61</v>
      </c>
      <c r="Q251" s="104">
        <v>5.85</v>
      </c>
      <c r="R251" s="104">
        <v>23.02</v>
      </c>
      <c r="S251" s="104">
        <v>8.16</v>
      </c>
      <c r="T251" s="104"/>
      <c r="U251" s="104"/>
      <c r="V251" s="104"/>
      <c r="W251" s="104"/>
      <c r="X251" s="104"/>
      <c r="Y251" s="104"/>
      <c r="Z251" s="104"/>
      <c r="AA251" s="104"/>
      <c r="AB251" s="104"/>
      <c r="AC251" s="104"/>
      <c r="AD251" s="104"/>
      <c r="AE251" s="104"/>
      <c r="AF251" s="104"/>
      <c r="AG251" s="104"/>
      <c r="AH251" s="104"/>
      <c r="AI251" s="104"/>
      <c r="AJ251" s="104">
        <v>74.77</v>
      </c>
      <c r="AK251" s="104">
        <v>13.99</v>
      </c>
    </row>
    <row r="252" spans="1:37" x14ac:dyDescent="0.25">
      <c r="A252" s="55">
        <v>180</v>
      </c>
      <c r="B252" s="104"/>
      <c r="C252" s="183" t="s">
        <v>227</v>
      </c>
      <c r="D252" s="35">
        <v>2012</v>
      </c>
      <c r="E252" s="35" t="s">
        <v>167</v>
      </c>
      <c r="F252" s="34" t="s">
        <v>172</v>
      </c>
      <c r="G252" s="104" t="s">
        <v>228</v>
      </c>
      <c r="H252" s="106">
        <v>14.711</v>
      </c>
      <c r="I252" s="104">
        <v>0.47699999999999998</v>
      </c>
      <c r="J252" s="104">
        <v>60</v>
      </c>
      <c r="K252" s="104" t="s">
        <v>64</v>
      </c>
      <c r="L252" s="35" t="s">
        <v>66</v>
      </c>
      <c r="M252" s="104" t="s">
        <v>67</v>
      </c>
      <c r="N252" s="104" t="s">
        <v>59</v>
      </c>
      <c r="O252" s="108" t="s">
        <v>169</v>
      </c>
      <c r="P252" s="104">
        <v>22.07</v>
      </c>
      <c r="Q252" s="104">
        <v>3.87</v>
      </c>
      <c r="R252" s="104">
        <v>31.48</v>
      </c>
      <c r="S252" s="104">
        <v>8.3800000000000008</v>
      </c>
      <c r="T252" s="104"/>
      <c r="U252" s="104"/>
      <c r="V252" s="104"/>
      <c r="W252" s="104"/>
      <c r="X252" s="104"/>
      <c r="Y252" s="104"/>
      <c r="Z252" s="104"/>
      <c r="AA252" s="104"/>
      <c r="AB252" s="104"/>
      <c r="AC252" s="104"/>
      <c r="AD252" s="104"/>
      <c r="AE252" s="104"/>
      <c r="AF252" s="104"/>
      <c r="AG252" s="104"/>
      <c r="AH252" s="104"/>
      <c r="AI252" s="104"/>
      <c r="AJ252" s="104">
        <v>92.21</v>
      </c>
      <c r="AK252" s="104">
        <v>18.05</v>
      </c>
    </row>
    <row r="253" spans="1:37" x14ac:dyDescent="0.25">
      <c r="A253" s="55">
        <v>180</v>
      </c>
      <c r="B253" s="104"/>
      <c r="C253" s="116" t="s">
        <v>227</v>
      </c>
      <c r="D253" s="35">
        <v>2012</v>
      </c>
      <c r="E253" s="35" t="s">
        <v>167</v>
      </c>
      <c r="F253" s="34" t="s">
        <v>172</v>
      </c>
      <c r="G253" s="104" t="s">
        <v>106</v>
      </c>
      <c r="H253" s="106">
        <v>14.739000000000001</v>
      </c>
      <c r="I253" s="104">
        <v>0.47299999999999998</v>
      </c>
      <c r="J253" s="104">
        <v>60</v>
      </c>
      <c r="K253" s="104" t="s">
        <v>191</v>
      </c>
      <c r="L253" s="35" t="s">
        <v>66</v>
      </c>
      <c r="M253" s="104" t="s">
        <v>67</v>
      </c>
      <c r="N253" s="104" t="s">
        <v>59</v>
      </c>
      <c r="O253" s="108" t="s">
        <v>169</v>
      </c>
      <c r="P253" s="104">
        <v>21.57</v>
      </c>
      <c r="Q253" s="104">
        <v>4.2699999999999996</v>
      </c>
      <c r="R253" s="104">
        <v>23.85</v>
      </c>
      <c r="S253" s="104">
        <v>6.84</v>
      </c>
      <c r="T253" s="104"/>
      <c r="U253" s="104"/>
      <c r="V253" s="104"/>
      <c r="W253" s="104"/>
      <c r="X253" s="104"/>
      <c r="Y253" s="104"/>
      <c r="Z253" s="104"/>
      <c r="AA253" s="104"/>
      <c r="AB253" s="104"/>
      <c r="AC253" s="104"/>
      <c r="AD253" s="104"/>
      <c r="AE253" s="104"/>
      <c r="AF253" s="104"/>
      <c r="AG253" s="104"/>
      <c r="AH253" s="104"/>
      <c r="AI253" s="104"/>
      <c r="AJ253" s="104">
        <v>92.21</v>
      </c>
      <c r="AK253" s="104">
        <v>18.05</v>
      </c>
    </row>
    <row r="254" spans="1:37" x14ac:dyDescent="0.25">
      <c r="A254" s="55">
        <v>60</v>
      </c>
      <c r="B254" s="112" t="s">
        <v>230</v>
      </c>
      <c r="C254" s="183" t="s">
        <v>220</v>
      </c>
      <c r="D254" s="104">
        <v>2013</v>
      </c>
      <c r="E254" s="104" t="s">
        <v>63</v>
      </c>
      <c r="F254" s="104" t="s">
        <v>68</v>
      </c>
      <c r="G254" s="104" t="s">
        <v>178</v>
      </c>
      <c r="H254" s="106">
        <v>23</v>
      </c>
      <c r="I254" s="104">
        <v>3.4</v>
      </c>
      <c r="J254" s="104">
        <v>27</v>
      </c>
      <c r="K254" s="104" t="s">
        <v>64</v>
      </c>
      <c r="L254" s="34" t="s">
        <v>86</v>
      </c>
      <c r="M254" s="104" t="s">
        <v>67</v>
      </c>
      <c r="N254" s="104" t="s">
        <v>59</v>
      </c>
      <c r="O254" s="108" t="s">
        <v>169</v>
      </c>
      <c r="P254" s="104">
        <v>38.299999999999997</v>
      </c>
      <c r="Q254" s="104">
        <v>6.5</v>
      </c>
      <c r="R254" s="104">
        <v>47.1</v>
      </c>
      <c r="S254" s="104">
        <v>8.4</v>
      </c>
      <c r="T254" s="104">
        <v>0.54</v>
      </c>
      <c r="U254" s="104">
        <v>8.0000000000000002E-3</v>
      </c>
      <c r="V254" s="104">
        <v>0.66</v>
      </c>
      <c r="W254" s="104">
        <v>0.1</v>
      </c>
      <c r="X254" s="104"/>
      <c r="Y254" s="104"/>
      <c r="Z254" s="104"/>
      <c r="AA254" s="104"/>
      <c r="AB254" s="104"/>
      <c r="AC254" s="104"/>
      <c r="AD254" s="104"/>
      <c r="AE254" s="104"/>
      <c r="AF254" s="104"/>
      <c r="AG254" s="104"/>
      <c r="AH254" s="104"/>
      <c r="AI254" s="104"/>
      <c r="AJ254" s="104">
        <v>81.599999999999994</v>
      </c>
      <c r="AK254" s="104">
        <v>13.3</v>
      </c>
    </row>
    <row r="255" spans="1:37" x14ac:dyDescent="0.25">
      <c r="A255" s="55">
        <v>300</v>
      </c>
      <c r="B255" s="112" t="s">
        <v>232</v>
      </c>
      <c r="C255" s="116" t="s">
        <v>220</v>
      </c>
      <c r="D255" s="104">
        <v>2013</v>
      </c>
      <c r="E255" s="104" t="s">
        <v>63</v>
      </c>
      <c r="F255" s="104" t="s">
        <v>68</v>
      </c>
      <c r="G255" s="35" t="s">
        <v>178</v>
      </c>
      <c r="H255" s="106">
        <v>23</v>
      </c>
      <c r="I255" s="104">
        <v>3.4</v>
      </c>
      <c r="J255" s="104">
        <v>27</v>
      </c>
      <c r="K255" s="104" t="s">
        <v>64</v>
      </c>
      <c r="L255" s="34" t="s">
        <v>86</v>
      </c>
      <c r="M255" s="104" t="s">
        <v>67</v>
      </c>
      <c r="N255" s="104" t="s">
        <v>59</v>
      </c>
      <c r="O255" s="108" t="s">
        <v>169</v>
      </c>
      <c r="P255" s="104">
        <v>30</v>
      </c>
      <c r="Q255" s="104">
        <v>6.1</v>
      </c>
      <c r="R255" s="104">
        <v>40.5</v>
      </c>
      <c r="S255" s="104">
        <v>8.6</v>
      </c>
      <c r="T255" s="104">
        <v>0.42</v>
      </c>
      <c r="U255" s="104">
        <v>8.0000000000000002E-3</v>
      </c>
      <c r="V255" s="104">
        <v>0.56999999999999995</v>
      </c>
      <c r="W255" s="104">
        <v>0.1</v>
      </c>
      <c r="X255" s="104"/>
      <c r="Y255" s="104"/>
      <c r="Z255" s="104"/>
      <c r="AA255" s="104"/>
      <c r="AB255" s="104"/>
      <c r="AC255" s="104"/>
      <c r="AD255" s="104"/>
      <c r="AE255" s="104"/>
      <c r="AF255" s="104"/>
      <c r="AG255" s="104"/>
      <c r="AH255" s="104"/>
      <c r="AI255" s="104"/>
      <c r="AJ255" s="104">
        <v>74.7</v>
      </c>
      <c r="AK255" s="104">
        <v>12.1</v>
      </c>
    </row>
    <row r="256" spans="1:37" x14ac:dyDescent="0.25">
      <c r="A256" s="55">
        <v>90</v>
      </c>
      <c r="B256" s="112" t="s">
        <v>233</v>
      </c>
      <c r="C256" s="183" t="s">
        <v>231</v>
      </c>
      <c r="D256" s="104">
        <v>2005</v>
      </c>
      <c r="E256" s="104" t="s">
        <v>176</v>
      </c>
      <c r="F256" s="104" t="s">
        <v>172</v>
      </c>
      <c r="G256" s="104" t="s">
        <v>190</v>
      </c>
      <c r="H256" s="106">
        <v>16.3</v>
      </c>
      <c r="I256" s="104">
        <v>1.3</v>
      </c>
      <c r="J256" s="104">
        <v>20</v>
      </c>
      <c r="K256" s="104" t="s">
        <v>64</v>
      </c>
      <c r="L256" s="35" t="s">
        <v>66</v>
      </c>
      <c r="M256" s="104" t="s">
        <v>67</v>
      </c>
      <c r="N256" s="104" t="s">
        <v>59</v>
      </c>
      <c r="O256" s="108" t="s">
        <v>169</v>
      </c>
      <c r="P256" s="104">
        <v>6.97</v>
      </c>
      <c r="Q256" s="104">
        <v>4.7699999999999996</v>
      </c>
      <c r="R256" s="104">
        <v>11.97</v>
      </c>
      <c r="S256" s="104">
        <v>8.1300000000000008</v>
      </c>
      <c r="T256" s="104"/>
      <c r="U256" s="104"/>
      <c r="V256" s="104"/>
      <c r="W256" s="104"/>
      <c r="X256" s="104"/>
      <c r="Y256" s="104"/>
      <c r="Z256" s="104"/>
      <c r="AA256" s="104"/>
      <c r="AB256" s="104"/>
      <c r="AC256" s="104"/>
      <c r="AD256" s="104"/>
      <c r="AE256" s="104"/>
      <c r="AF256" s="104"/>
      <c r="AG256" s="104"/>
      <c r="AH256" s="104"/>
      <c r="AI256" s="104"/>
      <c r="AJ256" s="104">
        <v>0.56000000000000005</v>
      </c>
      <c r="AK256" s="104">
        <v>0.15</v>
      </c>
    </row>
    <row r="257" spans="1:37" x14ac:dyDescent="0.25">
      <c r="A257" s="55">
        <v>90</v>
      </c>
      <c r="B257" s="112" t="s">
        <v>233</v>
      </c>
      <c r="C257" s="116" t="s">
        <v>231</v>
      </c>
      <c r="D257" s="104">
        <v>2005</v>
      </c>
      <c r="E257" s="104" t="s">
        <v>176</v>
      </c>
      <c r="F257" s="104" t="s">
        <v>172</v>
      </c>
      <c r="G257" s="104" t="s">
        <v>190</v>
      </c>
      <c r="H257" s="106">
        <v>16.3</v>
      </c>
      <c r="I257" s="104">
        <v>1.3</v>
      </c>
      <c r="J257" s="104">
        <v>20</v>
      </c>
      <c r="K257" s="104" t="s">
        <v>191</v>
      </c>
      <c r="L257" s="35" t="s">
        <v>66</v>
      </c>
      <c r="M257" s="104" t="s">
        <v>67</v>
      </c>
      <c r="N257" s="104" t="s">
        <v>59</v>
      </c>
      <c r="O257" s="108" t="s">
        <v>169</v>
      </c>
      <c r="P257" s="104">
        <v>7.31</v>
      </c>
      <c r="Q257" s="104">
        <v>4.97</v>
      </c>
      <c r="R257" s="104">
        <v>11.03</v>
      </c>
      <c r="S257" s="104">
        <v>7.51</v>
      </c>
      <c r="T257" s="104"/>
      <c r="U257" s="104"/>
      <c r="V257" s="104"/>
      <c r="W257" s="104"/>
      <c r="X257" s="104"/>
      <c r="Y257" s="104"/>
      <c r="Z257" s="104"/>
      <c r="AA257" s="104"/>
      <c r="AB257" s="104"/>
      <c r="AC257" s="104"/>
      <c r="AD257" s="104"/>
      <c r="AE257" s="104"/>
      <c r="AF257" s="104"/>
      <c r="AG257" s="104"/>
      <c r="AH257" s="104"/>
      <c r="AI257" s="104"/>
      <c r="AJ257" s="104">
        <v>0.65</v>
      </c>
      <c r="AK257" s="104">
        <v>0.16</v>
      </c>
    </row>
    <row r="258" spans="1:37" x14ac:dyDescent="0.25">
      <c r="A258" s="55">
        <v>90</v>
      </c>
      <c r="B258" s="112" t="s">
        <v>233</v>
      </c>
      <c r="C258" s="183" t="s">
        <v>231</v>
      </c>
      <c r="D258" s="104">
        <v>2005</v>
      </c>
      <c r="E258" s="104" t="s">
        <v>176</v>
      </c>
      <c r="F258" s="104" t="s">
        <v>172</v>
      </c>
      <c r="G258" s="104" t="s">
        <v>190</v>
      </c>
      <c r="H258" s="106">
        <v>16.3</v>
      </c>
      <c r="I258" s="104">
        <v>1.3</v>
      </c>
      <c r="J258" s="104">
        <v>20</v>
      </c>
      <c r="K258" s="104" t="s">
        <v>64</v>
      </c>
      <c r="L258" s="35" t="s">
        <v>66</v>
      </c>
      <c r="M258" s="104" t="s">
        <v>122</v>
      </c>
      <c r="N258" s="104" t="s">
        <v>59</v>
      </c>
      <c r="O258" s="108" t="s">
        <v>169</v>
      </c>
      <c r="P258" s="104">
        <v>7.44</v>
      </c>
      <c r="Q258" s="104">
        <v>3.25</v>
      </c>
      <c r="R258" s="104">
        <v>12.28</v>
      </c>
      <c r="S258" s="104">
        <v>8.65</v>
      </c>
      <c r="T258" s="104"/>
      <c r="U258" s="104"/>
      <c r="V258" s="104"/>
      <c r="W258" s="104"/>
      <c r="X258" s="104"/>
      <c r="Y258" s="104"/>
      <c r="Z258" s="104"/>
      <c r="AA258" s="104"/>
      <c r="AB258" s="104"/>
      <c r="AC258" s="104"/>
      <c r="AD258" s="104"/>
      <c r="AE258" s="104"/>
      <c r="AF258" s="104"/>
      <c r="AG258" s="104"/>
      <c r="AH258" s="104"/>
      <c r="AI258" s="104"/>
      <c r="AJ258" s="104">
        <v>0.65</v>
      </c>
      <c r="AK258" s="104">
        <v>0.14000000000000001</v>
      </c>
    </row>
    <row r="259" spans="1:37" x14ac:dyDescent="0.25">
      <c r="A259" s="55">
        <v>90</v>
      </c>
      <c r="B259" s="112" t="s">
        <v>233</v>
      </c>
      <c r="C259" s="116" t="s">
        <v>231</v>
      </c>
      <c r="D259" s="104">
        <v>2005</v>
      </c>
      <c r="E259" s="104" t="s">
        <v>176</v>
      </c>
      <c r="F259" s="104" t="s">
        <v>172</v>
      </c>
      <c r="G259" s="104" t="s">
        <v>190</v>
      </c>
      <c r="H259" s="106">
        <v>16.3</v>
      </c>
      <c r="I259" s="104">
        <v>1.3</v>
      </c>
      <c r="J259" s="104">
        <v>20</v>
      </c>
      <c r="K259" s="104" t="s">
        <v>191</v>
      </c>
      <c r="L259" s="35" t="s">
        <v>66</v>
      </c>
      <c r="M259" s="104" t="s">
        <v>122</v>
      </c>
      <c r="N259" s="104" t="s">
        <v>59</v>
      </c>
      <c r="O259" s="108" t="s">
        <v>169</v>
      </c>
      <c r="P259" s="104">
        <v>7.82</v>
      </c>
      <c r="Q259" s="104">
        <v>6.8</v>
      </c>
      <c r="R259" s="104">
        <v>11.36</v>
      </c>
      <c r="S259" s="104">
        <v>8.91</v>
      </c>
      <c r="T259" s="104"/>
      <c r="U259" s="104"/>
      <c r="V259" s="104"/>
      <c r="W259" s="104"/>
      <c r="X259" s="104"/>
      <c r="Y259" s="104"/>
      <c r="Z259" s="104"/>
      <c r="AA259" s="104"/>
      <c r="AB259" s="104"/>
      <c r="AC259" s="104"/>
      <c r="AD259" s="104"/>
      <c r="AE259" s="104"/>
      <c r="AF259" s="104"/>
      <c r="AG259" s="104"/>
      <c r="AH259" s="104"/>
      <c r="AI259" s="104"/>
      <c r="AJ259" s="104">
        <v>0.68</v>
      </c>
      <c r="AK259" s="104">
        <v>0.17</v>
      </c>
    </row>
    <row r="260" spans="1:37" x14ac:dyDescent="0.25">
      <c r="A260" s="55">
        <v>180</v>
      </c>
      <c r="B260" s="112" t="s">
        <v>233</v>
      </c>
      <c r="C260" s="183" t="s">
        <v>231</v>
      </c>
      <c r="D260" s="104">
        <v>2005</v>
      </c>
      <c r="E260" s="104" t="s">
        <v>176</v>
      </c>
      <c r="F260" s="104" t="s">
        <v>172</v>
      </c>
      <c r="G260" s="104" t="s">
        <v>190</v>
      </c>
      <c r="H260" s="106">
        <v>16.3</v>
      </c>
      <c r="I260" s="104">
        <v>1.3</v>
      </c>
      <c r="J260" s="104">
        <v>20</v>
      </c>
      <c r="K260" s="104" t="s">
        <v>64</v>
      </c>
      <c r="L260" s="35" t="s">
        <v>66</v>
      </c>
      <c r="M260" s="104" t="s">
        <v>67</v>
      </c>
      <c r="N260" s="104" t="s">
        <v>59</v>
      </c>
      <c r="O260" s="108" t="s">
        <v>169</v>
      </c>
      <c r="P260" s="104">
        <v>10.050000000000001</v>
      </c>
      <c r="Q260" s="104">
        <v>7.28</v>
      </c>
      <c r="R260" s="104">
        <v>15.27</v>
      </c>
      <c r="S260" s="104">
        <v>12.65</v>
      </c>
      <c r="T260" s="104"/>
      <c r="U260" s="104"/>
      <c r="V260" s="104"/>
      <c r="W260" s="104"/>
      <c r="X260" s="104"/>
      <c r="Y260" s="104"/>
      <c r="Z260" s="104"/>
      <c r="AA260" s="104"/>
      <c r="AB260" s="104"/>
      <c r="AC260" s="104"/>
      <c r="AD260" s="104"/>
      <c r="AE260" s="104"/>
      <c r="AF260" s="104"/>
      <c r="AG260" s="104"/>
      <c r="AH260" s="104"/>
      <c r="AI260" s="104"/>
      <c r="AJ260" s="104">
        <v>0.51</v>
      </c>
      <c r="AK260" s="104">
        <v>0.15</v>
      </c>
    </row>
    <row r="261" spans="1:37" x14ac:dyDescent="0.25">
      <c r="A261" s="55">
        <v>180</v>
      </c>
      <c r="B261" s="112" t="s">
        <v>233</v>
      </c>
      <c r="C261" s="116" t="s">
        <v>231</v>
      </c>
      <c r="D261" s="104">
        <v>2005</v>
      </c>
      <c r="E261" s="104" t="s">
        <v>176</v>
      </c>
      <c r="F261" s="104" t="s">
        <v>172</v>
      </c>
      <c r="G261" s="104" t="s">
        <v>190</v>
      </c>
      <c r="H261" s="106">
        <v>16.3</v>
      </c>
      <c r="I261" s="104">
        <v>1.3</v>
      </c>
      <c r="J261" s="104">
        <v>20</v>
      </c>
      <c r="K261" s="104" t="s">
        <v>191</v>
      </c>
      <c r="L261" s="35" t="s">
        <v>66</v>
      </c>
      <c r="M261" s="104" t="s">
        <v>67</v>
      </c>
      <c r="N261" s="104" t="s">
        <v>59</v>
      </c>
      <c r="O261" s="108" t="s">
        <v>169</v>
      </c>
      <c r="P261" s="104">
        <v>10.89</v>
      </c>
      <c r="Q261" s="104">
        <v>7.74</v>
      </c>
      <c r="R261" s="104">
        <v>15.1</v>
      </c>
      <c r="S261" s="104">
        <v>12.25</v>
      </c>
      <c r="T261" s="104"/>
      <c r="U261" s="104"/>
      <c r="V261" s="104"/>
      <c r="W261" s="104"/>
      <c r="X261" s="104"/>
      <c r="Y261" s="104"/>
      <c r="Z261" s="104"/>
      <c r="AA261" s="104"/>
      <c r="AB261" s="104"/>
      <c r="AC261" s="104"/>
      <c r="AD261" s="104"/>
      <c r="AE261" s="104"/>
      <c r="AF261" s="104"/>
      <c r="AG261" s="104"/>
      <c r="AH261" s="104"/>
      <c r="AI261" s="104"/>
      <c r="AJ261" s="104">
        <v>0.56999999999999995</v>
      </c>
      <c r="AK261" s="104">
        <v>0.18</v>
      </c>
    </row>
    <row r="262" spans="1:37" x14ac:dyDescent="0.25">
      <c r="A262" s="55">
        <v>180</v>
      </c>
      <c r="B262" s="112" t="s">
        <v>233</v>
      </c>
      <c r="C262" s="183" t="s">
        <v>231</v>
      </c>
      <c r="D262" s="104">
        <v>2005</v>
      </c>
      <c r="E262" s="104" t="s">
        <v>176</v>
      </c>
      <c r="F262" s="104" t="s">
        <v>172</v>
      </c>
      <c r="G262" s="104" t="s">
        <v>190</v>
      </c>
      <c r="H262" s="106">
        <v>16.3</v>
      </c>
      <c r="I262" s="104">
        <v>1.3</v>
      </c>
      <c r="J262" s="104">
        <v>20</v>
      </c>
      <c r="K262" s="104" t="s">
        <v>64</v>
      </c>
      <c r="L262" s="35" t="s">
        <v>66</v>
      </c>
      <c r="M262" s="104" t="s">
        <v>122</v>
      </c>
      <c r="N262" s="104" t="s">
        <v>59</v>
      </c>
      <c r="O262" s="108" t="s">
        <v>169</v>
      </c>
      <c r="P262" s="104">
        <v>10.93</v>
      </c>
      <c r="Q262" s="104">
        <v>8.43</v>
      </c>
      <c r="R262" s="104">
        <v>14.12</v>
      </c>
      <c r="S262" s="104">
        <v>9.1199999999999992</v>
      </c>
      <c r="T262" s="104"/>
      <c r="U262" s="104"/>
      <c r="V262" s="104"/>
      <c r="W262" s="104"/>
      <c r="X262" s="104"/>
      <c r="Y262" s="104"/>
      <c r="Z262" s="104"/>
      <c r="AA262" s="104"/>
      <c r="AB262" s="104"/>
      <c r="AC262" s="104"/>
      <c r="AD262" s="104"/>
      <c r="AE262" s="104"/>
      <c r="AF262" s="104"/>
      <c r="AG262" s="104"/>
      <c r="AH262" s="104"/>
      <c r="AI262" s="104"/>
      <c r="AJ262" s="104">
        <v>0.72</v>
      </c>
      <c r="AK262" s="104">
        <v>0.2</v>
      </c>
    </row>
    <row r="263" spans="1:37" x14ac:dyDescent="0.25">
      <c r="A263" s="55">
        <v>180</v>
      </c>
      <c r="B263" s="112" t="s">
        <v>233</v>
      </c>
      <c r="C263" s="116" t="s">
        <v>231</v>
      </c>
      <c r="D263" s="104">
        <v>2005</v>
      </c>
      <c r="E263" s="104" t="s">
        <v>176</v>
      </c>
      <c r="F263" s="104" t="s">
        <v>172</v>
      </c>
      <c r="G263" s="104" t="s">
        <v>190</v>
      </c>
      <c r="H263" s="106">
        <v>16.3</v>
      </c>
      <c r="I263" s="104">
        <v>1.3</v>
      </c>
      <c r="J263" s="104">
        <v>20</v>
      </c>
      <c r="K263" s="104" t="s">
        <v>191</v>
      </c>
      <c r="L263" s="35" t="s">
        <v>66</v>
      </c>
      <c r="M263" s="104" t="s">
        <v>122</v>
      </c>
      <c r="N263" s="104" t="s">
        <v>59</v>
      </c>
      <c r="O263" s="108" t="s">
        <v>169</v>
      </c>
      <c r="P263" s="104">
        <v>11.2</v>
      </c>
      <c r="Q263" s="104">
        <v>7.9</v>
      </c>
      <c r="R263" s="104">
        <v>13.88</v>
      </c>
      <c r="S263" s="104">
        <v>9.2899999999999991</v>
      </c>
      <c r="T263" s="104"/>
      <c r="U263" s="104"/>
      <c r="V263" s="104"/>
      <c r="W263" s="104"/>
      <c r="X263" s="104"/>
      <c r="Y263" s="104"/>
      <c r="Z263" s="104"/>
      <c r="AA263" s="104"/>
      <c r="AB263" s="104"/>
      <c r="AC263" s="104"/>
      <c r="AD263" s="104"/>
      <c r="AE263" s="104"/>
      <c r="AF263" s="104"/>
      <c r="AG263" s="104"/>
      <c r="AH263" s="104"/>
      <c r="AI263" s="104"/>
      <c r="AJ263" s="104">
        <v>0.82</v>
      </c>
      <c r="AK263" s="104">
        <v>0.17</v>
      </c>
    </row>
    <row r="264" spans="1:37" hidden="1" x14ac:dyDescent="0.25">
      <c r="A264" s="55">
        <v>300</v>
      </c>
      <c r="B264" s="104"/>
      <c r="C264" s="116" t="s">
        <v>236</v>
      </c>
      <c r="D264" s="104">
        <v>2007</v>
      </c>
      <c r="E264" s="104" t="s">
        <v>176</v>
      </c>
      <c r="F264" s="104" t="s">
        <v>60</v>
      </c>
      <c r="G264" s="104" t="s">
        <v>190</v>
      </c>
      <c r="H264" s="106">
        <v>20.3</v>
      </c>
      <c r="I264" s="104">
        <v>0.5</v>
      </c>
      <c r="J264" s="104">
        <v>10</v>
      </c>
      <c r="K264" s="104" t="s">
        <v>234</v>
      </c>
      <c r="L264" s="104" t="s">
        <v>66</v>
      </c>
      <c r="M264" s="104" t="s">
        <v>67</v>
      </c>
      <c r="N264" s="104" t="s">
        <v>59</v>
      </c>
      <c r="O264" s="108" t="s">
        <v>112</v>
      </c>
      <c r="P264" s="104"/>
      <c r="Q264" s="104"/>
      <c r="R264" s="104"/>
      <c r="S264" s="104"/>
      <c r="T264" s="104">
        <v>0.38</v>
      </c>
      <c r="U264" s="104">
        <v>0.02</v>
      </c>
      <c r="V264" s="104">
        <v>0.6</v>
      </c>
      <c r="W264" s="104">
        <v>0.04</v>
      </c>
      <c r="X264" s="104"/>
      <c r="Y264" s="104"/>
      <c r="Z264" s="104"/>
      <c r="AA264" s="104"/>
      <c r="AB264" s="104"/>
      <c r="AC264" s="104"/>
      <c r="AD264" s="104"/>
      <c r="AE264" s="104"/>
      <c r="AF264" s="104"/>
      <c r="AG264" s="104"/>
      <c r="AH264" s="104"/>
      <c r="AI264" s="104"/>
      <c r="AJ264" s="104"/>
      <c r="AK264" s="104"/>
    </row>
    <row r="265" spans="1:37" hidden="1" x14ac:dyDescent="0.25">
      <c r="A265" s="55">
        <v>300</v>
      </c>
      <c r="B265" s="104"/>
      <c r="C265" s="116" t="s">
        <v>236</v>
      </c>
      <c r="D265" s="104">
        <v>2007</v>
      </c>
      <c r="E265" s="104" t="s">
        <v>176</v>
      </c>
      <c r="F265" s="104" t="s">
        <v>60</v>
      </c>
      <c r="G265" s="104" t="s">
        <v>190</v>
      </c>
      <c r="H265" s="106">
        <v>20.3</v>
      </c>
      <c r="I265" s="104">
        <v>0.5</v>
      </c>
      <c r="J265" s="104">
        <v>10</v>
      </c>
      <c r="K265" s="104" t="s">
        <v>235</v>
      </c>
      <c r="L265" s="104" t="s">
        <v>66</v>
      </c>
      <c r="M265" s="104" t="s">
        <v>67</v>
      </c>
      <c r="N265" s="104" t="s">
        <v>59</v>
      </c>
      <c r="O265" s="108" t="s">
        <v>112</v>
      </c>
      <c r="P265" s="104"/>
      <c r="Q265" s="104"/>
      <c r="R265" s="104"/>
      <c r="S265" s="104"/>
      <c r="T265" s="104">
        <v>0.39</v>
      </c>
      <c r="U265" s="104">
        <v>0.02</v>
      </c>
      <c r="V265" s="104">
        <v>0.63</v>
      </c>
      <c r="W265" s="104">
        <v>0.03</v>
      </c>
      <c r="X265" s="104"/>
      <c r="Y265" s="104"/>
      <c r="Z265" s="104"/>
      <c r="AA265" s="104"/>
      <c r="AB265" s="104"/>
      <c r="AC265" s="104"/>
      <c r="AD265" s="104"/>
      <c r="AE265" s="104"/>
      <c r="AF265" s="104"/>
      <c r="AG265" s="104"/>
      <c r="AH265" s="104"/>
      <c r="AI265" s="104"/>
      <c r="AJ265" s="104"/>
      <c r="AK265" s="104"/>
    </row>
    <row r="266" spans="1:37" hidden="1" x14ac:dyDescent="0.25">
      <c r="A266" s="55">
        <v>300</v>
      </c>
      <c r="B266" s="104"/>
      <c r="C266" s="116" t="s">
        <v>236</v>
      </c>
      <c r="D266" s="104">
        <v>2007</v>
      </c>
      <c r="E266" s="104" t="s">
        <v>176</v>
      </c>
      <c r="F266" s="104" t="s">
        <v>60</v>
      </c>
      <c r="G266" s="104" t="s">
        <v>190</v>
      </c>
      <c r="H266" s="106">
        <v>20.3</v>
      </c>
      <c r="I266" s="104">
        <v>0.5</v>
      </c>
      <c r="J266" s="104">
        <v>10</v>
      </c>
      <c r="K266" s="104" t="s">
        <v>234</v>
      </c>
      <c r="L266" s="104" t="s">
        <v>66</v>
      </c>
      <c r="M266" s="104" t="s">
        <v>122</v>
      </c>
      <c r="N266" s="104" t="s">
        <v>59</v>
      </c>
      <c r="O266" s="108" t="s">
        <v>112</v>
      </c>
      <c r="P266" s="104"/>
      <c r="Q266" s="104"/>
      <c r="R266" s="104"/>
      <c r="S266" s="104"/>
      <c r="T266" s="104">
        <v>0.51</v>
      </c>
      <c r="U266" s="104">
        <v>0.03</v>
      </c>
      <c r="V266" s="104">
        <v>0.93</v>
      </c>
      <c r="W266" s="104">
        <v>0.05</v>
      </c>
      <c r="X266" s="104"/>
      <c r="Y266" s="104"/>
      <c r="Z266" s="104"/>
      <c r="AA266" s="104"/>
      <c r="AB266" s="104"/>
      <c r="AC266" s="104"/>
      <c r="AD266" s="104"/>
      <c r="AE266" s="104"/>
      <c r="AF266" s="104"/>
      <c r="AG266" s="104"/>
      <c r="AH266" s="104"/>
      <c r="AI266" s="104"/>
      <c r="AJ266" s="104"/>
      <c r="AK266" s="104"/>
    </row>
    <row r="267" spans="1:37" hidden="1" x14ac:dyDescent="0.25">
      <c r="A267" s="55">
        <v>300</v>
      </c>
      <c r="B267" s="104"/>
      <c r="C267" s="116" t="s">
        <v>236</v>
      </c>
      <c r="D267" s="104">
        <v>2007</v>
      </c>
      <c r="E267" s="104" t="s">
        <v>176</v>
      </c>
      <c r="F267" s="104" t="s">
        <v>60</v>
      </c>
      <c r="G267" s="104" t="s">
        <v>190</v>
      </c>
      <c r="H267" s="106">
        <v>20.3</v>
      </c>
      <c r="I267" s="104">
        <v>0.5</v>
      </c>
      <c r="J267" s="104">
        <v>10</v>
      </c>
      <c r="K267" s="104" t="s">
        <v>235</v>
      </c>
      <c r="L267" s="104" t="s">
        <v>66</v>
      </c>
      <c r="M267" s="104" t="s">
        <v>122</v>
      </c>
      <c r="N267" s="104" t="s">
        <v>59</v>
      </c>
      <c r="O267" s="108" t="s">
        <v>112</v>
      </c>
      <c r="P267" s="104"/>
      <c r="Q267" s="104"/>
      <c r="R267" s="104"/>
      <c r="S267" s="104"/>
      <c r="T267" s="104">
        <v>0.53</v>
      </c>
      <c r="U267" s="104">
        <v>0.03</v>
      </c>
      <c r="V267" s="104">
        <v>0.94</v>
      </c>
      <c r="W267" s="104">
        <v>0.05</v>
      </c>
      <c r="X267" s="104"/>
      <c r="Y267" s="104"/>
      <c r="Z267" s="104"/>
      <c r="AA267" s="104"/>
      <c r="AB267" s="104"/>
      <c r="AC267" s="104"/>
      <c r="AD267" s="104"/>
      <c r="AE267" s="104"/>
      <c r="AF267" s="104"/>
      <c r="AG267" s="104"/>
      <c r="AH267" s="104"/>
      <c r="AI267" s="104"/>
      <c r="AJ267" s="104"/>
      <c r="AK267" s="104"/>
    </row>
    <row r="268" spans="1:37" hidden="1" x14ac:dyDescent="0.25">
      <c r="A268" s="55">
        <v>60</v>
      </c>
      <c r="B268" s="104"/>
      <c r="C268" s="104" t="s">
        <v>251</v>
      </c>
      <c r="D268" s="104">
        <v>2000</v>
      </c>
      <c r="E268" s="104" t="s">
        <v>54</v>
      </c>
      <c r="F268" s="104" t="s">
        <v>60</v>
      </c>
      <c r="G268" s="104" t="s">
        <v>178</v>
      </c>
      <c r="H268" s="106">
        <v>20.399999999999999</v>
      </c>
      <c r="I268" s="104"/>
      <c r="J268" s="104">
        <v>10</v>
      </c>
      <c r="K268" s="104" t="s">
        <v>64</v>
      </c>
      <c r="L268" s="104" t="s">
        <v>66</v>
      </c>
      <c r="M268" s="104" t="s">
        <v>67</v>
      </c>
      <c r="N268" s="104" t="s">
        <v>252</v>
      </c>
      <c r="O268" s="104" t="s">
        <v>253</v>
      </c>
      <c r="P268" s="104">
        <v>118.2</v>
      </c>
      <c r="Q268" s="104">
        <v>20.100000000000001</v>
      </c>
      <c r="R268" s="104">
        <v>194.3</v>
      </c>
      <c r="S268" s="104">
        <v>21.3</v>
      </c>
      <c r="T268" s="104"/>
      <c r="U268" s="104"/>
      <c r="V268" s="104"/>
      <c r="W268" s="104"/>
      <c r="X268" s="104"/>
      <c r="Y268" s="104"/>
      <c r="Z268" s="104"/>
      <c r="AA268" s="104"/>
      <c r="AB268" s="104"/>
      <c r="AC268" s="104"/>
      <c r="AD268" s="104"/>
      <c r="AE268" s="104"/>
      <c r="AF268" s="104"/>
      <c r="AG268" s="104"/>
      <c r="AH268" s="104"/>
      <c r="AI268" s="104"/>
      <c r="AJ268" s="104">
        <v>61.2</v>
      </c>
      <c r="AK268" s="104"/>
    </row>
    <row r="269" spans="1:37" hidden="1" x14ac:dyDescent="0.25">
      <c r="A269" s="55">
        <v>60</v>
      </c>
      <c r="B269" s="104"/>
      <c r="C269" s="104" t="s">
        <v>251</v>
      </c>
      <c r="D269" s="104">
        <v>2000</v>
      </c>
      <c r="E269" s="104" t="s">
        <v>54</v>
      </c>
      <c r="F269" s="104" t="s">
        <v>60</v>
      </c>
      <c r="G269" s="35" t="s">
        <v>178</v>
      </c>
      <c r="H269" s="106">
        <v>20.399999999999999</v>
      </c>
      <c r="I269" s="104"/>
      <c r="J269" s="104">
        <v>10</v>
      </c>
      <c r="K269" s="104" t="s">
        <v>191</v>
      </c>
      <c r="L269" s="104" t="s">
        <v>66</v>
      </c>
      <c r="M269" s="104" t="s">
        <v>67</v>
      </c>
      <c r="N269" s="104" t="s">
        <v>252</v>
      </c>
      <c r="O269" s="104" t="s">
        <v>253</v>
      </c>
      <c r="P269" s="104">
        <v>109.1</v>
      </c>
      <c r="Q269" s="104">
        <v>23.2</v>
      </c>
      <c r="R269" s="104">
        <v>180.2</v>
      </c>
      <c r="S269" s="104">
        <v>28.4</v>
      </c>
      <c r="T269" s="104"/>
      <c r="U269" s="104"/>
      <c r="V269" s="104"/>
      <c r="W269" s="104"/>
      <c r="X269" s="104"/>
      <c r="Y269" s="104"/>
      <c r="Z269" s="104"/>
      <c r="AA269" s="104"/>
      <c r="AB269" s="104"/>
      <c r="AC269" s="104"/>
      <c r="AD269" s="104"/>
      <c r="AE269" s="104"/>
      <c r="AF269" s="104"/>
      <c r="AG269" s="104"/>
      <c r="AH269" s="104"/>
      <c r="AI269" s="104"/>
      <c r="AJ269" s="104">
        <v>60.5</v>
      </c>
      <c r="AK269" s="104"/>
    </row>
    <row r="270" spans="1:37" hidden="1" x14ac:dyDescent="0.25">
      <c r="A270" s="55">
        <v>60</v>
      </c>
      <c r="B270" s="104"/>
      <c r="C270" s="104" t="s">
        <v>251</v>
      </c>
      <c r="D270" s="104">
        <v>2000</v>
      </c>
      <c r="E270" s="104" t="s">
        <v>54</v>
      </c>
      <c r="F270" s="104" t="s">
        <v>60</v>
      </c>
      <c r="G270" s="104" t="s">
        <v>178</v>
      </c>
      <c r="H270" s="106">
        <v>20.399999999999999</v>
      </c>
      <c r="I270" s="104"/>
      <c r="J270" s="104">
        <v>10</v>
      </c>
      <c r="K270" s="104" t="s">
        <v>64</v>
      </c>
      <c r="L270" s="104" t="s">
        <v>66</v>
      </c>
      <c r="M270" s="104" t="s">
        <v>122</v>
      </c>
      <c r="N270" s="104" t="s">
        <v>252</v>
      </c>
      <c r="O270" s="104" t="s">
        <v>253</v>
      </c>
      <c r="P270" s="104">
        <v>136.5</v>
      </c>
      <c r="Q270" s="104">
        <v>27.1</v>
      </c>
      <c r="R270" s="104">
        <v>242.8</v>
      </c>
      <c r="S270" s="104">
        <v>37</v>
      </c>
      <c r="T270" s="104"/>
      <c r="U270" s="104"/>
      <c r="V270" s="104"/>
      <c r="W270" s="104"/>
      <c r="X270" s="104"/>
      <c r="Y270" s="104"/>
      <c r="Z270" s="104"/>
      <c r="AA270" s="104"/>
      <c r="AB270" s="104"/>
      <c r="AC270" s="104"/>
      <c r="AD270" s="104"/>
      <c r="AE270" s="104"/>
      <c r="AF270" s="104"/>
      <c r="AG270" s="104"/>
      <c r="AH270" s="104"/>
      <c r="AI270" s="104"/>
      <c r="AJ270" s="104">
        <v>56.2</v>
      </c>
      <c r="AK270" s="104"/>
    </row>
    <row r="271" spans="1:37" hidden="1" x14ac:dyDescent="0.25">
      <c r="A271" s="55">
        <v>60</v>
      </c>
      <c r="B271" s="104"/>
      <c r="C271" s="104" t="s">
        <v>251</v>
      </c>
      <c r="D271" s="104">
        <v>2000</v>
      </c>
      <c r="E271" s="104" t="s">
        <v>54</v>
      </c>
      <c r="F271" s="104" t="s">
        <v>60</v>
      </c>
      <c r="G271" s="35" t="s">
        <v>178</v>
      </c>
      <c r="H271" s="106">
        <v>20.399999999999999</v>
      </c>
      <c r="I271" s="104"/>
      <c r="J271" s="104">
        <v>10</v>
      </c>
      <c r="K271" s="104" t="s">
        <v>191</v>
      </c>
      <c r="L271" s="104" t="s">
        <v>66</v>
      </c>
      <c r="M271" s="104" t="s">
        <v>122</v>
      </c>
      <c r="N271" s="104" t="s">
        <v>252</v>
      </c>
      <c r="O271" s="104" t="s">
        <v>253</v>
      </c>
      <c r="P271" s="104">
        <v>125.1</v>
      </c>
      <c r="Q271" s="104">
        <v>31.4</v>
      </c>
      <c r="R271" s="104">
        <v>224.4</v>
      </c>
      <c r="S271" s="104">
        <v>29</v>
      </c>
      <c r="T271" s="104"/>
      <c r="U271" s="104"/>
      <c r="V271" s="104"/>
      <c r="W271" s="104"/>
      <c r="X271" s="104"/>
      <c r="Y271" s="104"/>
      <c r="Z271" s="104"/>
      <c r="AA271" s="104"/>
      <c r="AB271" s="104"/>
      <c r="AC271" s="104"/>
      <c r="AD271" s="104"/>
      <c r="AE271" s="104"/>
      <c r="AF271" s="104"/>
      <c r="AG271" s="104"/>
      <c r="AH271" s="104"/>
      <c r="AI271" s="104"/>
      <c r="AJ271" s="104">
        <v>55.8</v>
      </c>
      <c r="AK271" s="104"/>
    </row>
    <row r="272" spans="1:37" hidden="1" x14ac:dyDescent="0.25">
      <c r="A272" s="55">
        <v>120</v>
      </c>
      <c r="B272" s="104"/>
      <c r="C272" s="104" t="s">
        <v>251</v>
      </c>
      <c r="D272" s="104">
        <v>2000</v>
      </c>
      <c r="E272" s="104" t="s">
        <v>54</v>
      </c>
      <c r="F272" s="104" t="s">
        <v>60</v>
      </c>
      <c r="G272" s="104" t="s">
        <v>178</v>
      </c>
      <c r="H272" s="106">
        <v>20.399999999999999</v>
      </c>
      <c r="I272" s="104"/>
      <c r="J272" s="104">
        <v>10</v>
      </c>
      <c r="K272" s="104" t="s">
        <v>64</v>
      </c>
      <c r="L272" s="104" t="s">
        <v>66</v>
      </c>
      <c r="M272" s="104" t="s">
        <v>67</v>
      </c>
      <c r="N272" s="104" t="s">
        <v>252</v>
      </c>
      <c r="O272" s="104" t="s">
        <v>253</v>
      </c>
      <c r="P272" s="104">
        <v>107.6</v>
      </c>
      <c r="Q272" s="104">
        <v>19.399999999999999</v>
      </c>
      <c r="R272" s="104">
        <v>184.3</v>
      </c>
      <c r="S272" s="104">
        <v>19.100000000000001</v>
      </c>
      <c r="T272" s="104"/>
      <c r="U272" s="104"/>
      <c r="V272" s="104"/>
      <c r="W272" s="104"/>
      <c r="X272" s="104"/>
      <c r="Y272" s="104"/>
      <c r="Z272" s="104"/>
      <c r="AA272" s="104"/>
      <c r="AB272" s="104"/>
      <c r="AC272" s="104"/>
      <c r="AD272" s="104"/>
      <c r="AE272" s="104"/>
      <c r="AF272" s="104"/>
      <c r="AG272" s="104"/>
      <c r="AH272" s="104"/>
      <c r="AI272" s="104"/>
      <c r="AJ272" s="104">
        <v>58.4</v>
      </c>
      <c r="AK272" s="104"/>
    </row>
    <row r="273" spans="1:37" hidden="1" x14ac:dyDescent="0.25">
      <c r="A273" s="55">
        <v>120</v>
      </c>
      <c r="B273" s="104"/>
      <c r="C273" s="104" t="s">
        <v>251</v>
      </c>
      <c r="D273" s="104">
        <v>2000</v>
      </c>
      <c r="E273" s="104" t="s">
        <v>54</v>
      </c>
      <c r="F273" s="104" t="s">
        <v>60</v>
      </c>
      <c r="G273" s="35" t="s">
        <v>178</v>
      </c>
      <c r="H273" s="106">
        <v>20.399999999999999</v>
      </c>
      <c r="I273" s="104"/>
      <c r="J273" s="104">
        <v>10</v>
      </c>
      <c r="K273" s="104" t="s">
        <v>191</v>
      </c>
      <c r="L273" s="104" t="s">
        <v>66</v>
      </c>
      <c r="M273" s="104" t="s">
        <v>67</v>
      </c>
      <c r="N273" s="104" t="s">
        <v>252</v>
      </c>
      <c r="O273" s="104" t="s">
        <v>253</v>
      </c>
      <c r="P273" s="104">
        <v>96.3</v>
      </c>
      <c r="Q273" s="104">
        <v>20.2</v>
      </c>
      <c r="R273" s="104">
        <v>168.5</v>
      </c>
      <c r="S273" s="104">
        <v>24.3</v>
      </c>
      <c r="T273" s="104"/>
      <c r="U273" s="104"/>
      <c r="V273" s="104"/>
      <c r="W273" s="104"/>
      <c r="X273" s="104"/>
      <c r="Y273" s="104"/>
      <c r="Z273" s="104"/>
      <c r="AA273" s="104"/>
      <c r="AB273" s="104"/>
      <c r="AC273" s="104"/>
      <c r="AD273" s="104"/>
      <c r="AE273" s="104"/>
      <c r="AF273" s="104"/>
      <c r="AG273" s="104"/>
      <c r="AH273" s="104"/>
      <c r="AI273" s="104"/>
      <c r="AJ273" s="104">
        <v>57.2</v>
      </c>
      <c r="AK273" s="104"/>
    </row>
    <row r="274" spans="1:37" hidden="1" x14ac:dyDescent="0.25">
      <c r="A274" s="55">
        <v>120</v>
      </c>
      <c r="B274" s="104"/>
      <c r="C274" s="104" t="s">
        <v>251</v>
      </c>
      <c r="D274" s="104">
        <v>2000</v>
      </c>
      <c r="E274" s="104" t="s">
        <v>54</v>
      </c>
      <c r="F274" s="104" t="s">
        <v>60</v>
      </c>
      <c r="G274" s="104" t="s">
        <v>178</v>
      </c>
      <c r="H274" s="106">
        <v>20.399999999999999</v>
      </c>
      <c r="I274" s="104"/>
      <c r="J274" s="104">
        <v>10</v>
      </c>
      <c r="K274" s="104" t="s">
        <v>64</v>
      </c>
      <c r="L274" s="104" t="s">
        <v>66</v>
      </c>
      <c r="M274" s="104" t="s">
        <v>122</v>
      </c>
      <c r="N274" s="104" t="s">
        <v>252</v>
      </c>
      <c r="O274" s="104" t="s">
        <v>253</v>
      </c>
      <c r="P274" s="104">
        <v>127</v>
      </c>
      <c r="Q274" s="104">
        <v>24.7</v>
      </c>
      <c r="R274" s="104">
        <v>219</v>
      </c>
      <c r="S274" s="104">
        <v>30.1</v>
      </c>
      <c r="T274" s="104"/>
      <c r="U274" s="104"/>
      <c r="V274" s="104"/>
      <c r="W274" s="104"/>
      <c r="X274" s="104"/>
      <c r="Y274" s="104"/>
      <c r="Z274" s="104"/>
      <c r="AA274" s="104"/>
      <c r="AB274" s="104"/>
      <c r="AC274" s="104"/>
      <c r="AD274" s="104"/>
      <c r="AE274" s="104"/>
      <c r="AF274" s="104"/>
      <c r="AG274" s="104"/>
      <c r="AH274" s="104"/>
      <c r="AI274" s="104"/>
      <c r="AJ274" s="104">
        <v>58</v>
      </c>
      <c r="AK274" s="104"/>
    </row>
    <row r="275" spans="1:37" hidden="1" x14ac:dyDescent="0.25">
      <c r="A275" s="55">
        <v>120</v>
      </c>
      <c r="B275" s="104"/>
      <c r="C275" s="104" t="s">
        <v>251</v>
      </c>
      <c r="D275" s="104">
        <v>2000</v>
      </c>
      <c r="E275" s="104" t="s">
        <v>54</v>
      </c>
      <c r="F275" s="104" t="s">
        <v>60</v>
      </c>
      <c r="G275" s="35" t="s">
        <v>178</v>
      </c>
      <c r="H275" s="106">
        <v>20.399999999999999</v>
      </c>
      <c r="I275" s="104"/>
      <c r="J275" s="104">
        <v>10</v>
      </c>
      <c r="K275" s="104" t="s">
        <v>191</v>
      </c>
      <c r="L275" s="104" t="s">
        <v>66</v>
      </c>
      <c r="M275" s="104" t="s">
        <v>122</v>
      </c>
      <c r="N275" s="104" t="s">
        <v>252</v>
      </c>
      <c r="O275" s="104" t="s">
        <v>253</v>
      </c>
      <c r="P275" s="104">
        <v>115.2</v>
      </c>
      <c r="Q275" s="104">
        <v>28.1</v>
      </c>
      <c r="R275" s="104">
        <v>198.9</v>
      </c>
      <c r="S275" s="104">
        <v>26.1</v>
      </c>
      <c r="T275" s="104"/>
      <c r="U275" s="104"/>
      <c r="V275" s="104"/>
      <c r="W275" s="104"/>
      <c r="X275" s="104"/>
      <c r="Y275" s="104"/>
      <c r="Z275" s="104"/>
      <c r="AA275" s="104"/>
      <c r="AB275" s="104"/>
      <c r="AC275" s="104"/>
      <c r="AD275" s="104"/>
      <c r="AE275" s="104"/>
      <c r="AF275" s="104"/>
      <c r="AG275" s="104"/>
      <c r="AH275" s="104"/>
      <c r="AI275" s="104"/>
      <c r="AJ275" s="104">
        <v>57.9</v>
      </c>
      <c r="AK275" s="104"/>
    </row>
    <row r="276" spans="1:37" x14ac:dyDescent="0.25">
      <c r="A276" s="55">
        <v>60</v>
      </c>
      <c r="B276" s="104" t="s">
        <v>334</v>
      </c>
      <c r="C276" s="116" t="s">
        <v>333</v>
      </c>
      <c r="D276" s="104">
        <v>2022</v>
      </c>
      <c r="E276" s="104" t="s">
        <v>329</v>
      </c>
      <c r="F276" s="104" t="s">
        <v>130</v>
      </c>
      <c r="G276" s="35" t="s">
        <v>178</v>
      </c>
      <c r="H276" s="106">
        <v>21.9</v>
      </c>
      <c r="I276" s="104">
        <v>2</v>
      </c>
      <c r="J276" s="104">
        <v>10</v>
      </c>
      <c r="K276" s="104" t="s">
        <v>64</v>
      </c>
      <c r="L276" s="104" t="s">
        <v>66</v>
      </c>
      <c r="M276" s="104" t="s">
        <v>122</v>
      </c>
      <c r="N276" s="104" t="s">
        <v>59</v>
      </c>
      <c r="O276" s="104" t="s">
        <v>169</v>
      </c>
      <c r="P276" s="104"/>
      <c r="Q276" s="104"/>
      <c r="R276" s="104"/>
      <c r="S276" s="104"/>
      <c r="T276" s="104"/>
      <c r="U276" s="104"/>
      <c r="V276" s="104"/>
      <c r="W276" s="104"/>
      <c r="X276" s="104">
        <v>51.8</v>
      </c>
      <c r="Y276" s="104">
        <v>3.3</v>
      </c>
      <c r="Z276" s="104"/>
      <c r="AA276" s="104"/>
      <c r="AB276" s="104"/>
      <c r="AC276" s="104"/>
      <c r="AD276" s="104"/>
      <c r="AE276" s="104"/>
      <c r="AF276" s="104"/>
      <c r="AG276" s="104"/>
      <c r="AH276" s="104"/>
      <c r="AI276" s="104"/>
      <c r="AJ276" s="104"/>
      <c r="AK276" s="104"/>
    </row>
    <row r="277" spans="1:37" x14ac:dyDescent="0.25">
      <c r="A277" s="55">
        <v>60</v>
      </c>
      <c r="B277" s="104" t="s">
        <v>334</v>
      </c>
      <c r="C277" s="116" t="s">
        <v>333</v>
      </c>
      <c r="D277" s="104">
        <v>2022</v>
      </c>
      <c r="E277" s="104" t="s">
        <v>329</v>
      </c>
      <c r="F277" s="104" t="s">
        <v>130</v>
      </c>
      <c r="G277" s="35" t="s">
        <v>178</v>
      </c>
      <c r="H277" s="106">
        <v>21.9</v>
      </c>
      <c r="I277" s="104">
        <v>2</v>
      </c>
      <c r="J277" s="104">
        <v>10</v>
      </c>
      <c r="K277" s="104" t="s">
        <v>191</v>
      </c>
      <c r="L277" s="104" t="s">
        <v>66</v>
      </c>
      <c r="M277" s="104" t="s">
        <v>122</v>
      </c>
      <c r="N277" s="104" t="s">
        <v>59</v>
      </c>
      <c r="O277" s="104" t="s">
        <v>169</v>
      </c>
      <c r="P277" s="104"/>
      <c r="Q277" s="104"/>
      <c r="R277" s="104"/>
      <c r="S277" s="104"/>
      <c r="T277" s="104"/>
      <c r="U277" s="104"/>
      <c r="V277" s="104"/>
      <c r="W277" s="104"/>
      <c r="X277" s="104">
        <v>49.2</v>
      </c>
      <c r="Y277" s="104">
        <v>3.2</v>
      </c>
      <c r="Z277" s="104"/>
      <c r="AA277" s="104"/>
      <c r="AB277" s="104"/>
      <c r="AC277" s="104"/>
      <c r="AD277" s="104"/>
      <c r="AE277" s="104"/>
      <c r="AF277" s="104"/>
      <c r="AG277" s="104"/>
      <c r="AH277" s="104"/>
      <c r="AI277" s="104"/>
      <c r="AJ277" s="104"/>
      <c r="AK277" s="104"/>
    </row>
    <row r="278" spans="1:37" x14ac:dyDescent="0.25">
      <c r="A278" s="55">
        <v>60</v>
      </c>
      <c r="B278" s="104" t="s">
        <v>334</v>
      </c>
      <c r="C278" s="116" t="s">
        <v>333</v>
      </c>
      <c r="D278" s="104">
        <v>2022</v>
      </c>
      <c r="E278" s="104" t="s">
        <v>330</v>
      </c>
      <c r="F278" s="104" t="s">
        <v>130</v>
      </c>
      <c r="G278" s="35" t="s">
        <v>178</v>
      </c>
      <c r="H278" s="106">
        <v>22.2</v>
      </c>
      <c r="I278" s="104">
        <v>2.1</v>
      </c>
      <c r="J278" s="104">
        <v>10</v>
      </c>
      <c r="K278" s="104" t="s">
        <v>64</v>
      </c>
      <c r="L278" s="104" t="s">
        <v>66</v>
      </c>
      <c r="M278" s="104" t="s">
        <v>122</v>
      </c>
      <c r="N278" s="104" t="s">
        <v>59</v>
      </c>
      <c r="O278" s="104" t="s">
        <v>169</v>
      </c>
      <c r="P278" s="104"/>
      <c r="Q278" s="104"/>
      <c r="R278" s="104"/>
      <c r="S278" s="104"/>
      <c r="T278" s="104"/>
      <c r="U278" s="104"/>
      <c r="V278" s="104"/>
      <c r="W278" s="104"/>
      <c r="X278" s="104">
        <v>47.3</v>
      </c>
      <c r="Y278" s="104">
        <v>2.2999999999999998</v>
      </c>
      <c r="Z278" s="104"/>
      <c r="AA278" s="104"/>
      <c r="AB278" s="104"/>
      <c r="AC278" s="104"/>
      <c r="AD278" s="104"/>
      <c r="AE278" s="104"/>
      <c r="AF278" s="104"/>
      <c r="AG278" s="104"/>
      <c r="AH278" s="104"/>
      <c r="AI278" s="104"/>
      <c r="AJ278" s="104"/>
      <c r="AK278" s="104"/>
    </row>
    <row r="279" spans="1:37" x14ac:dyDescent="0.25">
      <c r="A279" s="55">
        <v>60</v>
      </c>
      <c r="B279" s="104" t="s">
        <v>334</v>
      </c>
      <c r="C279" s="116" t="s">
        <v>333</v>
      </c>
      <c r="D279" s="104">
        <v>2022</v>
      </c>
      <c r="E279" s="104" t="s">
        <v>330</v>
      </c>
      <c r="F279" s="104" t="s">
        <v>130</v>
      </c>
      <c r="G279" s="35" t="s">
        <v>178</v>
      </c>
      <c r="H279" s="106">
        <v>22.2</v>
      </c>
      <c r="I279" s="104">
        <v>2.1</v>
      </c>
      <c r="J279" s="104">
        <v>10</v>
      </c>
      <c r="K279" s="104" t="s">
        <v>191</v>
      </c>
      <c r="L279" s="104" t="s">
        <v>66</v>
      </c>
      <c r="M279" s="104" t="s">
        <v>122</v>
      </c>
      <c r="N279" s="104" t="s">
        <v>59</v>
      </c>
      <c r="O279" s="104" t="s">
        <v>169</v>
      </c>
      <c r="P279" s="104"/>
      <c r="Q279" s="104"/>
      <c r="R279" s="104"/>
      <c r="S279" s="104"/>
      <c r="T279" s="104"/>
      <c r="U279" s="104"/>
      <c r="V279" s="104"/>
      <c r="W279" s="104"/>
      <c r="X279" s="104">
        <v>53.9</v>
      </c>
      <c r="Y279" s="104">
        <v>2.7</v>
      </c>
      <c r="Z279" s="104"/>
      <c r="AA279" s="104"/>
      <c r="AB279" s="104"/>
      <c r="AC279" s="104"/>
      <c r="AD279" s="104"/>
      <c r="AE279" s="104"/>
      <c r="AF279" s="104"/>
      <c r="AG279" s="104"/>
      <c r="AH279" s="104"/>
      <c r="AI279" s="104"/>
      <c r="AJ279" s="104"/>
      <c r="AK279" s="104"/>
    </row>
    <row r="280" spans="1:37" x14ac:dyDescent="0.25">
      <c r="A280" s="55">
        <v>60</v>
      </c>
      <c r="B280" s="104" t="s">
        <v>334</v>
      </c>
      <c r="C280" s="116" t="s">
        <v>333</v>
      </c>
      <c r="D280" s="104">
        <v>2022</v>
      </c>
      <c r="E280" s="104" t="s">
        <v>331</v>
      </c>
      <c r="F280" s="104" t="s">
        <v>130</v>
      </c>
      <c r="G280" s="35" t="s">
        <v>178</v>
      </c>
      <c r="H280" s="106">
        <v>22.5</v>
      </c>
      <c r="I280" s="104">
        <v>2.6</v>
      </c>
      <c r="J280" s="104">
        <v>10</v>
      </c>
      <c r="K280" s="104" t="s">
        <v>64</v>
      </c>
      <c r="L280" s="104" t="s">
        <v>66</v>
      </c>
      <c r="M280" s="104" t="s">
        <v>122</v>
      </c>
      <c r="N280" s="104" t="s">
        <v>59</v>
      </c>
      <c r="O280" s="104" t="s">
        <v>169</v>
      </c>
      <c r="P280" s="104"/>
      <c r="Q280" s="104"/>
      <c r="R280" s="104"/>
      <c r="S280" s="104"/>
      <c r="T280" s="104"/>
      <c r="U280" s="104"/>
      <c r="V280" s="104"/>
      <c r="W280" s="104"/>
      <c r="X280" s="104">
        <v>61.7</v>
      </c>
      <c r="Y280" s="104">
        <v>5.4</v>
      </c>
      <c r="Z280" s="104"/>
      <c r="AA280" s="104"/>
      <c r="AB280" s="104"/>
      <c r="AC280" s="104"/>
      <c r="AD280" s="104"/>
      <c r="AE280" s="104"/>
      <c r="AF280" s="104"/>
      <c r="AG280" s="104"/>
      <c r="AH280" s="104"/>
      <c r="AI280" s="104"/>
      <c r="AJ280" s="104"/>
      <c r="AK280" s="104"/>
    </row>
    <row r="281" spans="1:37" x14ac:dyDescent="0.25">
      <c r="A281" s="55">
        <v>60</v>
      </c>
      <c r="B281" s="104" t="s">
        <v>334</v>
      </c>
      <c r="C281" s="116" t="s">
        <v>333</v>
      </c>
      <c r="D281" s="104">
        <v>2022</v>
      </c>
      <c r="E281" s="104" t="s">
        <v>331</v>
      </c>
      <c r="F281" s="104" t="s">
        <v>130</v>
      </c>
      <c r="G281" s="35" t="s">
        <v>178</v>
      </c>
      <c r="H281" s="106">
        <v>22.5</v>
      </c>
      <c r="I281" s="104">
        <v>2.6</v>
      </c>
      <c r="J281" s="104">
        <v>10</v>
      </c>
      <c r="K281" s="104" t="s">
        <v>191</v>
      </c>
      <c r="L281" s="104" t="s">
        <v>66</v>
      </c>
      <c r="M281" s="104" t="s">
        <v>122</v>
      </c>
      <c r="N281" s="104" t="s">
        <v>59</v>
      </c>
      <c r="O281" s="104" t="s">
        <v>169</v>
      </c>
      <c r="P281" s="104"/>
      <c r="Q281" s="104"/>
      <c r="R281" s="104"/>
      <c r="S281" s="104"/>
      <c r="T281" s="104"/>
      <c r="U281" s="104"/>
      <c r="V281" s="104"/>
      <c r="W281" s="104"/>
      <c r="X281" s="104">
        <v>59</v>
      </c>
      <c r="Y281" s="104">
        <v>5.5</v>
      </c>
      <c r="Z281" s="104"/>
      <c r="AA281" s="104"/>
      <c r="AB281" s="104"/>
      <c r="AC281" s="104"/>
      <c r="AD281" s="104"/>
      <c r="AE281" s="104"/>
      <c r="AF281" s="104"/>
      <c r="AG281" s="104"/>
      <c r="AH281" s="104"/>
      <c r="AI281" s="104"/>
      <c r="AJ281" s="104"/>
      <c r="AK281" s="104"/>
    </row>
    <row r="282" spans="1:37" x14ac:dyDescent="0.25">
      <c r="A282" s="55">
        <v>60</v>
      </c>
      <c r="B282" s="104" t="s">
        <v>334</v>
      </c>
      <c r="C282" s="116" t="s">
        <v>333</v>
      </c>
      <c r="D282" s="104">
        <v>2022</v>
      </c>
      <c r="E282" s="104" t="s">
        <v>332</v>
      </c>
      <c r="F282" s="104" t="s">
        <v>130</v>
      </c>
      <c r="G282" s="35" t="s">
        <v>178</v>
      </c>
      <c r="H282" s="106">
        <v>22.7</v>
      </c>
      <c r="I282" s="104">
        <v>2.5</v>
      </c>
      <c r="J282" s="104">
        <v>10</v>
      </c>
      <c r="K282" s="104" t="s">
        <v>64</v>
      </c>
      <c r="L282" s="104" t="s">
        <v>66</v>
      </c>
      <c r="M282" s="104" t="s">
        <v>122</v>
      </c>
      <c r="N282" s="104" t="s">
        <v>59</v>
      </c>
      <c r="O282" s="104" t="s">
        <v>169</v>
      </c>
      <c r="P282" s="104"/>
      <c r="Q282" s="104"/>
      <c r="R282" s="104"/>
      <c r="S282" s="104"/>
      <c r="T282" s="104"/>
      <c r="U282" s="104"/>
      <c r="V282" s="104"/>
      <c r="W282" s="104"/>
      <c r="X282" s="104">
        <v>55</v>
      </c>
      <c r="Y282" s="104">
        <v>2.8</v>
      </c>
      <c r="Z282" s="104"/>
      <c r="AA282" s="104"/>
      <c r="AB282" s="104"/>
      <c r="AC282" s="104"/>
      <c r="AD282" s="104"/>
      <c r="AE282" s="104"/>
      <c r="AF282" s="104"/>
      <c r="AG282" s="104"/>
      <c r="AH282" s="104"/>
      <c r="AI282" s="104"/>
      <c r="AJ282" s="104"/>
      <c r="AK282" s="104"/>
    </row>
    <row r="283" spans="1:37" x14ac:dyDescent="0.25">
      <c r="A283" s="55">
        <v>60</v>
      </c>
      <c r="B283" s="104" t="s">
        <v>334</v>
      </c>
      <c r="C283" s="116" t="s">
        <v>333</v>
      </c>
      <c r="D283" s="104">
        <v>2022</v>
      </c>
      <c r="E283" s="104" t="s">
        <v>332</v>
      </c>
      <c r="F283" s="104" t="s">
        <v>130</v>
      </c>
      <c r="G283" s="35" t="s">
        <v>178</v>
      </c>
      <c r="H283" s="106">
        <v>22.7</v>
      </c>
      <c r="I283" s="104">
        <v>2.5</v>
      </c>
      <c r="J283" s="104">
        <v>10</v>
      </c>
      <c r="K283" s="104" t="s">
        <v>191</v>
      </c>
      <c r="L283" s="104" t="s">
        <v>66</v>
      </c>
      <c r="M283" s="104" t="s">
        <v>122</v>
      </c>
      <c r="N283" s="104" t="s">
        <v>59</v>
      </c>
      <c r="O283" s="104" t="s">
        <v>169</v>
      </c>
      <c r="P283" s="104"/>
      <c r="Q283" s="104"/>
      <c r="R283" s="104"/>
      <c r="S283" s="104"/>
      <c r="T283" s="104"/>
      <c r="U283" s="104"/>
      <c r="V283" s="104"/>
      <c r="W283" s="104"/>
      <c r="X283" s="104">
        <v>51.3</v>
      </c>
      <c r="Y283" s="104">
        <v>3.8</v>
      </c>
      <c r="Z283" s="104"/>
      <c r="AA283" s="104"/>
      <c r="AB283" s="104"/>
      <c r="AC283" s="104"/>
      <c r="AD283" s="104"/>
      <c r="AE283" s="104"/>
      <c r="AF283" s="104"/>
      <c r="AG283" s="104"/>
      <c r="AH283" s="104"/>
      <c r="AI283" s="104"/>
      <c r="AJ283" s="104"/>
      <c r="AK283" s="104"/>
    </row>
    <row r="284" spans="1:37" x14ac:dyDescent="0.25">
      <c r="A284" s="55">
        <v>120</v>
      </c>
      <c r="B284" s="104" t="s">
        <v>334</v>
      </c>
      <c r="C284" s="116" t="s">
        <v>333</v>
      </c>
      <c r="D284" s="104">
        <v>2022</v>
      </c>
      <c r="E284" s="104" t="s">
        <v>329</v>
      </c>
      <c r="F284" s="104" t="s">
        <v>130</v>
      </c>
      <c r="G284" s="35" t="s">
        <v>178</v>
      </c>
      <c r="H284" s="106">
        <v>21.9</v>
      </c>
      <c r="I284" s="104">
        <v>2</v>
      </c>
      <c r="J284" s="104">
        <v>10</v>
      </c>
      <c r="K284" s="104" t="s">
        <v>64</v>
      </c>
      <c r="L284" s="104" t="s">
        <v>66</v>
      </c>
      <c r="M284" s="104" t="s">
        <v>122</v>
      </c>
      <c r="N284" s="104" t="s">
        <v>59</v>
      </c>
      <c r="O284" s="104" t="s">
        <v>169</v>
      </c>
      <c r="P284" s="104"/>
      <c r="Q284" s="104"/>
      <c r="R284" s="104"/>
      <c r="S284" s="104"/>
      <c r="T284" s="104"/>
      <c r="U284" s="104"/>
      <c r="V284" s="104"/>
      <c r="W284" s="104"/>
      <c r="X284" s="104">
        <v>43</v>
      </c>
      <c r="Y284" s="104">
        <v>3.3</v>
      </c>
      <c r="Z284" s="104"/>
      <c r="AA284" s="104"/>
      <c r="AB284" s="104"/>
      <c r="AC284" s="104"/>
      <c r="AD284" s="104"/>
      <c r="AE284" s="104"/>
      <c r="AF284" s="104"/>
      <c r="AG284" s="104"/>
      <c r="AH284" s="104"/>
      <c r="AI284" s="104"/>
      <c r="AJ284" s="104"/>
      <c r="AK284" s="104"/>
    </row>
    <row r="285" spans="1:37" x14ac:dyDescent="0.25">
      <c r="A285" s="55">
        <v>120</v>
      </c>
      <c r="B285" s="104" t="s">
        <v>334</v>
      </c>
      <c r="C285" s="116" t="s">
        <v>333</v>
      </c>
      <c r="D285" s="104">
        <v>2022</v>
      </c>
      <c r="E285" s="104" t="s">
        <v>329</v>
      </c>
      <c r="F285" s="104" t="s">
        <v>130</v>
      </c>
      <c r="G285" s="35" t="s">
        <v>178</v>
      </c>
      <c r="H285" s="106">
        <v>21.9</v>
      </c>
      <c r="I285" s="104">
        <v>2</v>
      </c>
      <c r="J285" s="104">
        <v>10</v>
      </c>
      <c r="K285" s="104" t="s">
        <v>191</v>
      </c>
      <c r="L285" s="104" t="s">
        <v>66</v>
      </c>
      <c r="M285" s="104" t="s">
        <v>122</v>
      </c>
      <c r="N285" s="104" t="s">
        <v>59</v>
      </c>
      <c r="O285" s="104" t="s">
        <v>169</v>
      </c>
      <c r="P285" s="104"/>
      <c r="Q285" s="104"/>
      <c r="R285" s="104"/>
      <c r="S285" s="104"/>
      <c r="T285" s="104"/>
      <c r="U285" s="104"/>
      <c r="V285" s="104"/>
      <c r="W285" s="104"/>
      <c r="X285" s="104">
        <v>37.299999999999997</v>
      </c>
      <c r="Y285" s="104">
        <v>3.1</v>
      </c>
      <c r="Z285" s="104"/>
      <c r="AA285" s="104"/>
      <c r="AB285" s="104"/>
      <c r="AC285" s="104"/>
      <c r="AD285" s="104"/>
      <c r="AE285" s="104"/>
      <c r="AF285" s="104"/>
      <c r="AG285" s="104"/>
      <c r="AH285" s="104"/>
      <c r="AI285" s="104"/>
      <c r="AJ285" s="104"/>
      <c r="AK285" s="104"/>
    </row>
    <row r="286" spans="1:37" x14ac:dyDescent="0.25">
      <c r="A286" s="55">
        <v>120</v>
      </c>
      <c r="B286" s="104" t="s">
        <v>334</v>
      </c>
      <c r="C286" s="116" t="s">
        <v>333</v>
      </c>
      <c r="D286" s="104">
        <v>2022</v>
      </c>
      <c r="E286" s="104" t="s">
        <v>330</v>
      </c>
      <c r="F286" s="104" t="s">
        <v>130</v>
      </c>
      <c r="G286" s="35" t="s">
        <v>178</v>
      </c>
      <c r="H286" s="106">
        <v>22.2</v>
      </c>
      <c r="I286" s="104">
        <v>2.1</v>
      </c>
      <c r="J286" s="104">
        <v>10</v>
      </c>
      <c r="K286" s="104" t="s">
        <v>64</v>
      </c>
      <c r="L286" s="104" t="s">
        <v>66</v>
      </c>
      <c r="M286" s="104" t="s">
        <v>122</v>
      </c>
      <c r="N286" s="104" t="s">
        <v>59</v>
      </c>
      <c r="O286" s="104" t="s">
        <v>169</v>
      </c>
      <c r="P286" s="104"/>
      <c r="Q286" s="104"/>
      <c r="R286" s="104"/>
      <c r="S286" s="104"/>
      <c r="T286" s="104"/>
      <c r="U286" s="104"/>
      <c r="V286" s="104"/>
      <c r="W286" s="104"/>
      <c r="X286" s="104">
        <v>48.7</v>
      </c>
      <c r="Y286" s="104">
        <v>2.7</v>
      </c>
      <c r="Z286" s="104"/>
      <c r="AA286" s="104"/>
      <c r="AB286" s="104"/>
      <c r="AC286" s="104"/>
      <c r="AD286" s="104"/>
      <c r="AE286" s="104"/>
      <c r="AF286" s="104"/>
      <c r="AG286" s="104"/>
      <c r="AH286" s="104"/>
      <c r="AI286" s="104"/>
      <c r="AJ286" s="104"/>
      <c r="AK286" s="104"/>
    </row>
    <row r="287" spans="1:37" x14ac:dyDescent="0.25">
      <c r="A287" s="55">
        <v>120</v>
      </c>
      <c r="B287" s="104" t="s">
        <v>334</v>
      </c>
      <c r="C287" s="116" t="s">
        <v>333</v>
      </c>
      <c r="D287" s="104">
        <v>2022</v>
      </c>
      <c r="E287" s="104" t="s">
        <v>330</v>
      </c>
      <c r="F287" s="104" t="s">
        <v>130</v>
      </c>
      <c r="G287" s="35" t="s">
        <v>178</v>
      </c>
      <c r="H287" s="106">
        <v>22.2</v>
      </c>
      <c r="I287" s="104">
        <v>2.1</v>
      </c>
      <c r="J287" s="104">
        <v>10</v>
      </c>
      <c r="K287" s="104" t="s">
        <v>191</v>
      </c>
      <c r="L287" s="104" t="s">
        <v>66</v>
      </c>
      <c r="M287" s="104" t="s">
        <v>122</v>
      </c>
      <c r="N287" s="104" t="s">
        <v>59</v>
      </c>
      <c r="O287" s="104" t="s">
        <v>169</v>
      </c>
      <c r="P287" s="104"/>
      <c r="Q287" s="104"/>
      <c r="R287" s="104"/>
      <c r="S287" s="104"/>
      <c r="T287" s="104"/>
      <c r="U287" s="104"/>
      <c r="V287" s="104"/>
      <c r="W287" s="104"/>
      <c r="X287" s="104">
        <v>45.5</v>
      </c>
      <c r="Y287" s="104">
        <v>2.2000000000000002</v>
      </c>
      <c r="Z287" s="104"/>
      <c r="AA287" s="104"/>
      <c r="AB287" s="104"/>
      <c r="AC287" s="104"/>
      <c r="AD287" s="104"/>
      <c r="AE287" s="104"/>
      <c r="AF287" s="104"/>
      <c r="AG287" s="104"/>
      <c r="AH287" s="104"/>
      <c r="AI287" s="104"/>
      <c r="AJ287" s="104"/>
      <c r="AK287" s="104"/>
    </row>
    <row r="288" spans="1:37" x14ac:dyDescent="0.25">
      <c r="A288" s="55">
        <v>120</v>
      </c>
      <c r="B288" s="104" t="s">
        <v>334</v>
      </c>
      <c r="C288" s="116" t="s">
        <v>333</v>
      </c>
      <c r="D288" s="104">
        <v>2022</v>
      </c>
      <c r="E288" s="104" t="s">
        <v>331</v>
      </c>
      <c r="F288" s="104" t="s">
        <v>130</v>
      </c>
      <c r="G288" s="35" t="s">
        <v>178</v>
      </c>
      <c r="H288" s="106">
        <v>22.5</v>
      </c>
      <c r="I288" s="104">
        <v>2.6</v>
      </c>
      <c r="J288" s="104">
        <v>10</v>
      </c>
      <c r="K288" s="104" t="s">
        <v>64</v>
      </c>
      <c r="L288" s="104" t="s">
        <v>66</v>
      </c>
      <c r="M288" s="104" t="s">
        <v>122</v>
      </c>
      <c r="N288" s="104" t="s">
        <v>59</v>
      </c>
      <c r="O288" s="104" t="s">
        <v>169</v>
      </c>
      <c r="P288" s="104"/>
      <c r="Q288" s="104"/>
      <c r="R288" s="104"/>
      <c r="S288" s="104"/>
      <c r="T288" s="104"/>
      <c r="U288" s="104"/>
      <c r="V288" s="104"/>
      <c r="W288" s="104"/>
      <c r="X288" s="104">
        <v>51.9</v>
      </c>
      <c r="Y288" s="104">
        <v>4.9000000000000004</v>
      </c>
      <c r="Z288" s="104"/>
      <c r="AA288" s="104"/>
      <c r="AB288" s="104"/>
      <c r="AC288" s="104"/>
      <c r="AD288" s="104"/>
      <c r="AE288" s="104"/>
      <c r="AF288" s="104"/>
      <c r="AG288" s="104"/>
      <c r="AH288" s="104"/>
      <c r="AI288" s="104"/>
      <c r="AJ288" s="104"/>
      <c r="AK288" s="104"/>
    </row>
    <row r="289" spans="1:37" x14ac:dyDescent="0.25">
      <c r="A289" s="55">
        <v>120</v>
      </c>
      <c r="B289" s="104" t="s">
        <v>334</v>
      </c>
      <c r="C289" s="116" t="s">
        <v>333</v>
      </c>
      <c r="D289" s="104">
        <v>2022</v>
      </c>
      <c r="E289" s="104" t="s">
        <v>331</v>
      </c>
      <c r="F289" s="104" t="s">
        <v>130</v>
      </c>
      <c r="G289" s="35" t="s">
        <v>178</v>
      </c>
      <c r="H289" s="106">
        <v>22.5</v>
      </c>
      <c r="I289" s="104">
        <v>2.6</v>
      </c>
      <c r="J289" s="104">
        <v>10</v>
      </c>
      <c r="K289" s="104" t="s">
        <v>191</v>
      </c>
      <c r="L289" s="104" t="s">
        <v>66</v>
      </c>
      <c r="M289" s="104" t="s">
        <v>122</v>
      </c>
      <c r="N289" s="104" t="s">
        <v>59</v>
      </c>
      <c r="O289" s="104" t="s">
        <v>169</v>
      </c>
      <c r="P289" s="104"/>
      <c r="Q289" s="104"/>
      <c r="R289" s="104"/>
      <c r="S289" s="104"/>
      <c r="T289" s="104"/>
      <c r="U289" s="104"/>
      <c r="V289" s="104"/>
      <c r="W289" s="104"/>
      <c r="X289" s="104">
        <v>48.7</v>
      </c>
      <c r="Y289" s="104">
        <v>5.4</v>
      </c>
      <c r="Z289" s="104"/>
      <c r="AA289" s="104"/>
      <c r="AB289" s="104"/>
      <c r="AC289" s="104"/>
      <c r="AD289" s="104"/>
      <c r="AE289" s="104"/>
      <c r="AF289" s="104"/>
      <c r="AG289" s="104"/>
      <c r="AH289" s="104"/>
      <c r="AI289" s="104"/>
      <c r="AJ289" s="104"/>
      <c r="AK289" s="104"/>
    </row>
    <row r="290" spans="1:37" x14ac:dyDescent="0.25">
      <c r="A290" s="55">
        <v>120</v>
      </c>
      <c r="B290" s="104" t="s">
        <v>334</v>
      </c>
      <c r="C290" s="116" t="s">
        <v>333</v>
      </c>
      <c r="D290" s="104">
        <v>2022</v>
      </c>
      <c r="E290" s="104" t="s">
        <v>332</v>
      </c>
      <c r="F290" s="104" t="s">
        <v>130</v>
      </c>
      <c r="G290" s="35" t="s">
        <v>178</v>
      </c>
      <c r="H290" s="106">
        <v>22.7</v>
      </c>
      <c r="I290" s="104">
        <v>2.5</v>
      </c>
      <c r="J290" s="104">
        <v>10</v>
      </c>
      <c r="K290" s="104" t="s">
        <v>64</v>
      </c>
      <c r="L290" s="104" t="s">
        <v>66</v>
      </c>
      <c r="M290" s="104" t="s">
        <v>122</v>
      </c>
      <c r="N290" s="104" t="s">
        <v>59</v>
      </c>
      <c r="O290" s="104" t="s">
        <v>169</v>
      </c>
      <c r="P290" s="104"/>
      <c r="Q290" s="104"/>
      <c r="R290" s="104"/>
      <c r="S290" s="104"/>
      <c r="T290" s="104"/>
      <c r="U290" s="104"/>
      <c r="V290" s="104"/>
      <c r="W290" s="104"/>
      <c r="X290" s="104">
        <v>47.8</v>
      </c>
      <c r="Y290" s="104">
        <v>3.1</v>
      </c>
      <c r="Z290" s="104"/>
      <c r="AA290" s="104"/>
      <c r="AB290" s="104"/>
      <c r="AC290" s="104"/>
      <c r="AD290" s="104"/>
      <c r="AE290" s="104"/>
      <c r="AF290" s="104"/>
      <c r="AG290" s="104"/>
      <c r="AH290" s="104"/>
      <c r="AI290" s="104"/>
      <c r="AJ290" s="104"/>
      <c r="AK290" s="104"/>
    </row>
    <row r="291" spans="1:37" x14ac:dyDescent="0.25">
      <c r="A291" s="55">
        <v>120</v>
      </c>
      <c r="B291" s="104" t="s">
        <v>334</v>
      </c>
      <c r="C291" s="116" t="s">
        <v>333</v>
      </c>
      <c r="D291" s="104">
        <v>2022</v>
      </c>
      <c r="E291" s="104" t="s">
        <v>332</v>
      </c>
      <c r="F291" s="104" t="s">
        <v>130</v>
      </c>
      <c r="G291" s="35" t="s">
        <v>178</v>
      </c>
      <c r="H291" s="106">
        <v>22.7</v>
      </c>
      <c r="I291" s="104">
        <v>2.5</v>
      </c>
      <c r="J291" s="104">
        <v>10</v>
      </c>
      <c r="K291" s="104" t="s">
        <v>191</v>
      </c>
      <c r="L291" s="104" t="s">
        <v>66</v>
      </c>
      <c r="M291" s="104" t="s">
        <v>122</v>
      </c>
      <c r="N291" s="104" t="s">
        <v>59</v>
      </c>
      <c r="O291" s="104" t="s">
        <v>169</v>
      </c>
      <c r="P291" s="104"/>
      <c r="Q291" s="104"/>
      <c r="R291" s="104"/>
      <c r="S291" s="104"/>
      <c r="T291" s="104"/>
      <c r="U291" s="104"/>
      <c r="V291" s="104"/>
      <c r="W291" s="104"/>
      <c r="X291" s="104">
        <v>43</v>
      </c>
      <c r="Y291" s="104">
        <v>2.9</v>
      </c>
      <c r="Z291" s="104"/>
      <c r="AA291" s="104"/>
      <c r="AB291" s="104"/>
      <c r="AC291" s="104"/>
      <c r="AD291" s="104"/>
      <c r="AE291" s="104"/>
      <c r="AF291" s="104"/>
      <c r="AG291" s="104"/>
      <c r="AH291" s="104"/>
      <c r="AI291" s="104"/>
      <c r="AJ291" s="104"/>
      <c r="AK291" s="104"/>
    </row>
    <row r="292" spans="1:37" x14ac:dyDescent="0.25">
      <c r="A292" s="55">
        <v>180</v>
      </c>
      <c r="B292" s="104" t="s">
        <v>334</v>
      </c>
      <c r="C292" s="116" t="s">
        <v>333</v>
      </c>
      <c r="D292" s="104">
        <v>2022</v>
      </c>
      <c r="E292" s="104" t="s">
        <v>329</v>
      </c>
      <c r="F292" s="104" t="s">
        <v>130</v>
      </c>
      <c r="G292" s="35" t="s">
        <v>178</v>
      </c>
      <c r="H292" s="106">
        <v>21.9</v>
      </c>
      <c r="I292" s="104">
        <v>2</v>
      </c>
      <c r="J292" s="104">
        <v>10</v>
      </c>
      <c r="K292" s="104" t="s">
        <v>64</v>
      </c>
      <c r="L292" s="104" t="s">
        <v>66</v>
      </c>
      <c r="M292" s="104" t="s">
        <v>122</v>
      </c>
      <c r="N292" s="104" t="s">
        <v>59</v>
      </c>
      <c r="O292" s="104" t="s">
        <v>169</v>
      </c>
      <c r="P292" s="104"/>
      <c r="Q292" s="104"/>
      <c r="R292" s="104"/>
      <c r="S292" s="104"/>
      <c r="T292" s="104"/>
      <c r="U292" s="104"/>
      <c r="V292" s="104"/>
      <c r="W292" s="104"/>
      <c r="X292" s="104">
        <v>40.1</v>
      </c>
      <c r="Y292" s="104">
        <v>3.3</v>
      </c>
      <c r="Z292" s="104"/>
      <c r="AA292" s="104"/>
      <c r="AB292" s="104"/>
      <c r="AC292" s="104"/>
      <c r="AD292" s="104"/>
      <c r="AE292" s="104"/>
      <c r="AF292" s="104"/>
      <c r="AG292" s="104"/>
      <c r="AH292" s="104"/>
      <c r="AI292" s="104"/>
      <c r="AJ292" s="104"/>
      <c r="AK292" s="104"/>
    </row>
    <row r="293" spans="1:37" x14ac:dyDescent="0.25">
      <c r="A293" s="55">
        <v>180</v>
      </c>
      <c r="B293" s="104" t="s">
        <v>334</v>
      </c>
      <c r="C293" s="116" t="s">
        <v>333</v>
      </c>
      <c r="D293" s="104">
        <v>2022</v>
      </c>
      <c r="E293" s="104" t="s">
        <v>329</v>
      </c>
      <c r="F293" s="104" t="s">
        <v>130</v>
      </c>
      <c r="G293" s="35" t="s">
        <v>178</v>
      </c>
      <c r="H293" s="106">
        <v>21.9</v>
      </c>
      <c r="I293" s="104">
        <v>2</v>
      </c>
      <c r="J293" s="104">
        <v>10</v>
      </c>
      <c r="K293" s="104" t="s">
        <v>191</v>
      </c>
      <c r="L293" s="104" t="s">
        <v>66</v>
      </c>
      <c r="M293" s="104" t="s">
        <v>122</v>
      </c>
      <c r="N293" s="104" t="s">
        <v>59</v>
      </c>
      <c r="O293" s="104" t="s">
        <v>169</v>
      </c>
      <c r="P293" s="104"/>
      <c r="Q293" s="104"/>
      <c r="R293" s="104"/>
      <c r="S293" s="104"/>
      <c r="T293" s="104"/>
      <c r="U293" s="104"/>
      <c r="V293" s="104"/>
      <c r="W293" s="104"/>
      <c r="X293" s="104">
        <v>36.9</v>
      </c>
      <c r="Y293" s="104">
        <v>2.6</v>
      </c>
      <c r="Z293" s="104"/>
      <c r="AA293" s="104"/>
      <c r="AB293" s="104"/>
      <c r="AC293" s="104"/>
      <c r="AD293" s="104"/>
      <c r="AE293" s="104"/>
      <c r="AF293" s="104"/>
      <c r="AG293" s="104"/>
      <c r="AH293" s="104"/>
      <c r="AI293" s="104"/>
      <c r="AJ293" s="104"/>
      <c r="AK293" s="104"/>
    </row>
    <row r="294" spans="1:37" x14ac:dyDescent="0.25">
      <c r="A294" s="55">
        <v>180</v>
      </c>
      <c r="B294" s="104" t="s">
        <v>334</v>
      </c>
      <c r="C294" s="116" t="s">
        <v>333</v>
      </c>
      <c r="D294" s="104">
        <v>2022</v>
      </c>
      <c r="E294" s="104" t="s">
        <v>330</v>
      </c>
      <c r="F294" s="104" t="s">
        <v>130</v>
      </c>
      <c r="G294" s="35" t="s">
        <v>178</v>
      </c>
      <c r="H294" s="106">
        <v>22.2</v>
      </c>
      <c r="I294" s="104">
        <v>2.1</v>
      </c>
      <c r="J294" s="104">
        <v>10</v>
      </c>
      <c r="K294" s="104" t="s">
        <v>64</v>
      </c>
      <c r="L294" s="104" t="s">
        <v>66</v>
      </c>
      <c r="M294" s="104" t="s">
        <v>122</v>
      </c>
      <c r="N294" s="104" t="s">
        <v>59</v>
      </c>
      <c r="O294" s="104" t="s">
        <v>169</v>
      </c>
      <c r="P294" s="104"/>
      <c r="Q294" s="104"/>
      <c r="R294" s="104"/>
      <c r="S294" s="104"/>
      <c r="T294" s="104"/>
      <c r="U294" s="104"/>
      <c r="V294" s="104"/>
      <c r="W294" s="104"/>
      <c r="X294" s="104">
        <v>44.8</v>
      </c>
      <c r="Y294" s="104">
        <v>3</v>
      </c>
      <c r="Z294" s="104"/>
      <c r="AA294" s="104"/>
      <c r="AB294" s="104"/>
      <c r="AC294" s="104"/>
      <c r="AD294" s="104"/>
      <c r="AE294" s="104"/>
      <c r="AF294" s="104"/>
      <c r="AG294" s="104"/>
      <c r="AH294" s="104"/>
      <c r="AI294" s="104"/>
      <c r="AJ294" s="104"/>
      <c r="AK294" s="104"/>
    </row>
    <row r="295" spans="1:37" x14ac:dyDescent="0.25">
      <c r="A295" s="55">
        <v>180</v>
      </c>
      <c r="B295" s="104" t="s">
        <v>334</v>
      </c>
      <c r="C295" s="116" t="s">
        <v>333</v>
      </c>
      <c r="D295" s="104">
        <v>2022</v>
      </c>
      <c r="E295" s="104" t="s">
        <v>330</v>
      </c>
      <c r="F295" s="104" t="s">
        <v>130</v>
      </c>
      <c r="G295" s="35" t="s">
        <v>178</v>
      </c>
      <c r="H295" s="106">
        <v>22.2</v>
      </c>
      <c r="I295" s="104">
        <v>2.1</v>
      </c>
      <c r="J295" s="104">
        <v>10</v>
      </c>
      <c r="K295" s="104" t="s">
        <v>191</v>
      </c>
      <c r="L295" s="104" t="s">
        <v>66</v>
      </c>
      <c r="M295" s="104" t="s">
        <v>122</v>
      </c>
      <c r="N295" s="104" t="s">
        <v>59</v>
      </c>
      <c r="O295" s="104" t="s">
        <v>169</v>
      </c>
      <c r="P295" s="104"/>
      <c r="Q295" s="104"/>
      <c r="R295" s="104"/>
      <c r="S295" s="104"/>
      <c r="T295" s="104"/>
      <c r="U295" s="104"/>
      <c r="V295" s="104"/>
      <c r="W295" s="104"/>
      <c r="X295" s="104">
        <v>42.1</v>
      </c>
      <c r="Y295" s="104">
        <v>2.1</v>
      </c>
      <c r="Z295" s="104"/>
      <c r="AA295" s="104"/>
      <c r="AB295" s="104"/>
      <c r="AC295" s="104"/>
      <c r="AD295" s="104"/>
      <c r="AE295" s="104"/>
      <c r="AF295" s="104"/>
      <c r="AG295" s="104"/>
      <c r="AH295" s="104"/>
      <c r="AI295" s="104"/>
      <c r="AJ295" s="104"/>
      <c r="AK295" s="104"/>
    </row>
    <row r="296" spans="1:37" x14ac:dyDescent="0.25">
      <c r="A296" s="55">
        <v>180</v>
      </c>
      <c r="B296" s="104" t="s">
        <v>334</v>
      </c>
      <c r="C296" s="116" t="s">
        <v>333</v>
      </c>
      <c r="D296" s="104">
        <v>2022</v>
      </c>
      <c r="E296" s="104" t="s">
        <v>331</v>
      </c>
      <c r="F296" s="104" t="s">
        <v>130</v>
      </c>
      <c r="G296" s="35" t="s">
        <v>178</v>
      </c>
      <c r="H296" s="106">
        <v>22.5</v>
      </c>
      <c r="I296" s="104">
        <v>2.6</v>
      </c>
      <c r="J296" s="104">
        <v>10</v>
      </c>
      <c r="K296" s="104" t="s">
        <v>64</v>
      </c>
      <c r="L296" s="104" t="s">
        <v>66</v>
      </c>
      <c r="M296" s="104" t="s">
        <v>122</v>
      </c>
      <c r="N296" s="104" t="s">
        <v>59</v>
      </c>
      <c r="O296" s="104" t="s">
        <v>169</v>
      </c>
      <c r="P296" s="104"/>
      <c r="Q296" s="104"/>
      <c r="R296" s="104"/>
      <c r="S296" s="104"/>
      <c r="T296" s="104"/>
      <c r="U296" s="104"/>
      <c r="V296" s="104"/>
      <c r="W296" s="104"/>
      <c r="X296" s="104">
        <v>46.8</v>
      </c>
      <c r="Y296" s="104">
        <v>2</v>
      </c>
      <c r="Z296" s="104"/>
      <c r="AA296" s="104"/>
      <c r="AB296" s="104"/>
      <c r="AC296" s="104"/>
      <c r="AD296" s="104"/>
      <c r="AE296" s="104"/>
      <c r="AF296" s="104"/>
      <c r="AG296" s="104"/>
      <c r="AH296" s="104"/>
      <c r="AI296" s="104"/>
      <c r="AJ296" s="104"/>
      <c r="AK296" s="104"/>
    </row>
    <row r="297" spans="1:37" x14ac:dyDescent="0.25">
      <c r="A297" s="55">
        <v>180</v>
      </c>
      <c r="B297" s="104" t="s">
        <v>334</v>
      </c>
      <c r="C297" s="116" t="s">
        <v>333</v>
      </c>
      <c r="D297" s="104">
        <v>2022</v>
      </c>
      <c r="E297" s="104" t="s">
        <v>331</v>
      </c>
      <c r="F297" s="104" t="s">
        <v>130</v>
      </c>
      <c r="G297" s="35" t="s">
        <v>178</v>
      </c>
      <c r="H297" s="106">
        <v>22.5</v>
      </c>
      <c r="I297" s="104">
        <v>2.6</v>
      </c>
      <c r="J297" s="104">
        <v>10</v>
      </c>
      <c r="K297" s="104" t="s">
        <v>191</v>
      </c>
      <c r="L297" s="104" t="s">
        <v>66</v>
      </c>
      <c r="M297" s="104" t="s">
        <v>122</v>
      </c>
      <c r="N297" s="104" t="s">
        <v>59</v>
      </c>
      <c r="O297" s="104" t="s">
        <v>169</v>
      </c>
      <c r="P297" s="104"/>
      <c r="Q297" s="104"/>
      <c r="R297" s="104"/>
      <c r="S297" s="104"/>
      <c r="T297" s="104"/>
      <c r="U297" s="104"/>
      <c r="V297" s="104"/>
      <c r="W297" s="104"/>
      <c r="X297" s="104">
        <v>44.7</v>
      </c>
      <c r="Y297" s="104">
        <v>2.5</v>
      </c>
      <c r="Z297" s="104"/>
      <c r="AA297" s="104"/>
      <c r="AB297" s="104"/>
      <c r="AC297" s="104"/>
      <c r="AD297" s="104"/>
      <c r="AE297" s="104"/>
      <c r="AF297" s="104"/>
      <c r="AG297" s="104"/>
      <c r="AH297" s="104"/>
      <c r="AI297" s="104"/>
      <c r="AJ297" s="104"/>
      <c r="AK297" s="104"/>
    </row>
    <row r="298" spans="1:37" x14ac:dyDescent="0.25">
      <c r="A298" s="55">
        <v>180</v>
      </c>
      <c r="B298" s="104" t="s">
        <v>334</v>
      </c>
      <c r="C298" s="116" t="s">
        <v>333</v>
      </c>
      <c r="D298" s="104">
        <v>2022</v>
      </c>
      <c r="E298" s="104" t="s">
        <v>332</v>
      </c>
      <c r="F298" s="104" t="s">
        <v>130</v>
      </c>
      <c r="G298" s="35" t="s">
        <v>178</v>
      </c>
      <c r="H298" s="106">
        <v>22.7</v>
      </c>
      <c r="I298" s="104">
        <v>2.5</v>
      </c>
      <c r="J298" s="104">
        <v>10</v>
      </c>
      <c r="K298" s="104" t="s">
        <v>64</v>
      </c>
      <c r="L298" s="104" t="s">
        <v>66</v>
      </c>
      <c r="M298" s="104" t="s">
        <v>122</v>
      </c>
      <c r="N298" s="104" t="s">
        <v>59</v>
      </c>
      <c r="O298" s="104" t="s">
        <v>169</v>
      </c>
      <c r="P298" s="104"/>
      <c r="Q298" s="104"/>
      <c r="R298" s="104"/>
      <c r="S298" s="104"/>
      <c r="T298" s="104"/>
      <c r="U298" s="104"/>
      <c r="V298" s="104"/>
      <c r="W298" s="104"/>
      <c r="X298" s="104">
        <v>31.9</v>
      </c>
      <c r="Y298" s="104">
        <v>1.9</v>
      </c>
      <c r="Z298" s="104"/>
      <c r="AA298" s="104"/>
      <c r="AB298" s="104"/>
      <c r="AC298" s="104"/>
      <c r="AD298" s="104"/>
      <c r="AE298" s="104"/>
      <c r="AF298" s="104"/>
      <c r="AG298" s="104"/>
      <c r="AH298" s="104"/>
      <c r="AI298" s="104"/>
      <c r="AJ298" s="104"/>
      <c r="AK298" s="104"/>
    </row>
    <row r="299" spans="1:37" x14ac:dyDescent="0.25">
      <c r="A299" s="55">
        <v>180</v>
      </c>
      <c r="B299" s="104" t="s">
        <v>334</v>
      </c>
      <c r="C299" s="116" t="s">
        <v>333</v>
      </c>
      <c r="D299" s="104">
        <v>2022</v>
      </c>
      <c r="E299" s="104" t="s">
        <v>332</v>
      </c>
      <c r="F299" s="104" t="s">
        <v>130</v>
      </c>
      <c r="G299" s="35" t="s">
        <v>178</v>
      </c>
      <c r="H299" s="106">
        <v>22.7</v>
      </c>
      <c r="I299" s="104">
        <v>2.5</v>
      </c>
      <c r="J299" s="104">
        <v>10</v>
      </c>
      <c r="K299" s="104" t="s">
        <v>191</v>
      </c>
      <c r="L299" s="104" t="s">
        <v>66</v>
      </c>
      <c r="M299" s="104" t="s">
        <v>122</v>
      </c>
      <c r="N299" s="104" t="s">
        <v>59</v>
      </c>
      <c r="O299" s="104" t="s">
        <v>169</v>
      </c>
      <c r="P299" s="104"/>
      <c r="Q299" s="104"/>
      <c r="R299" s="104"/>
      <c r="S299" s="104"/>
      <c r="T299" s="104"/>
      <c r="U299" s="104"/>
      <c r="V299" s="104"/>
      <c r="W299" s="104"/>
      <c r="X299" s="104">
        <v>39.4</v>
      </c>
      <c r="Y299" s="104">
        <v>2</v>
      </c>
      <c r="Z299" s="104"/>
      <c r="AA299" s="104"/>
      <c r="AB299" s="104"/>
      <c r="AC299" s="104"/>
      <c r="AD299" s="104"/>
      <c r="AE299" s="104"/>
      <c r="AF299" s="104"/>
      <c r="AG299" s="104"/>
      <c r="AH299" s="104"/>
      <c r="AI299" s="104"/>
      <c r="AJ299" s="104"/>
      <c r="AK299" s="104"/>
    </row>
    <row r="300" spans="1:37" x14ac:dyDescent="0.25">
      <c r="A300" s="55">
        <v>60</v>
      </c>
      <c r="B300" s="104" t="s">
        <v>334</v>
      </c>
      <c r="C300" s="116" t="s">
        <v>333</v>
      </c>
      <c r="D300" s="104">
        <v>2022</v>
      </c>
      <c r="E300" s="104" t="s">
        <v>329</v>
      </c>
      <c r="F300" s="104" t="s">
        <v>130</v>
      </c>
      <c r="G300" s="35" t="s">
        <v>178</v>
      </c>
      <c r="H300" s="106">
        <v>21.9</v>
      </c>
      <c r="I300" s="104">
        <v>2</v>
      </c>
      <c r="J300" s="104">
        <v>10</v>
      </c>
      <c r="K300" s="104" t="s">
        <v>64</v>
      </c>
      <c r="L300" s="104" t="s">
        <v>66</v>
      </c>
      <c r="M300" s="104" t="s">
        <v>122</v>
      </c>
      <c r="N300" s="104" t="s">
        <v>59</v>
      </c>
      <c r="O300" s="104" t="s">
        <v>169</v>
      </c>
      <c r="P300" s="104"/>
      <c r="Q300" s="104"/>
      <c r="R300" s="104"/>
      <c r="S300" s="104"/>
      <c r="T300" s="104"/>
      <c r="U300" s="104"/>
      <c r="V300" s="104"/>
      <c r="W300" s="104"/>
      <c r="X300" s="104"/>
      <c r="Y300" s="104"/>
      <c r="Z300" s="104">
        <v>40.299999999999997</v>
      </c>
      <c r="AA300" s="104">
        <v>4.5999999999999996</v>
      </c>
      <c r="AB300" s="104"/>
      <c r="AC300" s="104"/>
      <c r="AD300" s="104"/>
      <c r="AE300" s="104"/>
      <c r="AF300" s="104"/>
      <c r="AG300" s="104"/>
      <c r="AH300" s="104"/>
      <c r="AI300" s="104"/>
      <c r="AJ300" s="104"/>
      <c r="AK300" s="104"/>
    </row>
    <row r="301" spans="1:37" x14ac:dyDescent="0.25">
      <c r="A301" s="55">
        <v>60</v>
      </c>
      <c r="B301" s="104" t="s">
        <v>334</v>
      </c>
      <c r="C301" s="116" t="s">
        <v>333</v>
      </c>
      <c r="D301" s="104">
        <v>2022</v>
      </c>
      <c r="E301" s="104" t="s">
        <v>329</v>
      </c>
      <c r="F301" s="104" t="s">
        <v>130</v>
      </c>
      <c r="G301" s="35" t="s">
        <v>178</v>
      </c>
      <c r="H301" s="106">
        <v>21.9</v>
      </c>
      <c r="I301" s="104">
        <v>2</v>
      </c>
      <c r="J301" s="104">
        <v>10</v>
      </c>
      <c r="K301" s="104" t="s">
        <v>191</v>
      </c>
      <c r="L301" s="104" t="s">
        <v>66</v>
      </c>
      <c r="M301" s="104" t="s">
        <v>67</v>
      </c>
      <c r="N301" s="104" t="s">
        <v>59</v>
      </c>
      <c r="O301" s="104" t="s">
        <v>169</v>
      </c>
      <c r="P301" s="104"/>
      <c r="Q301" s="104"/>
      <c r="R301" s="104"/>
      <c r="S301" s="104"/>
      <c r="T301" s="104"/>
      <c r="U301" s="104"/>
      <c r="V301" s="104"/>
      <c r="W301" s="104"/>
      <c r="X301" s="104"/>
      <c r="Y301" s="104"/>
      <c r="Z301" s="104">
        <v>34.6</v>
      </c>
      <c r="AA301" s="104">
        <v>3.7</v>
      </c>
      <c r="AB301" s="104"/>
      <c r="AC301" s="104"/>
      <c r="AD301" s="104"/>
      <c r="AE301" s="104"/>
      <c r="AF301" s="104"/>
      <c r="AG301" s="104"/>
      <c r="AH301" s="104"/>
      <c r="AI301" s="104"/>
      <c r="AJ301" s="104"/>
      <c r="AK301" s="104"/>
    </row>
    <row r="302" spans="1:37" x14ac:dyDescent="0.25">
      <c r="A302" s="55">
        <v>60</v>
      </c>
      <c r="B302" s="104" t="s">
        <v>334</v>
      </c>
      <c r="C302" s="116" t="s">
        <v>333</v>
      </c>
      <c r="D302" s="104">
        <v>2022</v>
      </c>
      <c r="E302" s="104" t="s">
        <v>330</v>
      </c>
      <c r="F302" s="104" t="s">
        <v>130</v>
      </c>
      <c r="G302" s="35" t="s">
        <v>178</v>
      </c>
      <c r="H302" s="106">
        <v>22.2</v>
      </c>
      <c r="I302" s="104">
        <v>2.1</v>
      </c>
      <c r="J302" s="104">
        <v>10</v>
      </c>
      <c r="K302" s="104" t="s">
        <v>64</v>
      </c>
      <c r="L302" s="104" t="s">
        <v>66</v>
      </c>
      <c r="M302" s="104" t="s">
        <v>67</v>
      </c>
      <c r="N302" s="104" t="s">
        <v>59</v>
      </c>
      <c r="O302" s="104" t="s">
        <v>169</v>
      </c>
      <c r="P302" s="104"/>
      <c r="Q302" s="104"/>
      <c r="R302" s="104"/>
      <c r="S302" s="104"/>
      <c r="T302" s="104"/>
      <c r="U302" s="104"/>
      <c r="V302" s="104"/>
      <c r="W302" s="104"/>
      <c r="X302" s="104"/>
      <c r="Y302" s="104"/>
      <c r="Z302" s="104">
        <v>42.9</v>
      </c>
      <c r="AA302" s="104">
        <v>3.8</v>
      </c>
      <c r="AB302" s="104"/>
      <c r="AC302" s="104"/>
      <c r="AD302" s="104"/>
      <c r="AE302" s="104"/>
      <c r="AF302" s="104"/>
      <c r="AG302" s="104"/>
      <c r="AH302" s="104"/>
      <c r="AI302" s="104"/>
      <c r="AJ302" s="104"/>
      <c r="AK302" s="104"/>
    </row>
    <row r="303" spans="1:37" x14ac:dyDescent="0.25">
      <c r="A303" s="55">
        <v>60</v>
      </c>
      <c r="B303" s="104" t="s">
        <v>334</v>
      </c>
      <c r="C303" s="116" t="s">
        <v>333</v>
      </c>
      <c r="D303" s="104">
        <v>2022</v>
      </c>
      <c r="E303" s="104" t="s">
        <v>330</v>
      </c>
      <c r="F303" s="104" t="s">
        <v>130</v>
      </c>
      <c r="G303" s="35" t="s">
        <v>178</v>
      </c>
      <c r="H303" s="106">
        <v>22.2</v>
      </c>
      <c r="I303" s="104">
        <v>2.1</v>
      </c>
      <c r="J303" s="104">
        <v>10</v>
      </c>
      <c r="K303" s="104" t="s">
        <v>191</v>
      </c>
      <c r="L303" s="104" t="s">
        <v>66</v>
      </c>
      <c r="M303" s="104" t="s">
        <v>67</v>
      </c>
      <c r="N303" s="104" t="s">
        <v>59</v>
      </c>
      <c r="O303" s="104" t="s">
        <v>169</v>
      </c>
      <c r="P303" s="104"/>
      <c r="Q303" s="104"/>
      <c r="R303" s="104"/>
      <c r="S303" s="104"/>
      <c r="T303" s="104"/>
      <c r="U303" s="104"/>
      <c r="V303" s="104"/>
      <c r="W303" s="104"/>
      <c r="X303" s="104"/>
      <c r="Y303" s="104"/>
      <c r="Z303" s="104">
        <v>38.1</v>
      </c>
      <c r="AA303" s="104">
        <v>3.9</v>
      </c>
      <c r="AB303" s="104"/>
      <c r="AC303" s="104"/>
      <c r="AD303" s="104"/>
      <c r="AE303" s="104"/>
      <c r="AF303" s="104"/>
      <c r="AG303" s="104"/>
      <c r="AH303" s="104"/>
      <c r="AI303" s="104"/>
      <c r="AJ303" s="104"/>
      <c r="AK303" s="104"/>
    </row>
    <row r="304" spans="1:37" x14ac:dyDescent="0.25">
      <c r="A304" s="55">
        <v>60</v>
      </c>
      <c r="B304" s="104" t="s">
        <v>334</v>
      </c>
      <c r="C304" s="116" t="s">
        <v>333</v>
      </c>
      <c r="D304" s="104">
        <v>2022</v>
      </c>
      <c r="E304" s="104" t="s">
        <v>331</v>
      </c>
      <c r="F304" s="104" t="s">
        <v>130</v>
      </c>
      <c r="G304" s="35" t="s">
        <v>178</v>
      </c>
      <c r="H304" s="106">
        <v>22.5</v>
      </c>
      <c r="I304" s="104">
        <v>2.6</v>
      </c>
      <c r="J304" s="104">
        <v>10</v>
      </c>
      <c r="K304" s="104" t="s">
        <v>64</v>
      </c>
      <c r="L304" s="104" t="s">
        <v>66</v>
      </c>
      <c r="M304" s="104" t="s">
        <v>67</v>
      </c>
      <c r="N304" s="104" t="s">
        <v>59</v>
      </c>
      <c r="O304" s="104" t="s">
        <v>169</v>
      </c>
      <c r="P304" s="104"/>
      <c r="Q304" s="104"/>
      <c r="R304" s="104"/>
      <c r="S304" s="104"/>
      <c r="T304" s="104"/>
      <c r="U304" s="104"/>
      <c r="V304" s="104"/>
      <c r="W304" s="104"/>
      <c r="X304" s="104"/>
      <c r="Y304" s="104"/>
      <c r="Z304" s="104">
        <v>45.5</v>
      </c>
      <c r="AA304" s="104">
        <v>6.5</v>
      </c>
      <c r="AB304" s="104"/>
      <c r="AC304" s="104"/>
      <c r="AD304" s="104"/>
      <c r="AE304" s="104"/>
      <c r="AF304" s="104"/>
      <c r="AG304" s="104"/>
      <c r="AH304" s="104"/>
      <c r="AI304" s="104"/>
      <c r="AJ304" s="104"/>
      <c r="AK304" s="104"/>
    </row>
    <row r="305" spans="1:37" x14ac:dyDescent="0.25">
      <c r="A305" s="55">
        <v>60</v>
      </c>
      <c r="B305" s="104" t="s">
        <v>334</v>
      </c>
      <c r="C305" s="116" t="s">
        <v>333</v>
      </c>
      <c r="D305" s="104">
        <v>2022</v>
      </c>
      <c r="E305" s="104" t="s">
        <v>331</v>
      </c>
      <c r="F305" s="104" t="s">
        <v>130</v>
      </c>
      <c r="G305" s="35" t="s">
        <v>178</v>
      </c>
      <c r="H305" s="106">
        <v>22.5</v>
      </c>
      <c r="I305" s="104">
        <v>2.6</v>
      </c>
      <c r="J305" s="104">
        <v>10</v>
      </c>
      <c r="K305" s="104" t="s">
        <v>191</v>
      </c>
      <c r="L305" s="104" t="s">
        <v>66</v>
      </c>
      <c r="M305" s="104" t="s">
        <v>67</v>
      </c>
      <c r="N305" s="104" t="s">
        <v>59</v>
      </c>
      <c r="O305" s="104" t="s">
        <v>169</v>
      </c>
      <c r="P305" s="104"/>
      <c r="Q305" s="104"/>
      <c r="R305" s="104"/>
      <c r="S305" s="104"/>
      <c r="T305" s="104"/>
      <c r="U305" s="104"/>
      <c r="V305" s="104"/>
      <c r="W305" s="104"/>
      <c r="X305" s="104"/>
      <c r="Y305" s="104"/>
      <c r="Z305" s="104">
        <v>42.2</v>
      </c>
      <c r="AA305" s="104">
        <v>7.6</v>
      </c>
      <c r="AB305" s="104"/>
      <c r="AC305" s="104"/>
      <c r="AD305" s="104"/>
      <c r="AE305" s="104"/>
      <c r="AF305" s="104"/>
      <c r="AG305" s="104"/>
      <c r="AH305" s="104"/>
      <c r="AI305" s="104"/>
      <c r="AJ305" s="104"/>
      <c r="AK305" s="104"/>
    </row>
    <row r="306" spans="1:37" x14ac:dyDescent="0.25">
      <c r="A306" s="55">
        <v>60</v>
      </c>
      <c r="B306" s="104" t="s">
        <v>334</v>
      </c>
      <c r="C306" s="116" t="s">
        <v>333</v>
      </c>
      <c r="D306" s="104">
        <v>2022</v>
      </c>
      <c r="E306" s="104" t="s">
        <v>332</v>
      </c>
      <c r="F306" s="104" t="s">
        <v>130</v>
      </c>
      <c r="G306" s="35" t="s">
        <v>178</v>
      </c>
      <c r="H306" s="106">
        <v>22.7</v>
      </c>
      <c r="I306" s="104">
        <v>2.5</v>
      </c>
      <c r="J306" s="104">
        <v>10</v>
      </c>
      <c r="K306" s="104" t="s">
        <v>64</v>
      </c>
      <c r="L306" s="104" t="s">
        <v>66</v>
      </c>
      <c r="M306" s="104" t="s">
        <v>67</v>
      </c>
      <c r="N306" s="104" t="s">
        <v>59</v>
      </c>
      <c r="O306" s="104" t="s">
        <v>169</v>
      </c>
      <c r="P306" s="104"/>
      <c r="Q306" s="104"/>
      <c r="R306" s="104"/>
      <c r="S306" s="104"/>
      <c r="T306" s="104"/>
      <c r="U306" s="104"/>
      <c r="V306" s="104"/>
      <c r="W306" s="104"/>
      <c r="X306" s="104"/>
      <c r="Y306" s="104"/>
      <c r="Z306" s="104">
        <v>41.8</v>
      </c>
      <c r="AA306" s="104">
        <v>4.0999999999999996</v>
      </c>
      <c r="AB306" s="104"/>
      <c r="AC306" s="104"/>
      <c r="AD306" s="104"/>
      <c r="AE306" s="104"/>
      <c r="AF306" s="104"/>
      <c r="AG306" s="104"/>
      <c r="AH306" s="104"/>
      <c r="AI306" s="104"/>
      <c r="AJ306" s="104"/>
      <c r="AK306" s="104"/>
    </row>
    <row r="307" spans="1:37" x14ac:dyDescent="0.25">
      <c r="A307" s="55">
        <v>60</v>
      </c>
      <c r="B307" s="104" t="s">
        <v>334</v>
      </c>
      <c r="C307" s="116" t="s">
        <v>333</v>
      </c>
      <c r="D307" s="104">
        <v>2022</v>
      </c>
      <c r="E307" s="104" t="s">
        <v>332</v>
      </c>
      <c r="F307" s="104" t="s">
        <v>130</v>
      </c>
      <c r="G307" s="35" t="s">
        <v>178</v>
      </c>
      <c r="H307" s="106">
        <v>22.7</v>
      </c>
      <c r="I307" s="104">
        <v>2.5</v>
      </c>
      <c r="J307" s="104">
        <v>10</v>
      </c>
      <c r="K307" s="104" t="s">
        <v>191</v>
      </c>
      <c r="L307" s="104" t="s">
        <v>66</v>
      </c>
      <c r="M307" s="104" t="s">
        <v>67</v>
      </c>
      <c r="N307" s="104" t="s">
        <v>59</v>
      </c>
      <c r="O307" s="104" t="s">
        <v>169</v>
      </c>
      <c r="P307" s="104"/>
      <c r="Q307" s="104"/>
      <c r="R307" s="104"/>
      <c r="S307" s="104"/>
      <c r="T307" s="104"/>
      <c r="U307" s="104"/>
      <c r="V307" s="104"/>
      <c r="W307" s="104"/>
      <c r="X307" s="104"/>
      <c r="Y307" s="104"/>
      <c r="Z307" s="104">
        <v>36.5</v>
      </c>
      <c r="AA307" s="104">
        <v>3.9</v>
      </c>
      <c r="AB307" s="104"/>
      <c r="AC307" s="104"/>
      <c r="AD307" s="104"/>
      <c r="AE307" s="104"/>
      <c r="AF307" s="104"/>
      <c r="AG307" s="104"/>
      <c r="AH307" s="104"/>
      <c r="AI307" s="104"/>
      <c r="AJ307" s="104"/>
      <c r="AK307" s="104"/>
    </row>
    <row r="308" spans="1:37" x14ac:dyDescent="0.25">
      <c r="A308" s="55">
        <v>120</v>
      </c>
      <c r="B308" s="104" t="s">
        <v>334</v>
      </c>
      <c r="C308" s="116" t="s">
        <v>333</v>
      </c>
      <c r="D308" s="104">
        <v>2022</v>
      </c>
      <c r="E308" s="104" t="s">
        <v>329</v>
      </c>
      <c r="F308" s="104" t="s">
        <v>130</v>
      </c>
      <c r="G308" s="35" t="s">
        <v>178</v>
      </c>
      <c r="H308" s="106">
        <v>21.9</v>
      </c>
      <c r="I308" s="104">
        <v>2</v>
      </c>
      <c r="J308" s="104">
        <v>10</v>
      </c>
      <c r="K308" s="104" t="s">
        <v>64</v>
      </c>
      <c r="L308" s="104" t="s">
        <v>66</v>
      </c>
      <c r="M308" s="104" t="s">
        <v>67</v>
      </c>
      <c r="N308" s="104" t="s">
        <v>59</v>
      </c>
      <c r="O308" s="104" t="s">
        <v>169</v>
      </c>
      <c r="P308" s="104"/>
      <c r="Q308" s="104"/>
      <c r="R308" s="104"/>
      <c r="S308" s="104"/>
      <c r="T308" s="104"/>
      <c r="U308" s="104"/>
      <c r="V308" s="104"/>
      <c r="W308" s="104"/>
      <c r="X308" s="104"/>
      <c r="Y308" s="104"/>
      <c r="Z308" s="104">
        <v>33.5</v>
      </c>
      <c r="AA308" s="104">
        <v>3</v>
      </c>
      <c r="AB308" s="104"/>
      <c r="AC308" s="104"/>
      <c r="AD308" s="104"/>
      <c r="AE308" s="104"/>
      <c r="AF308" s="104"/>
      <c r="AG308" s="104"/>
      <c r="AH308" s="104"/>
      <c r="AI308" s="104"/>
      <c r="AJ308" s="104"/>
      <c r="AK308" s="104"/>
    </row>
    <row r="309" spans="1:37" x14ac:dyDescent="0.25">
      <c r="A309" s="55">
        <v>120</v>
      </c>
      <c r="B309" s="104" t="s">
        <v>334</v>
      </c>
      <c r="C309" s="116" t="s">
        <v>333</v>
      </c>
      <c r="D309" s="104">
        <v>2022</v>
      </c>
      <c r="E309" s="104" t="s">
        <v>329</v>
      </c>
      <c r="F309" s="104" t="s">
        <v>130</v>
      </c>
      <c r="G309" s="35" t="s">
        <v>178</v>
      </c>
      <c r="H309" s="106">
        <v>21.9</v>
      </c>
      <c r="I309" s="104">
        <v>2</v>
      </c>
      <c r="J309" s="104">
        <v>10</v>
      </c>
      <c r="K309" s="104" t="s">
        <v>191</v>
      </c>
      <c r="L309" s="104" t="s">
        <v>66</v>
      </c>
      <c r="M309" s="104" t="s">
        <v>67</v>
      </c>
      <c r="N309" s="104" t="s">
        <v>59</v>
      </c>
      <c r="O309" s="104" t="s">
        <v>169</v>
      </c>
      <c r="P309" s="104"/>
      <c r="Q309" s="104"/>
      <c r="R309" s="104"/>
      <c r="S309" s="104"/>
      <c r="T309" s="104"/>
      <c r="U309" s="104"/>
      <c r="V309" s="104"/>
      <c r="W309" s="104"/>
      <c r="X309" s="104"/>
      <c r="Y309" s="104"/>
      <c r="Z309" s="104">
        <v>30.8</v>
      </c>
      <c r="AA309" s="104">
        <v>2.8</v>
      </c>
      <c r="AB309" s="104"/>
      <c r="AC309" s="104"/>
      <c r="AD309" s="104"/>
      <c r="AE309" s="104"/>
      <c r="AF309" s="104"/>
      <c r="AG309" s="104"/>
      <c r="AH309" s="104"/>
      <c r="AI309" s="104"/>
      <c r="AJ309" s="104"/>
      <c r="AK309" s="104"/>
    </row>
    <row r="310" spans="1:37" x14ac:dyDescent="0.25">
      <c r="A310" s="55">
        <v>120</v>
      </c>
      <c r="B310" s="104" t="s">
        <v>334</v>
      </c>
      <c r="C310" s="116" t="s">
        <v>333</v>
      </c>
      <c r="D310" s="104">
        <v>2022</v>
      </c>
      <c r="E310" s="104" t="s">
        <v>330</v>
      </c>
      <c r="F310" s="104" t="s">
        <v>130</v>
      </c>
      <c r="G310" s="35" t="s">
        <v>178</v>
      </c>
      <c r="H310" s="106">
        <v>22.2</v>
      </c>
      <c r="I310" s="104">
        <v>2.1</v>
      </c>
      <c r="J310" s="104">
        <v>10</v>
      </c>
      <c r="K310" s="104" t="s">
        <v>64</v>
      </c>
      <c r="L310" s="104" t="s">
        <v>66</v>
      </c>
      <c r="M310" s="104" t="s">
        <v>67</v>
      </c>
      <c r="N310" s="104" t="s">
        <v>59</v>
      </c>
      <c r="O310" s="104" t="s">
        <v>169</v>
      </c>
      <c r="P310" s="104"/>
      <c r="Q310" s="104"/>
      <c r="R310" s="104"/>
      <c r="S310" s="104"/>
      <c r="T310" s="104"/>
      <c r="U310" s="104"/>
      <c r="V310" s="104"/>
      <c r="W310" s="104"/>
      <c r="X310" s="104"/>
      <c r="Y310" s="104"/>
      <c r="Z310" s="104">
        <v>37.4</v>
      </c>
      <c r="AA310" s="104">
        <v>2.5</v>
      </c>
      <c r="AB310" s="104"/>
      <c r="AC310" s="104"/>
      <c r="AD310" s="104"/>
      <c r="AE310" s="104"/>
      <c r="AF310" s="104"/>
      <c r="AG310" s="104"/>
      <c r="AH310" s="104"/>
      <c r="AI310" s="104"/>
      <c r="AJ310" s="104"/>
      <c r="AK310" s="104"/>
    </row>
    <row r="311" spans="1:37" x14ac:dyDescent="0.25">
      <c r="A311" s="55">
        <v>120</v>
      </c>
      <c r="B311" s="104" t="s">
        <v>334</v>
      </c>
      <c r="C311" s="116" t="s">
        <v>333</v>
      </c>
      <c r="D311" s="104">
        <v>2022</v>
      </c>
      <c r="E311" s="104" t="s">
        <v>330</v>
      </c>
      <c r="F311" s="104" t="s">
        <v>130</v>
      </c>
      <c r="G311" s="35" t="s">
        <v>178</v>
      </c>
      <c r="H311" s="106">
        <v>22.2</v>
      </c>
      <c r="I311" s="104">
        <v>2.1</v>
      </c>
      <c r="J311" s="104">
        <v>10</v>
      </c>
      <c r="K311" s="104" t="s">
        <v>191</v>
      </c>
      <c r="L311" s="104" t="s">
        <v>66</v>
      </c>
      <c r="M311" s="104" t="s">
        <v>67</v>
      </c>
      <c r="N311" s="104" t="s">
        <v>59</v>
      </c>
      <c r="O311" s="104" t="s">
        <v>169</v>
      </c>
      <c r="P311" s="104"/>
      <c r="Q311" s="104"/>
      <c r="R311" s="104"/>
      <c r="S311" s="104"/>
      <c r="T311" s="104"/>
      <c r="U311" s="104"/>
      <c r="V311" s="104"/>
      <c r="W311" s="104"/>
      <c r="X311" s="104"/>
      <c r="Y311" s="104"/>
      <c r="Z311" s="104">
        <v>34.200000000000003</v>
      </c>
      <c r="AA311" s="104">
        <v>2.6</v>
      </c>
      <c r="AB311" s="104"/>
      <c r="AC311" s="104"/>
      <c r="AD311" s="104"/>
      <c r="AE311" s="104"/>
      <c r="AF311" s="104"/>
      <c r="AG311" s="104"/>
      <c r="AH311" s="104"/>
      <c r="AI311" s="104"/>
      <c r="AJ311" s="104"/>
      <c r="AK311" s="104"/>
    </row>
    <row r="312" spans="1:37" x14ac:dyDescent="0.25">
      <c r="A312" s="55">
        <v>120</v>
      </c>
      <c r="B312" s="104" t="s">
        <v>334</v>
      </c>
      <c r="C312" s="116" t="s">
        <v>333</v>
      </c>
      <c r="D312" s="104">
        <v>2022</v>
      </c>
      <c r="E312" s="104" t="s">
        <v>331</v>
      </c>
      <c r="F312" s="104" t="s">
        <v>130</v>
      </c>
      <c r="G312" s="35" t="s">
        <v>178</v>
      </c>
      <c r="H312" s="106">
        <v>22.5</v>
      </c>
      <c r="I312" s="104">
        <v>2.6</v>
      </c>
      <c r="J312" s="104">
        <v>10</v>
      </c>
      <c r="K312" s="104" t="s">
        <v>64</v>
      </c>
      <c r="L312" s="104" t="s">
        <v>66</v>
      </c>
      <c r="M312" s="104" t="s">
        <v>67</v>
      </c>
      <c r="N312" s="104" t="s">
        <v>59</v>
      </c>
      <c r="O312" s="104" t="s">
        <v>169</v>
      </c>
      <c r="P312" s="104"/>
      <c r="Q312" s="104"/>
      <c r="R312" s="104"/>
      <c r="S312" s="104"/>
      <c r="T312" s="104"/>
      <c r="U312" s="104"/>
      <c r="V312" s="104"/>
      <c r="W312" s="104"/>
      <c r="X312" s="104"/>
      <c r="Y312" s="104"/>
      <c r="Z312" s="104">
        <v>39</v>
      </c>
      <c r="AA312" s="104">
        <v>4.7</v>
      </c>
      <c r="AB312" s="104"/>
      <c r="AC312" s="104"/>
      <c r="AD312" s="104"/>
      <c r="AE312" s="104"/>
      <c r="AF312" s="104"/>
      <c r="AG312" s="104"/>
      <c r="AH312" s="104"/>
      <c r="AI312" s="104"/>
      <c r="AJ312" s="104"/>
      <c r="AK312" s="104"/>
    </row>
    <row r="313" spans="1:37" x14ac:dyDescent="0.25">
      <c r="A313" s="55">
        <v>120</v>
      </c>
      <c r="B313" s="104" t="s">
        <v>334</v>
      </c>
      <c r="C313" s="116" t="s">
        <v>333</v>
      </c>
      <c r="D313" s="104">
        <v>2022</v>
      </c>
      <c r="E313" s="104" t="s">
        <v>331</v>
      </c>
      <c r="F313" s="104" t="s">
        <v>130</v>
      </c>
      <c r="G313" s="35" t="s">
        <v>178</v>
      </c>
      <c r="H313" s="106">
        <v>22.5</v>
      </c>
      <c r="I313" s="104">
        <v>2.6</v>
      </c>
      <c r="J313" s="104">
        <v>10</v>
      </c>
      <c r="K313" s="104" t="s">
        <v>191</v>
      </c>
      <c r="L313" s="104" t="s">
        <v>66</v>
      </c>
      <c r="M313" s="104" t="s">
        <v>67</v>
      </c>
      <c r="N313" s="104" t="s">
        <v>59</v>
      </c>
      <c r="O313" s="104" t="s">
        <v>169</v>
      </c>
      <c r="P313" s="104"/>
      <c r="Q313" s="104"/>
      <c r="R313" s="104"/>
      <c r="S313" s="104"/>
      <c r="T313" s="104"/>
      <c r="U313" s="104"/>
      <c r="V313" s="104"/>
      <c r="W313" s="104"/>
      <c r="X313" s="104"/>
      <c r="Y313" s="104"/>
      <c r="Z313" s="104">
        <v>35</v>
      </c>
      <c r="AA313" s="104">
        <v>4</v>
      </c>
      <c r="AB313" s="104"/>
      <c r="AC313" s="104"/>
      <c r="AD313" s="104"/>
      <c r="AE313" s="104"/>
      <c r="AF313" s="104"/>
      <c r="AG313" s="104"/>
      <c r="AH313" s="104"/>
      <c r="AI313" s="104"/>
      <c r="AJ313" s="104"/>
      <c r="AK313" s="104"/>
    </row>
    <row r="314" spans="1:37" x14ac:dyDescent="0.25">
      <c r="A314" s="55">
        <v>120</v>
      </c>
      <c r="B314" s="104" t="s">
        <v>334</v>
      </c>
      <c r="C314" s="116" t="s">
        <v>333</v>
      </c>
      <c r="D314" s="104">
        <v>2022</v>
      </c>
      <c r="E314" s="104" t="s">
        <v>332</v>
      </c>
      <c r="F314" s="104" t="s">
        <v>130</v>
      </c>
      <c r="G314" s="35" t="s">
        <v>178</v>
      </c>
      <c r="H314" s="106">
        <v>22.7</v>
      </c>
      <c r="I314" s="104">
        <v>2.5</v>
      </c>
      <c r="J314" s="104">
        <v>10</v>
      </c>
      <c r="K314" s="104" t="s">
        <v>64</v>
      </c>
      <c r="L314" s="104" t="s">
        <v>66</v>
      </c>
      <c r="M314" s="104" t="s">
        <v>67</v>
      </c>
      <c r="N314" s="104" t="s">
        <v>59</v>
      </c>
      <c r="O314" s="104" t="s">
        <v>169</v>
      </c>
      <c r="P314" s="104"/>
      <c r="Q314" s="104"/>
      <c r="R314" s="104"/>
      <c r="S314" s="104"/>
      <c r="T314" s="104"/>
      <c r="U314" s="104"/>
      <c r="V314" s="104"/>
      <c r="W314" s="104"/>
      <c r="X314" s="104"/>
      <c r="Y314" s="104"/>
      <c r="Z314" s="104">
        <v>34.200000000000003</v>
      </c>
      <c r="AA314" s="104">
        <v>2.4</v>
      </c>
      <c r="AB314" s="104"/>
      <c r="AC314" s="104"/>
      <c r="AD314" s="104"/>
      <c r="AE314" s="104"/>
      <c r="AF314" s="104"/>
      <c r="AG314" s="104"/>
      <c r="AH314" s="104"/>
      <c r="AI314" s="104"/>
      <c r="AJ314" s="104"/>
      <c r="AK314" s="104"/>
    </row>
    <row r="315" spans="1:37" x14ac:dyDescent="0.25">
      <c r="A315" s="55">
        <v>120</v>
      </c>
      <c r="B315" s="104" t="s">
        <v>334</v>
      </c>
      <c r="C315" s="116" t="s">
        <v>333</v>
      </c>
      <c r="D315" s="104">
        <v>2022</v>
      </c>
      <c r="E315" s="104" t="s">
        <v>332</v>
      </c>
      <c r="F315" s="104" t="s">
        <v>130</v>
      </c>
      <c r="G315" s="35" t="s">
        <v>178</v>
      </c>
      <c r="H315" s="106">
        <v>22.7</v>
      </c>
      <c r="I315" s="104">
        <v>2.5</v>
      </c>
      <c r="J315" s="104">
        <v>10</v>
      </c>
      <c r="K315" s="104" t="s">
        <v>191</v>
      </c>
      <c r="L315" s="104" t="s">
        <v>66</v>
      </c>
      <c r="M315" s="104" t="s">
        <v>67</v>
      </c>
      <c r="N315" s="104" t="s">
        <v>59</v>
      </c>
      <c r="O315" s="104" t="s">
        <v>169</v>
      </c>
      <c r="P315" s="104"/>
      <c r="Q315" s="104"/>
      <c r="R315" s="104"/>
      <c r="S315" s="104"/>
      <c r="T315" s="104"/>
      <c r="U315" s="104"/>
      <c r="V315" s="104"/>
      <c r="W315" s="104"/>
      <c r="X315" s="104"/>
      <c r="Y315" s="104"/>
      <c r="Z315" s="104">
        <v>32.200000000000003</v>
      </c>
      <c r="AA315" s="104">
        <v>2.2999999999999998</v>
      </c>
      <c r="AB315" s="104"/>
      <c r="AC315" s="104"/>
      <c r="AD315" s="104"/>
      <c r="AE315" s="104"/>
      <c r="AF315" s="104"/>
      <c r="AG315" s="104"/>
      <c r="AH315" s="104"/>
      <c r="AI315" s="104"/>
      <c r="AJ315" s="104"/>
      <c r="AK315" s="104"/>
    </row>
    <row r="316" spans="1:37" x14ac:dyDescent="0.25">
      <c r="A316" s="55">
        <v>180</v>
      </c>
      <c r="B316" s="104" t="s">
        <v>334</v>
      </c>
      <c r="C316" s="116" t="s">
        <v>333</v>
      </c>
      <c r="D316" s="104">
        <v>2022</v>
      </c>
      <c r="E316" s="104" t="s">
        <v>329</v>
      </c>
      <c r="F316" s="104" t="s">
        <v>130</v>
      </c>
      <c r="G316" s="35" t="s">
        <v>178</v>
      </c>
      <c r="H316" s="106">
        <v>21.9</v>
      </c>
      <c r="I316" s="104">
        <v>2</v>
      </c>
      <c r="J316" s="104">
        <v>10</v>
      </c>
      <c r="K316" s="104" t="s">
        <v>64</v>
      </c>
      <c r="L316" s="104" t="s">
        <v>66</v>
      </c>
      <c r="M316" s="104" t="s">
        <v>67</v>
      </c>
      <c r="N316" s="104" t="s">
        <v>59</v>
      </c>
      <c r="O316" s="104" t="s">
        <v>169</v>
      </c>
      <c r="P316" s="104"/>
      <c r="Q316" s="104"/>
      <c r="R316" s="104"/>
      <c r="S316" s="104"/>
      <c r="T316" s="104"/>
      <c r="U316" s="104"/>
      <c r="V316" s="104"/>
      <c r="W316" s="104"/>
      <c r="X316" s="104"/>
      <c r="Y316" s="104"/>
      <c r="Z316" s="104">
        <v>33.4</v>
      </c>
      <c r="AA316" s="104">
        <v>4.3</v>
      </c>
      <c r="AB316" s="104"/>
      <c r="AC316" s="104"/>
      <c r="AD316" s="104"/>
      <c r="AE316" s="104"/>
      <c r="AF316" s="104"/>
      <c r="AG316" s="104"/>
      <c r="AH316" s="104"/>
      <c r="AI316" s="104"/>
      <c r="AJ316" s="104"/>
      <c r="AK316" s="104"/>
    </row>
    <row r="317" spans="1:37" x14ac:dyDescent="0.25">
      <c r="A317" s="55">
        <v>180</v>
      </c>
      <c r="B317" s="104" t="s">
        <v>334</v>
      </c>
      <c r="C317" s="116" t="s">
        <v>333</v>
      </c>
      <c r="D317" s="104">
        <v>2022</v>
      </c>
      <c r="E317" s="104" t="s">
        <v>329</v>
      </c>
      <c r="F317" s="104" t="s">
        <v>130</v>
      </c>
      <c r="G317" s="35" t="s">
        <v>178</v>
      </c>
      <c r="H317" s="106">
        <v>21.9</v>
      </c>
      <c r="I317" s="104">
        <v>2</v>
      </c>
      <c r="J317" s="104">
        <v>10</v>
      </c>
      <c r="K317" s="104" t="s">
        <v>191</v>
      </c>
      <c r="L317" s="104" t="s">
        <v>66</v>
      </c>
      <c r="M317" s="104" t="s">
        <v>67</v>
      </c>
      <c r="N317" s="104" t="s">
        <v>59</v>
      </c>
      <c r="O317" s="104" t="s">
        <v>169</v>
      </c>
      <c r="P317" s="104"/>
      <c r="Q317" s="104"/>
      <c r="R317" s="104"/>
      <c r="S317" s="104"/>
      <c r="T317" s="104"/>
      <c r="U317" s="104"/>
      <c r="V317" s="104"/>
      <c r="W317" s="104"/>
      <c r="X317" s="104"/>
      <c r="Y317" s="104"/>
      <c r="Z317" s="104">
        <v>31.8</v>
      </c>
      <c r="AA317" s="104">
        <v>4.0999999999999996</v>
      </c>
      <c r="AB317" s="104"/>
      <c r="AC317" s="104"/>
      <c r="AD317" s="104"/>
      <c r="AE317" s="104"/>
      <c r="AF317" s="104"/>
      <c r="AG317" s="104"/>
      <c r="AH317" s="104"/>
      <c r="AI317" s="104"/>
      <c r="AJ317" s="104"/>
      <c r="AK317" s="104"/>
    </row>
    <row r="318" spans="1:37" x14ac:dyDescent="0.25">
      <c r="A318" s="55">
        <v>180</v>
      </c>
      <c r="B318" s="104" t="s">
        <v>334</v>
      </c>
      <c r="C318" s="116" t="s">
        <v>333</v>
      </c>
      <c r="D318" s="104">
        <v>2022</v>
      </c>
      <c r="E318" s="104" t="s">
        <v>330</v>
      </c>
      <c r="F318" s="104" t="s">
        <v>130</v>
      </c>
      <c r="G318" s="35" t="s">
        <v>178</v>
      </c>
      <c r="H318" s="106">
        <v>22.2</v>
      </c>
      <c r="I318" s="104">
        <v>2.1</v>
      </c>
      <c r="J318" s="104">
        <v>10</v>
      </c>
      <c r="K318" s="104" t="s">
        <v>64</v>
      </c>
      <c r="L318" s="104" t="s">
        <v>66</v>
      </c>
      <c r="M318" s="104" t="s">
        <v>67</v>
      </c>
      <c r="N318" s="104" t="s">
        <v>59</v>
      </c>
      <c r="O318" s="104" t="s">
        <v>169</v>
      </c>
      <c r="P318" s="104"/>
      <c r="Q318" s="104"/>
      <c r="R318" s="104"/>
      <c r="S318" s="104"/>
      <c r="T318" s="104"/>
      <c r="U318" s="104"/>
      <c r="V318" s="104"/>
      <c r="W318" s="104"/>
      <c r="X318" s="104"/>
      <c r="Y318" s="104"/>
      <c r="Z318" s="104">
        <v>35.6</v>
      </c>
      <c r="AA318" s="104">
        <v>3.4</v>
      </c>
      <c r="AB318" s="104"/>
      <c r="AC318" s="104"/>
      <c r="AD318" s="104"/>
      <c r="AE318" s="104"/>
      <c r="AF318" s="104"/>
      <c r="AG318" s="104"/>
      <c r="AH318" s="104"/>
      <c r="AI318" s="104"/>
      <c r="AJ318" s="104"/>
      <c r="AK318" s="104"/>
    </row>
    <row r="319" spans="1:37" x14ac:dyDescent="0.25">
      <c r="A319" s="55">
        <v>180</v>
      </c>
      <c r="B319" s="104" t="s">
        <v>334</v>
      </c>
      <c r="C319" s="116" t="s">
        <v>333</v>
      </c>
      <c r="D319" s="104">
        <v>2022</v>
      </c>
      <c r="E319" s="104" t="s">
        <v>330</v>
      </c>
      <c r="F319" s="104" t="s">
        <v>130</v>
      </c>
      <c r="G319" s="35" t="s">
        <v>178</v>
      </c>
      <c r="H319" s="106">
        <v>22.2</v>
      </c>
      <c r="I319" s="104">
        <v>2.1</v>
      </c>
      <c r="J319" s="104">
        <v>10</v>
      </c>
      <c r="K319" s="104" t="s">
        <v>191</v>
      </c>
      <c r="L319" s="104" t="s">
        <v>66</v>
      </c>
      <c r="M319" s="104" t="s">
        <v>67</v>
      </c>
      <c r="N319" s="104" t="s">
        <v>59</v>
      </c>
      <c r="O319" s="104" t="s">
        <v>169</v>
      </c>
      <c r="P319" s="104"/>
      <c r="Q319" s="104"/>
      <c r="R319" s="104"/>
      <c r="S319" s="104"/>
      <c r="T319" s="104"/>
      <c r="U319" s="104"/>
      <c r="V319" s="104"/>
      <c r="W319" s="104"/>
      <c r="X319" s="104"/>
      <c r="Y319" s="104"/>
      <c r="Z319" s="104">
        <v>33.4</v>
      </c>
      <c r="AA319" s="104">
        <v>2.6</v>
      </c>
      <c r="AB319" s="104"/>
      <c r="AC319" s="104"/>
      <c r="AD319" s="104"/>
      <c r="AE319" s="104"/>
      <c r="AF319" s="104"/>
      <c r="AG319" s="104"/>
      <c r="AH319" s="104"/>
      <c r="AI319" s="104"/>
      <c r="AJ319" s="104"/>
      <c r="AK319" s="104"/>
    </row>
    <row r="320" spans="1:37" x14ac:dyDescent="0.25">
      <c r="A320" s="55">
        <v>180</v>
      </c>
      <c r="B320" s="104" t="s">
        <v>334</v>
      </c>
      <c r="C320" s="116" t="s">
        <v>333</v>
      </c>
      <c r="D320" s="104">
        <v>2022</v>
      </c>
      <c r="E320" s="104" t="s">
        <v>331</v>
      </c>
      <c r="F320" s="104" t="s">
        <v>130</v>
      </c>
      <c r="G320" s="35" t="s">
        <v>178</v>
      </c>
      <c r="H320" s="106">
        <v>22.5</v>
      </c>
      <c r="I320" s="104">
        <v>2.6</v>
      </c>
      <c r="J320" s="104">
        <v>10</v>
      </c>
      <c r="K320" s="104" t="s">
        <v>64</v>
      </c>
      <c r="L320" s="104" t="s">
        <v>66</v>
      </c>
      <c r="M320" s="104" t="s">
        <v>67</v>
      </c>
      <c r="N320" s="104" t="s">
        <v>59</v>
      </c>
      <c r="O320" s="104" t="s">
        <v>169</v>
      </c>
      <c r="P320" s="104"/>
      <c r="Q320" s="104"/>
      <c r="R320" s="104"/>
      <c r="S320" s="104"/>
      <c r="T320" s="104"/>
      <c r="U320" s="104"/>
      <c r="V320" s="104"/>
      <c r="W320" s="104"/>
      <c r="X320" s="104"/>
      <c r="Y320" s="104"/>
      <c r="Z320" s="104">
        <v>38</v>
      </c>
      <c r="AA320" s="104">
        <v>3.2</v>
      </c>
      <c r="AB320" s="104"/>
      <c r="AC320" s="104"/>
      <c r="AD320" s="104"/>
      <c r="AE320" s="104"/>
      <c r="AF320" s="104"/>
      <c r="AG320" s="104"/>
      <c r="AH320" s="104"/>
      <c r="AI320" s="104"/>
      <c r="AJ320" s="104"/>
      <c r="AK320" s="104"/>
    </row>
    <row r="321" spans="1:37" x14ac:dyDescent="0.25">
      <c r="A321" s="55">
        <v>180</v>
      </c>
      <c r="B321" s="104" t="s">
        <v>334</v>
      </c>
      <c r="C321" s="116" t="s">
        <v>333</v>
      </c>
      <c r="D321" s="104">
        <v>2022</v>
      </c>
      <c r="E321" s="104" t="s">
        <v>331</v>
      </c>
      <c r="F321" s="104" t="s">
        <v>130</v>
      </c>
      <c r="G321" s="35" t="s">
        <v>178</v>
      </c>
      <c r="H321" s="106">
        <v>22.5</v>
      </c>
      <c r="I321" s="104">
        <v>2.6</v>
      </c>
      <c r="J321" s="104">
        <v>10</v>
      </c>
      <c r="K321" s="104" t="s">
        <v>191</v>
      </c>
      <c r="L321" s="104" t="s">
        <v>66</v>
      </c>
      <c r="M321" s="104" t="s">
        <v>67</v>
      </c>
      <c r="N321" s="104" t="s">
        <v>59</v>
      </c>
      <c r="O321" s="104" t="s">
        <v>169</v>
      </c>
      <c r="P321" s="104"/>
      <c r="Q321" s="104"/>
      <c r="R321" s="104"/>
      <c r="S321" s="104"/>
      <c r="T321" s="104"/>
      <c r="U321" s="104"/>
      <c r="V321" s="104"/>
      <c r="W321" s="104"/>
      <c r="X321" s="104"/>
      <c r="Y321" s="104"/>
      <c r="Z321" s="104">
        <v>35.6</v>
      </c>
      <c r="AA321" s="104">
        <v>2.2000000000000002</v>
      </c>
      <c r="AB321" s="104"/>
      <c r="AC321" s="104"/>
      <c r="AD321" s="104"/>
      <c r="AE321" s="104"/>
      <c r="AF321" s="104"/>
      <c r="AG321" s="104"/>
      <c r="AH321" s="104"/>
      <c r="AI321" s="104"/>
      <c r="AJ321" s="104"/>
      <c r="AK321" s="104"/>
    </row>
    <row r="322" spans="1:37" x14ac:dyDescent="0.25">
      <c r="A322" s="55">
        <v>180</v>
      </c>
      <c r="B322" s="104" t="s">
        <v>334</v>
      </c>
      <c r="C322" s="116" t="s">
        <v>333</v>
      </c>
      <c r="D322" s="104">
        <v>2022</v>
      </c>
      <c r="E322" s="104" t="s">
        <v>332</v>
      </c>
      <c r="F322" s="104" t="s">
        <v>130</v>
      </c>
      <c r="G322" s="35" t="s">
        <v>178</v>
      </c>
      <c r="H322" s="106">
        <v>22.7</v>
      </c>
      <c r="I322" s="104">
        <v>2.5</v>
      </c>
      <c r="J322" s="104">
        <v>10</v>
      </c>
      <c r="K322" s="104" t="s">
        <v>64</v>
      </c>
      <c r="L322" s="104" t="s">
        <v>66</v>
      </c>
      <c r="M322" s="104" t="s">
        <v>67</v>
      </c>
      <c r="N322" s="104" t="s">
        <v>59</v>
      </c>
      <c r="O322" s="104" t="s">
        <v>169</v>
      </c>
      <c r="P322" s="104"/>
      <c r="Q322" s="104"/>
      <c r="R322" s="104"/>
      <c r="S322" s="104"/>
      <c r="T322" s="104"/>
      <c r="U322" s="104"/>
      <c r="V322" s="104"/>
      <c r="W322" s="104"/>
      <c r="X322" s="104"/>
      <c r="Y322" s="104"/>
      <c r="Z322" s="104">
        <v>36.4</v>
      </c>
      <c r="AA322" s="104">
        <v>2.9</v>
      </c>
      <c r="AB322" s="104"/>
      <c r="AC322" s="104"/>
      <c r="AD322" s="104"/>
      <c r="AE322" s="104"/>
      <c r="AF322" s="104"/>
      <c r="AG322" s="104"/>
      <c r="AH322" s="104"/>
      <c r="AI322" s="104"/>
      <c r="AJ322" s="104"/>
      <c r="AK322" s="104"/>
    </row>
    <row r="323" spans="1:37" x14ac:dyDescent="0.25">
      <c r="A323" s="55">
        <v>180</v>
      </c>
      <c r="B323" s="104" t="s">
        <v>334</v>
      </c>
      <c r="C323" s="116" t="s">
        <v>333</v>
      </c>
      <c r="D323" s="104">
        <v>2022</v>
      </c>
      <c r="E323" s="104" t="s">
        <v>332</v>
      </c>
      <c r="F323" s="104" t="s">
        <v>130</v>
      </c>
      <c r="G323" s="35" t="s">
        <v>178</v>
      </c>
      <c r="H323" s="106">
        <v>22.7</v>
      </c>
      <c r="I323" s="104">
        <v>2.5</v>
      </c>
      <c r="J323" s="104">
        <v>10</v>
      </c>
      <c r="K323" s="104" t="s">
        <v>191</v>
      </c>
      <c r="L323" s="104" t="s">
        <v>66</v>
      </c>
      <c r="M323" s="104" t="s">
        <v>67</v>
      </c>
      <c r="N323" s="104" t="s">
        <v>59</v>
      </c>
      <c r="O323" s="104" t="s">
        <v>169</v>
      </c>
      <c r="P323" s="104"/>
      <c r="Q323" s="104"/>
      <c r="R323" s="104"/>
      <c r="S323" s="104"/>
      <c r="T323" s="104"/>
      <c r="U323" s="104"/>
      <c r="V323" s="104"/>
      <c r="W323" s="104"/>
      <c r="X323" s="104"/>
      <c r="Y323" s="104"/>
      <c r="Z323" s="104">
        <v>34.5</v>
      </c>
      <c r="AA323" s="104">
        <v>2.9</v>
      </c>
      <c r="AB323" s="104"/>
      <c r="AC323" s="104"/>
      <c r="AD323" s="104"/>
      <c r="AE323" s="104"/>
      <c r="AF323" s="104"/>
      <c r="AG323" s="104"/>
      <c r="AH323" s="104"/>
      <c r="AI323" s="104"/>
      <c r="AJ323" s="104"/>
      <c r="AK323" s="104"/>
    </row>
  </sheetData>
  <mergeCells count="4">
    <mergeCell ref="D20:G20"/>
    <mergeCell ref="AB6:AE6"/>
    <mergeCell ref="D21:G21"/>
    <mergeCell ref="U1:Y2"/>
  </mergeCells>
  <phoneticPr fontId="15" type="noConversion"/>
  <conditionalFormatting sqref="AB10">
    <cfRule type="notContainsBlanks" dxfId="115" priority="4">
      <formula>LEN(TRIM(AB10))&gt;0</formula>
    </cfRule>
  </conditionalFormatting>
  <conditionalFormatting sqref="AD10">
    <cfRule type="notContainsBlanks" dxfId="114" priority="3">
      <formula>LEN(TRIM(AD10))&gt;0</formula>
    </cfRule>
  </conditionalFormatting>
  <conditionalFormatting sqref="D25">
    <cfRule type="notContainsBlanks" dxfId="113" priority="2">
      <formula>LEN(TRIM(D25))&gt;0</formula>
    </cfRule>
  </conditionalFormatting>
  <conditionalFormatting sqref="F25">
    <cfRule type="notContainsBlanks" dxfId="112" priority="1">
      <formula>LEN(TRIM(F25))&gt;0</formula>
    </cfRule>
  </conditionalFormatting>
  <hyperlinks>
    <hyperlink ref="C178" r:id="rId1" xr:uid="{FCF7434A-04B4-4B73-A929-151E62136B46}"/>
    <hyperlink ref="C179:C183" r:id="rId2" display="Kuhlman" xr:uid="{12FA4B8F-16F0-489E-B603-42C5F36D64E3}"/>
    <hyperlink ref="C184" r:id="rId3" xr:uid="{81218FD5-E442-4BCF-8F92-68CE8A5C8220}"/>
    <hyperlink ref="C185" r:id="rId4" xr:uid="{B7D68846-D15B-45C9-8CF7-1ED6498CDB21}"/>
    <hyperlink ref="C186" r:id="rId5" xr:uid="{5B18FC35-25FC-4A16-A03E-8C7DC0399EED}"/>
    <hyperlink ref="C187" r:id="rId6" xr:uid="{20402880-7C23-4B0C-B84D-703530D2B1BB}"/>
    <hyperlink ref="C188" r:id="rId7" xr:uid="{38494E6B-29C0-455A-AF30-3CAEFA916A34}"/>
    <hyperlink ref="C189:C195" r:id="rId8" display=" Batalha" xr:uid="{F343B26F-DADF-4FB1-9937-05FBCAD8540C}"/>
    <hyperlink ref="C196" r:id="rId9" xr:uid="{7C263BD6-3612-40AF-A181-3CCCE612CCC5}"/>
    <hyperlink ref="C197" r:id="rId10" xr:uid="{9E9DC69D-9F79-4EB8-9D45-0B747CA48BFA}"/>
    <hyperlink ref="C198" r:id="rId11" xr:uid="{19EC2E33-8FD9-441A-B0D6-58C822B7A2A3}"/>
    <hyperlink ref="C199:C203" r:id="rId12" display="Lira" xr:uid="{6C4EEE85-2E99-4C48-B709-8A44684D5997}"/>
    <hyperlink ref="C204" r:id="rId13" xr:uid="{05A08FAD-5F1D-4CB7-932F-30538BCE16AF}"/>
    <hyperlink ref="C205:C207" r:id="rId14" display="Dodds" xr:uid="{A5877D5F-60F4-4A3D-8517-8DE67D03215E}"/>
    <hyperlink ref="C208" r:id="rId15" xr:uid="{BE6D0B83-CC0E-42A2-B4D4-C120A632221A}"/>
    <hyperlink ref="C209" r:id="rId16" xr:uid="{32280C1D-16E9-4F15-BB6A-7E66D8E3F1DF}"/>
    <hyperlink ref="C210" r:id="rId17" xr:uid="{8D79262B-F42A-4BDA-A088-B8538D0A28EF}"/>
    <hyperlink ref="C211" r:id="rId18" xr:uid="{DF31304E-A29D-4E85-B150-8E1B4400A25B}"/>
    <hyperlink ref="C216" r:id="rId19" xr:uid="{F6A1E99D-6661-4ABD-9107-6800BC7231F5}"/>
    <hyperlink ref="C217:C219" r:id="rId20" display="Tyler" xr:uid="{E89DDF6E-44AA-4449-AC0E-1121078373B1}"/>
    <hyperlink ref="C236" r:id="rId21" xr:uid="{DFEC0955-BBF6-43C1-875B-661259F04E39}"/>
    <hyperlink ref="C237:C245" r:id="rId22" display="Andrade" xr:uid="{BE6B2466-14DD-4967-939A-248D62B9F448}"/>
    <hyperlink ref="C246" r:id="rId23" xr:uid="{B42FDB7B-1CB7-4986-97A3-061DDECCA1B0}"/>
    <hyperlink ref="C247:C252" r:id="rId24" display="Batalha" xr:uid="{B1764F16-55C2-4029-8BF9-6D3623C3B07A}"/>
    <hyperlink ref="C253" r:id="rId25" xr:uid="{2871952E-3E3D-47BE-A84E-4121CD46D42B}"/>
    <hyperlink ref="C254" r:id="rId26" xr:uid="{CC0072F5-B9F2-4F12-B63A-81AFCEFF2DC3}"/>
    <hyperlink ref="C255" r:id="rId27" xr:uid="{BAE3EE61-3C71-40EE-97B8-1832657708BF}"/>
    <hyperlink ref="C256" r:id="rId28" xr:uid="{5E99EF0D-93DA-4CC8-9E65-158926BF2E3B}"/>
    <hyperlink ref="C257:C263" r:id="rId29" display="Mulligan" xr:uid="{07844215-DDA0-48C8-BE37-82A4674D5E4D}"/>
    <hyperlink ref="C264" r:id="rId30" xr:uid="{756328AB-5C92-4339-86F9-7379B5C7232F}"/>
    <hyperlink ref="C265:C267" r:id="rId31" display="Dale" xr:uid="{54883625-906B-4896-8D5F-E5E887EB75A2}"/>
    <hyperlink ref="C276" r:id="rId32" xr:uid="{B85C5689-D3B5-41ED-8F88-7C2C910B244F}"/>
    <hyperlink ref="C277:C323" r:id="rId33" display="El-Ashker" xr:uid="{4CB6F93B-FD1B-4D8D-863F-CC10C21D0387}"/>
  </hyperlinks>
  <pageMargins left="0.7" right="0.7" top="0.75" bottom="0.75" header="0.3" footer="0.3"/>
  <drawing r:id="rId34"/>
  <legacyDrawing r:id="rId35"/>
  <controls>
    <mc:AlternateContent xmlns:mc="http://schemas.openxmlformats.org/markup-compatibility/2006">
      <mc:Choice Requires="x14">
        <control shapeId="5121" r:id="rId36" name="TextBox1">
          <controlPr defaultSize="0" autoLine="0" linkedCell="V4" r:id="rId37">
            <anchor moveWithCells="1">
              <from>
                <xdr:col>20</xdr:col>
                <xdr:colOff>409575</xdr:colOff>
                <xdr:row>3</xdr:row>
                <xdr:rowOff>28575</xdr:rowOff>
              </from>
              <to>
                <xdr:col>24</xdr:col>
                <xdr:colOff>276225</xdr:colOff>
                <xdr:row>4</xdr:row>
                <xdr:rowOff>47625</xdr:rowOff>
              </to>
            </anchor>
          </controlPr>
        </control>
      </mc:Choice>
      <mc:Fallback>
        <control shapeId="5121" r:id="rId36" name="TextBox1"/>
      </mc:Fallback>
    </mc:AlternateContent>
  </controls>
  <tableParts count="1">
    <tablePart r:id="rId38"/>
  </tableParts>
  <extLst>
    <ext xmlns:x15="http://schemas.microsoft.com/office/spreadsheetml/2010/11/main" uri="{3A4CF648-6AED-40f4-86FF-DC5316D8AED3}">
      <x14:slicerList xmlns:x14="http://schemas.microsoft.com/office/spreadsheetml/2009/9/main">
        <x14:slicer r:id="rId3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4B069-7A1F-49B5-98DB-C5916CD77854}">
  <sheetPr codeName="Sheet10"/>
  <dimension ref="A1:E13"/>
  <sheetViews>
    <sheetView workbookViewId="0">
      <selection activeCell="AQ121" sqref="AQ121"/>
    </sheetView>
  </sheetViews>
  <sheetFormatPr defaultRowHeight="15" x14ac:dyDescent="0.25"/>
  <cols>
    <col min="1" max="1" width="13.42578125" bestFit="1" customWidth="1"/>
    <col min="2" max="2" width="36.5703125" bestFit="1" customWidth="1"/>
    <col min="3" max="3" width="32.5703125" bestFit="1" customWidth="1"/>
    <col min="4" max="4" width="32" bestFit="1" customWidth="1"/>
    <col min="5" max="5" width="28.140625" bestFit="1" customWidth="1"/>
  </cols>
  <sheetData>
    <row r="1" spans="1:5" x14ac:dyDescent="0.25">
      <c r="A1" s="66" t="s">
        <v>11</v>
      </c>
      <c r="B1" t="s">
        <v>279</v>
      </c>
    </row>
    <row r="2" spans="1:5" x14ac:dyDescent="0.25">
      <c r="A2" s="66" t="s">
        <v>32</v>
      </c>
      <c r="B2" t="s">
        <v>279</v>
      </c>
    </row>
    <row r="3" spans="1:5" x14ac:dyDescent="0.25">
      <c r="A3" s="66" t="s">
        <v>6</v>
      </c>
      <c r="B3" t="s">
        <v>279</v>
      </c>
    </row>
    <row r="4" spans="1:5" x14ac:dyDescent="0.25">
      <c r="A4" s="66" t="s">
        <v>5</v>
      </c>
      <c r="B4" t="s">
        <v>279</v>
      </c>
    </row>
    <row r="5" spans="1:5" x14ac:dyDescent="0.25">
      <c r="A5" s="66" t="s">
        <v>12</v>
      </c>
      <c r="B5" t="s">
        <v>279</v>
      </c>
    </row>
    <row r="6" spans="1:5" x14ac:dyDescent="0.25">
      <c r="A6" s="66" t="s">
        <v>258</v>
      </c>
      <c r="B6" t="s">
        <v>169</v>
      </c>
    </row>
    <row r="7" spans="1:5" x14ac:dyDescent="0.25">
      <c r="A7" s="66" t="s">
        <v>13</v>
      </c>
      <c r="B7" t="s">
        <v>279</v>
      </c>
    </row>
    <row r="9" spans="1:5" x14ac:dyDescent="0.25">
      <c r="A9" s="66" t="s">
        <v>277</v>
      </c>
      <c r="B9" t="s">
        <v>412</v>
      </c>
      <c r="C9" t="s">
        <v>413</v>
      </c>
      <c r="D9" t="s">
        <v>414</v>
      </c>
      <c r="E9" t="s">
        <v>371</v>
      </c>
    </row>
    <row r="10" spans="1:5" x14ac:dyDescent="0.25">
      <c r="A10" s="67" t="s">
        <v>37</v>
      </c>
      <c r="B10" s="199">
        <v>0.24666666666666667</v>
      </c>
      <c r="C10" s="199">
        <v>0.38818181818181813</v>
      </c>
      <c r="D10">
        <v>0.32090909090909087</v>
      </c>
    </row>
    <row r="11" spans="1:5" x14ac:dyDescent="0.25">
      <c r="A11" s="68" t="s">
        <v>33</v>
      </c>
      <c r="B11" s="199">
        <v>0.24666666666666667</v>
      </c>
      <c r="C11" s="199"/>
    </row>
    <row r="12" spans="1:5" x14ac:dyDescent="0.25">
      <c r="A12" s="68" t="s">
        <v>294</v>
      </c>
      <c r="B12" s="199"/>
      <c r="C12" s="199">
        <v>0.38818181818181813</v>
      </c>
      <c r="D12">
        <v>0.32090909090909087</v>
      </c>
    </row>
    <row r="13" spans="1:5" x14ac:dyDescent="0.25">
      <c r="A13" s="67" t="s">
        <v>278</v>
      </c>
      <c r="B13" s="199">
        <v>0.24666666666666667</v>
      </c>
      <c r="C13" s="199">
        <v>0.38818181818181813</v>
      </c>
      <c r="D13">
        <v>0.32090909090909087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BC6E5-5A08-41CB-8910-BB062FD88EA4}">
  <sheetPr codeName="Sheet5"/>
  <dimension ref="A1:AT592"/>
  <sheetViews>
    <sheetView zoomScale="70" zoomScaleNormal="70" workbookViewId="0">
      <selection activeCell="K23" sqref="K23"/>
    </sheetView>
  </sheetViews>
  <sheetFormatPr defaultRowHeight="15" x14ac:dyDescent="0.25"/>
  <cols>
    <col min="1" max="1" width="9.5703125" customWidth="1"/>
    <col min="2" max="2" width="23.5703125" customWidth="1"/>
    <col min="5" max="5" width="11.140625" customWidth="1"/>
    <col min="6" max="6" width="12.140625" customWidth="1"/>
    <col min="7" max="7" width="10.28515625" customWidth="1"/>
    <col min="8" max="8" width="12.42578125" customWidth="1"/>
    <col min="11" max="11" width="16.85546875" customWidth="1"/>
    <col min="13" max="13" width="11.28515625" customWidth="1"/>
    <col min="14" max="14" width="13.7109375" customWidth="1"/>
    <col min="16" max="16" width="24.28515625" customWidth="1"/>
    <col min="18" max="18" width="20" customWidth="1"/>
    <col min="20" max="20" width="20.5703125" customWidth="1"/>
    <col min="22" max="22" width="14.5703125" customWidth="1"/>
    <col min="24" max="24" width="24.28515625" customWidth="1"/>
    <col min="26" max="30" width="17.5703125" customWidth="1"/>
    <col min="36" max="36" width="16.140625" customWidth="1"/>
    <col min="38" max="38" width="15.7109375" customWidth="1"/>
    <col min="40" max="40" width="8.28515625" customWidth="1"/>
    <col min="42" max="42" width="7.140625" customWidth="1"/>
  </cols>
  <sheetData>
    <row r="1" spans="1:46" ht="21" x14ac:dyDescent="0.35">
      <c r="A1" s="63"/>
      <c r="B1" s="63"/>
      <c r="C1" s="63"/>
      <c r="D1" s="63"/>
      <c r="E1" s="63"/>
      <c r="F1" s="63"/>
      <c r="G1" s="63"/>
      <c r="H1" s="63"/>
      <c r="I1" s="63"/>
      <c r="J1" s="63"/>
      <c r="K1" s="63"/>
      <c r="L1" s="63"/>
      <c r="M1" s="63"/>
      <c r="N1" s="63"/>
      <c r="O1" s="63"/>
      <c r="P1" s="63"/>
      <c r="Q1" s="63"/>
      <c r="R1" s="63"/>
      <c r="S1" s="63"/>
      <c r="T1" s="63"/>
      <c r="U1" s="63"/>
      <c r="V1" s="241"/>
      <c r="W1" s="241"/>
      <c r="X1" s="241"/>
      <c r="Y1" s="63"/>
      <c r="Z1" s="63"/>
      <c r="AA1" s="63"/>
      <c r="AB1" s="63"/>
      <c r="AC1" s="63"/>
      <c r="AD1" s="63"/>
      <c r="AE1" s="63"/>
      <c r="AF1" s="63"/>
      <c r="AG1" s="63"/>
      <c r="AH1" s="63"/>
      <c r="AI1" s="63"/>
      <c r="AJ1" s="63"/>
      <c r="AK1" s="63"/>
      <c r="AL1" s="63"/>
      <c r="AM1" s="63"/>
      <c r="AN1" s="63"/>
      <c r="AO1" s="63"/>
      <c r="AP1" s="63"/>
      <c r="AQ1" s="63"/>
      <c r="AR1" s="63"/>
      <c r="AS1" s="63"/>
      <c r="AT1" s="63"/>
    </row>
    <row r="2" spans="1:46" x14ac:dyDescent="0.25">
      <c r="A2" s="63"/>
      <c r="B2" s="63"/>
      <c r="C2" s="63"/>
      <c r="D2" s="63"/>
      <c r="E2" s="63"/>
      <c r="F2" s="63"/>
      <c r="G2" s="63"/>
      <c r="H2" s="63"/>
      <c r="I2" s="63"/>
      <c r="J2" s="63"/>
      <c r="K2" s="63"/>
      <c r="L2" s="63"/>
      <c r="M2" s="63"/>
      <c r="N2" s="63"/>
      <c r="O2" s="63"/>
      <c r="P2" s="63"/>
      <c r="Q2" s="63"/>
      <c r="R2" s="63"/>
      <c r="S2" s="63"/>
      <c r="T2" s="63"/>
      <c r="U2" s="63"/>
      <c r="V2" s="63" t="s">
        <v>149</v>
      </c>
      <c r="W2" s="63"/>
      <c r="X2" s="63"/>
      <c r="Y2" s="63"/>
      <c r="Z2" s="63"/>
      <c r="AA2" s="63"/>
      <c r="AB2" s="63"/>
      <c r="AC2" s="63"/>
      <c r="AD2" s="63"/>
      <c r="AE2" s="63"/>
      <c r="AF2" s="63"/>
      <c r="AG2" s="63"/>
      <c r="AH2" s="63"/>
      <c r="AI2" s="63"/>
      <c r="AJ2" s="63"/>
      <c r="AK2" s="63"/>
      <c r="AL2" s="63"/>
      <c r="AM2" s="63"/>
      <c r="AN2" s="63"/>
      <c r="AO2" s="63"/>
      <c r="AP2" s="63"/>
      <c r="AQ2" s="63"/>
      <c r="AR2" s="63"/>
      <c r="AS2" s="63"/>
      <c r="AT2" s="63"/>
    </row>
    <row r="3" spans="1:46" x14ac:dyDescent="0.25">
      <c r="A3" s="63"/>
      <c r="B3" s="63"/>
      <c r="C3" s="63"/>
      <c r="D3" s="63"/>
      <c r="E3" s="63"/>
      <c r="F3" s="63"/>
      <c r="G3" s="63"/>
      <c r="H3" s="63"/>
      <c r="I3" s="63"/>
      <c r="J3" s="63"/>
      <c r="K3" s="63"/>
      <c r="L3" s="63"/>
      <c r="M3" s="63"/>
      <c r="N3" s="63"/>
      <c r="O3" s="63"/>
      <c r="P3" s="63"/>
      <c r="Q3" s="63"/>
      <c r="R3" s="63"/>
      <c r="S3" s="63"/>
      <c r="T3" s="63"/>
      <c r="U3" s="63"/>
      <c r="V3" s="63" t="s">
        <v>149</v>
      </c>
      <c r="W3" s="63"/>
      <c r="X3" s="63"/>
      <c r="Y3" s="63"/>
      <c r="Z3" s="63"/>
      <c r="AA3" s="63"/>
      <c r="AB3" s="63"/>
      <c r="AC3" s="63"/>
      <c r="AD3" s="63"/>
      <c r="AE3" s="63"/>
      <c r="AF3" s="63"/>
      <c r="AG3" s="63"/>
      <c r="AH3" s="63"/>
      <c r="AI3" s="63"/>
      <c r="AJ3" s="63"/>
      <c r="AK3" s="63"/>
      <c r="AL3" s="63"/>
      <c r="AM3" s="63"/>
      <c r="AN3" s="63"/>
      <c r="AO3" s="63"/>
      <c r="AP3" s="63"/>
      <c r="AQ3" s="63"/>
      <c r="AR3" s="63"/>
      <c r="AS3" s="63"/>
      <c r="AT3" s="63"/>
    </row>
    <row r="4" spans="1:46" x14ac:dyDescent="0.25">
      <c r="A4" s="63"/>
      <c r="B4" s="63"/>
      <c r="C4" s="63"/>
      <c r="D4" s="63"/>
      <c r="E4" s="63"/>
      <c r="F4" s="63"/>
      <c r="G4" s="63"/>
      <c r="H4" s="63"/>
      <c r="I4" s="63"/>
      <c r="J4" s="63"/>
      <c r="K4" s="63"/>
      <c r="L4" s="63"/>
      <c r="M4" s="63"/>
      <c r="N4" s="63"/>
      <c r="O4" s="63"/>
      <c r="P4" s="63"/>
      <c r="Q4" s="63"/>
      <c r="R4" s="63"/>
      <c r="S4" s="63"/>
      <c r="T4" s="63"/>
      <c r="U4" s="242" t="s">
        <v>3</v>
      </c>
      <c r="V4" s="242" t="s">
        <v>4</v>
      </c>
      <c r="W4" s="242" t="s">
        <v>6</v>
      </c>
      <c r="X4" s="242" t="s">
        <v>5</v>
      </c>
      <c r="Y4" s="242" t="s">
        <v>11</v>
      </c>
      <c r="Z4" s="242" t="s">
        <v>180</v>
      </c>
      <c r="AA4" s="63"/>
      <c r="AB4" s="63"/>
      <c r="AC4" s="63"/>
      <c r="AD4" s="63"/>
      <c r="AE4" s="63"/>
      <c r="AF4" s="63"/>
      <c r="AG4" s="63"/>
      <c r="AH4" s="63"/>
      <c r="AI4" s="63"/>
      <c r="AJ4" s="63"/>
      <c r="AK4" s="63"/>
      <c r="AL4" s="63"/>
      <c r="AM4" s="63"/>
      <c r="AN4" s="63"/>
      <c r="AO4" s="63"/>
      <c r="AP4" s="63"/>
      <c r="AQ4" s="63"/>
      <c r="AR4" s="63"/>
      <c r="AS4" s="63"/>
      <c r="AT4" s="63"/>
    </row>
    <row r="5" spans="1:46" ht="14.25" customHeight="1" x14ac:dyDescent="0.25">
      <c r="A5" s="63"/>
      <c r="B5" s="63"/>
      <c r="C5" s="63"/>
      <c r="D5" s="63"/>
      <c r="E5" s="63"/>
      <c r="F5" s="63"/>
      <c r="G5" s="63"/>
      <c r="H5" s="63"/>
      <c r="I5" s="63"/>
      <c r="J5" s="63"/>
      <c r="K5" s="63"/>
      <c r="L5" s="63"/>
      <c r="M5" s="63"/>
      <c r="N5" s="63"/>
      <c r="O5" s="63"/>
      <c r="P5" s="63"/>
      <c r="Q5" s="63"/>
      <c r="R5" s="63"/>
      <c r="S5" s="63"/>
      <c r="T5" s="63"/>
      <c r="U5" s="78" t="str" cm="1">
        <f t="array" ref="U5:Z109">_xlfn.CHOOSECOLS(
    _xlfn._xlws.FILTER(
        Table3[],
        (ISNUMBER(SEARCH(V3, Table3[Source])) +
         ISNUMBER(SEARCH(V3, Table3[Sport])) +
         ISNUMBER(SEARCH(V3, Table3[Group])) +
         ISNUMBER(SEARCH(V3, Table3[Positions])) +
         ISNUMBER(SEARCH(V3, Table3[Gender])) +
         ISNUMBER(SEARCH(V3, Table3[Machine Type]))) &gt; 0,
        "No Results Found"
    ),
    3, 5, 6, 7, 12, 14
)</f>
        <v>Gonosova</v>
      </c>
      <c r="V5" t="str">
        <v>Gen Pop</v>
      </c>
      <c r="W5" t="str">
        <v>Adults</v>
      </c>
      <c r="X5" t="str">
        <v>N/A</v>
      </c>
      <c r="Y5" t="str">
        <v>Mixed</v>
      </c>
      <c r="Z5" s="79" t="str">
        <v>Isomed 2000</v>
      </c>
      <c r="AA5" s="63"/>
      <c r="AB5" s="63"/>
      <c r="AC5" s="63"/>
      <c r="AD5" s="63"/>
      <c r="AE5" s="63"/>
      <c r="AF5" s="63"/>
      <c r="AG5" s="63"/>
      <c r="AH5" s="63"/>
      <c r="AI5" s="63"/>
      <c r="AJ5" s="63"/>
      <c r="AK5" s="63"/>
      <c r="AL5" s="63"/>
      <c r="AM5" s="63"/>
      <c r="AN5" s="63"/>
      <c r="AO5" s="63"/>
      <c r="AP5" s="63"/>
      <c r="AQ5" s="63"/>
      <c r="AR5" s="63"/>
      <c r="AS5" s="63"/>
      <c r="AT5" s="63"/>
    </row>
    <row r="6" spans="1:46" x14ac:dyDescent="0.25">
      <c r="A6" s="63"/>
      <c r="B6" s="63"/>
      <c r="C6" s="63"/>
      <c r="D6" s="63"/>
      <c r="E6" s="63"/>
      <c r="F6" s="63"/>
      <c r="G6" s="63"/>
      <c r="H6" s="63"/>
      <c r="I6" s="63"/>
      <c r="J6" s="63"/>
      <c r="K6" s="63"/>
      <c r="L6" s="63"/>
      <c r="M6" s="63"/>
      <c r="N6" s="63"/>
      <c r="O6" s="63"/>
      <c r="P6" s="63"/>
      <c r="Q6" s="63"/>
      <c r="R6" s="63"/>
      <c r="S6" s="63"/>
      <c r="T6" s="63"/>
      <c r="U6" s="78" t="str">
        <v>Gonosova</v>
      </c>
      <c r="V6" t="str">
        <v>Gen Pop</v>
      </c>
      <c r="W6" t="str">
        <v>Adults</v>
      </c>
      <c r="X6" t="str">
        <v>N/A</v>
      </c>
      <c r="Y6" t="str">
        <v>Mixed</v>
      </c>
      <c r="Z6" s="79" t="str">
        <v>Isomed 2000</v>
      </c>
      <c r="AA6" s="63"/>
      <c r="AB6" s="63"/>
      <c r="AC6" s="63"/>
      <c r="AD6" s="63"/>
      <c r="AE6" s="63"/>
      <c r="AF6" s="63"/>
      <c r="AG6" s="63"/>
      <c r="AH6" s="63"/>
      <c r="AI6" s="63"/>
      <c r="AJ6" s="63"/>
      <c r="AK6" s="63"/>
      <c r="AL6" s="63"/>
      <c r="AM6" s="63"/>
      <c r="AN6" s="63"/>
      <c r="AO6" s="63"/>
      <c r="AP6" s="63"/>
      <c r="AQ6" s="63"/>
      <c r="AR6" s="63"/>
      <c r="AS6" s="63"/>
      <c r="AT6" s="63"/>
    </row>
    <row r="7" spans="1:46" x14ac:dyDescent="0.25">
      <c r="A7" s="63"/>
      <c r="B7" s="63"/>
      <c r="C7" s="63"/>
      <c r="D7" s="63"/>
      <c r="E7" s="63"/>
      <c r="F7" s="63"/>
      <c r="G7" s="63"/>
      <c r="H7" s="63"/>
      <c r="I7" s="63"/>
      <c r="J7" s="63"/>
      <c r="K7" s="63"/>
      <c r="L7" s="63"/>
      <c r="M7" s="63"/>
      <c r="N7" s="63"/>
      <c r="O7" s="63"/>
      <c r="P7" s="63"/>
      <c r="Q7" s="63"/>
      <c r="R7" s="63"/>
      <c r="S7" s="63"/>
      <c r="T7" s="63"/>
      <c r="U7" s="78" t="str">
        <v>Gonosova</v>
      </c>
      <c r="V7" t="str">
        <v>Gen Pop</v>
      </c>
      <c r="W7" t="str">
        <v>Adults</v>
      </c>
      <c r="X7" t="str">
        <v>N/A</v>
      </c>
      <c r="Y7" t="str">
        <v>Mixed</v>
      </c>
      <c r="Z7" s="79" t="str">
        <v>Isomed 2000</v>
      </c>
      <c r="AA7" s="63"/>
      <c r="AB7" s="63"/>
      <c r="AC7" s="63"/>
      <c r="AD7" s="63"/>
      <c r="AE7" s="63"/>
      <c r="AF7" s="63"/>
      <c r="AG7" s="63"/>
      <c r="AH7" s="63"/>
      <c r="AI7" s="63"/>
      <c r="AJ7" s="63"/>
      <c r="AK7" s="63"/>
      <c r="AL7" s="63"/>
      <c r="AM7" s="63"/>
      <c r="AN7" s="63"/>
      <c r="AO7" s="63"/>
      <c r="AP7" s="63"/>
      <c r="AQ7" s="63"/>
      <c r="AR7" s="63"/>
      <c r="AS7" s="63"/>
      <c r="AT7" s="63"/>
    </row>
    <row r="8" spans="1:46" x14ac:dyDescent="0.25">
      <c r="A8" s="63"/>
      <c r="B8" s="63"/>
      <c r="C8" s="63"/>
      <c r="D8" s="63"/>
      <c r="E8" s="63"/>
      <c r="F8" s="63"/>
      <c r="G8" s="63"/>
      <c r="H8" s="63"/>
      <c r="I8" s="63"/>
      <c r="J8" s="63"/>
      <c r="K8" s="63"/>
      <c r="L8" s="63"/>
      <c r="M8" s="63"/>
      <c r="N8" s="63"/>
      <c r="O8" s="63"/>
      <c r="P8" s="63"/>
      <c r="Q8" s="63"/>
      <c r="R8" s="63"/>
      <c r="S8" s="63"/>
      <c r="T8" s="63"/>
      <c r="U8" s="78" t="str">
        <v>Gonosova</v>
      </c>
      <c r="V8" t="str">
        <v>Gen Pop</v>
      </c>
      <c r="W8" t="str">
        <v>Adults</v>
      </c>
      <c r="X8" t="str">
        <v>N/A</v>
      </c>
      <c r="Y8" t="str">
        <v>Mixed</v>
      </c>
      <c r="Z8" s="79" t="str">
        <v>Isomed 2000</v>
      </c>
      <c r="AA8" s="63"/>
      <c r="AB8" s="63"/>
      <c r="AC8" s="63"/>
      <c r="AD8" s="63"/>
      <c r="AE8" s="63"/>
      <c r="AF8" s="63"/>
      <c r="AG8" s="63"/>
      <c r="AH8" s="63"/>
      <c r="AI8" s="63"/>
      <c r="AJ8" s="63"/>
      <c r="AK8" s="63"/>
      <c r="AL8" s="63"/>
      <c r="AM8" s="63"/>
      <c r="AN8" s="63"/>
      <c r="AO8" s="63"/>
      <c r="AP8" s="63"/>
      <c r="AQ8" s="63"/>
      <c r="AR8" s="63"/>
      <c r="AS8" s="63"/>
      <c r="AT8" s="63"/>
    </row>
    <row r="9" spans="1:46" x14ac:dyDescent="0.25">
      <c r="A9" s="63"/>
      <c r="B9" s="63"/>
      <c r="C9" s="63"/>
      <c r="D9" s="63"/>
      <c r="E9" s="63"/>
      <c r="F9" s="63"/>
      <c r="G9" s="63"/>
      <c r="H9" s="63"/>
      <c r="I9" s="63"/>
      <c r="J9" s="63"/>
      <c r="K9" s="63"/>
      <c r="L9" s="63"/>
      <c r="M9" s="63"/>
      <c r="N9" s="63"/>
      <c r="O9" s="63"/>
      <c r="P9" s="63"/>
      <c r="Q9" s="63"/>
      <c r="R9" s="63"/>
      <c r="S9" s="63"/>
      <c r="T9" s="63"/>
      <c r="U9" s="78" t="str">
        <v>Gonosova</v>
      </c>
      <c r="V9" t="str">
        <v>Gen Pop</v>
      </c>
      <c r="W9" t="str">
        <v>Adults</v>
      </c>
      <c r="X9" t="str">
        <v>N/A</v>
      </c>
      <c r="Y9" t="str">
        <v>Mixed</v>
      </c>
      <c r="Z9" s="79" t="str">
        <v>Isomed 2000</v>
      </c>
      <c r="AA9" s="63"/>
      <c r="AB9" s="63"/>
      <c r="AC9" s="63"/>
      <c r="AD9" s="63"/>
      <c r="AE9" s="63"/>
      <c r="AF9" s="63"/>
      <c r="AG9" s="63"/>
      <c r="AH9" s="63"/>
      <c r="AI9" s="63"/>
      <c r="AJ9" s="63"/>
      <c r="AK9" s="63"/>
      <c r="AL9" s="63"/>
      <c r="AM9" s="63"/>
      <c r="AN9" s="63"/>
      <c r="AO9" s="63"/>
      <c r="AP9" s="63"/>
      <c r="AQ9" s="63"/>
      <c r="AR9" s="63"/>
      <c r="AS9" s="63"/>
      <c r="AT9" s="63"/>
    </row>
    <row r="10" spans="1:46" x14ac:dyDescent="0.25">
      <c r="A10" s="63"/>
      <c r="B10" s="63"/>
      <c r="C10" s="63"/>
      <c r="D10" s="63"/>
      <c r="E10" s="63"/>
      <c r="F10" s="63"/>
      <c r="G10" s="63"/>
      <c r="H10" s="63"/>
      <c r="I10" s="63"/>
      <c r="J10" s="63"/>
      <c r="K10" s="63"/>
      <c r="L10" s="63"/>
      <c r="M10" s="63"/>
      <c r="N10" s="63"/>
      <c r="O10" s="63"/>
      <c r="P10" s="63"/>
      <c r="Q10" s="63"/>
      <c r="R10" s="63"/>
      <c r="S10" s="63"/>
      <c r="T10" s="63"/>
      <c r="U10" s="78" t="str">
        <v>Fousekis</v>
      </c>
      <c r="V10" t="str">
        <v>Soccer</v>
      </c>
      <c r="W10" t="str">
        <v xml:space="preserve">Professional </v>
      </c>
      <c r="X10" t="str">
        <v>N/A</v>
      </c>
      <c r="Y10" t="str">
        <v>Male</v>
      </c>
      <c r="Z10" s="79" t="str">
        <v>Biodex</v>
      </c>
      <c r="AA10" s="63"/>
      <c r="AB10" s="63"/>
      <c r="AC10" s="63"/>
      <c r="AD10" s="63"/>
      <c r="AE10" s="63"/>
      <c r="AF10" s="63"/>
      <c r="AG10" s="63"/>
      <c r="AH10" s="63"/>
      <c r="AI10" s="63"/>
      <c r="AJ10" s="63"/>
      <c r="AK10" s="63"/>
      <c r="AL10" s="63"/>
      <c r="AM10" s="63"/>
      <c r="AN10" s="63"/>
      <c r="AO10" s="63"/>
      <c r="AP10" s="63"/>
      <c r="AQ10" s="63"/>
      <c r="AR10" s="63"/>
      <c r="AS10" s="63"/>
      <c r="AT10" s="63"/>
    </row>
    <row r="11" spans="1:46" ht="15.75" customHeight="1" x14ac:dyDescent="0.25">
      <c r="A11" s="63"/>
      <c r="B11" s="63"/>
      <c r="C11" s="63"/>
      <c r="D11" s="63"/>
      <c r="E11" s="63"/>
      <c r="F11" s="63"/>
      <c r="G11" s="63"/>
      <c r="H11" s="63"/>
      <c r="I11" s="63"/>
      <c r="J11" s="63"/>
      <c r="K11" s="63"/>
      <c r="L11" s="63"/>
      <c r="M11" s="63"/>
      <c r="N11" s="63"/>
      <c r="O11" s="63"/>
      <c r="P11" s="63"/>
      <c r="Q11" s="63"/>
      <c r="R11" s="63"/>
      <c r="S11" s="63"/>
      <c r="T11" s="63"/>
      <c r="U11" s="78" t="str">
        <v>Fousekis</v>
      </c>
      <c r="V11" t="str">
        <v>Soccer</v>
      </c>
      <c r="W11" t="str">
        <v xml:space="preserve">Professional </v>
      </c>
      <c r="X11" t="str">
        <v>N/A</v>
      </c>
      <c r="Y11" t="str">
        <v>Male</v>
      </c>
      <c r="Z11" s="79" t="str">
        <v>Biodex</v>
      </c>
      <c r="AA11" s="63"/>
      <c r="AB11" s="63"/>
      <c r="AC11" s="63"/>
      <c r="AD11" s="63"/>
      <c r="AE11" s="63"/>
      <c r="AF11" s="63"/>
      <c r="AG11" s="63"/>
      <c r="AH11" s="63"/>
      <c r="AI11" s="63"/>
      <c r="AJ11" s="63"/>
      <c r="AK11" s="63"/>
      <c r="AL11" s="63"/>
      <c r="AM11" s="63"/>
      <c r="AN11" s="63"/>
      <c r="AO11" s="63"/>
      <c r="AP11" s="63"/>
      <c r="AQ11" s="63"/>
      <c r="AR11" s="63"/>
      <c r="AS11" s="63"/>
      <c r="AT11" s="63"/>
    </row>
    <row r="12" spans="1:46" x14ac:dyDescent="0.25">
      <c r="A12" s="63"/>
      <c r="B12" s="63"/>
      <c r="C12" s="63"/>
      <c r="D12" s="63"/>
      <c r="E12" s="63"/>
      <c r="F12" s="63"/>
      <c r="G12" s="63"/>
      <c r="H12" s="63"/>
      <c r="I12" s="63"/>
      <c r="J12" s="63"/>
      <c r="K12" s="63"/>
      <c r="L12" s="63"/>
      <c r="M12" s="63"/>
      <c r="N12" s="63"/>
      <c r="O12" s="63"/>
      <c r="P12" s="63"/>
      <c r="Q12" s="63"/>
      <c r="R12" s="63"/>
      <c r="S12" s="63"/>
      <c r="T12" s="63"/>
      <c r="U12" s="78" t="str">
        <v>Fousekis</v>
      </c>
      <c r="V12" t="str">
        <v>Soccer</v>
      </c>
      <c r="W12" t="str">
        <v xml:space="preserve">Professional </v>
      </c>
      <c r="X12" t="str">
        <v>N/A</v>
      </c>
      <c r="Y12" t="str">
        <v>Male</v>
      </c>
      <c r="Z12" s="79" t="str">
        <v>Biodex</v>
      </c>
      <c r="AA12" s="63"/>
      <c r="AB12" s="63"/>
      <c r="AC12" s="63"/>
      <c r="AD12" s="63"/>
      <c r="AE12" s="63"/>
      <c r="AF12" s="63"/>
      <c r="AG12" s="63"/>
      <c r="AH12" s="63"/>
      <c r="AI12" s="63"/>
      <c r="AJ12" s="63"/>
      <c r="AK12" s="63"/>
      <c r="AL12" s="63"/>
      <c r="AM12" s="63"/>
      <c r="AN12" s="63"/>
      <c r="AO12" s="63"/>
      <c r="AP12" s="63"/>
      <c r="AQ12" s="63"/>
      <c r="AR12" s="63"/>
      <c r="AS12" s="63"/>
      <c r="AT12" s="63"/>
    </row>
    <row r="13" spans="1:46" x14ac:dyDescent="0.25">
      <c r="A13" s="63"/>
      <c r="B13" s="63"/>
      <c r="C13" s="63"/>
      <c r="D13" s="63"/>
      <c r="E13" s="63"/>
      <c r="F13" s="63"/>
      <c r="G13" s="63"/>
      <c r="H13" s="63"/>
      <c r="I13" s="63"/>
      <c r="J13" s="63"/>
      <c r="K13" s="63"/>
      <c r="L13" s="63"/>
      <c r="M13" s="63"/>
      <c r="N13" s="63"/>
      <c r="O13" s="63"/>
      <c r="P13" s="63"/>
      <c r="Q13" s="63"/>
      <c r="R13" s="63"/>
      <c r="S13" s="63"/>
      <c r="T13" s="63"/>
      <c r="U13" s="78" t="str">
        <v>Fousekis</v>
      </c>
      <c r="V13" t="str">
        <v>Soccer</v>
      </c>
      <c r="W13" t="str">
        <v xml:space="preserve">Professional </v>
      </c>
      <c r="X13" t="str">
        <v>N/A</v>
      </c>
      <c r="Y13" t="str">
        <v>Male</v>
      </c>
      <c r="Z13" s="79" t="str">
        <v>Biodex</v>
      </c>
      <c r="AA13" s="63"/>
      <c r="AB13" s="63"/>
      <c r="AC13" s="63"/>
      <c r="AD13" s="63"/>
      <c r="AE13" s="63"/>
      <c r="AF13" s="63"/>
      <c r="AG13" s="63"/>
      <c r="AH13" s="63"/>
      <c r="AI13" s="63"/>
      <c r="AJ13" s="63"/>
      <c r="AK13" s="63"/>
      <c r="AL13" s="63"/>
      <c r="AM13" s="63"/>
      <c r="AN13" s="63"/>
      <c r="AO13" s="63"/>
      <c r="AP13" s="63"/>
      <c r="AQ13" s="63"/>
      <c r="AR13" s="63"/>
      <c r="AS13" s="63"/>
      <c r="AT13" s="63"/>
    </row>
    <row r="14" spans="1:46" x14ac:dyDescent="0.25">
      <c r="A14" s="63"/>
      <c r="B14" s="63"/>
      <c r="C14" s="63"/>
      <c r="D14" s="63"/>
      <c r="E14" s="63"/>
      <c r="F14" s="63"/>
      <c r="G14" s="63"/>
      <c r="H14" s="63"/>
      <c r="I14" s="63"/>
      <c r="J14" s="63"/>
      <c r="K14" s="63"/>
      <c r="L14" s="63"/>
      <c r="M14" s="63"/>
      <c r="N14" s="63"/>
      <c r="O14" s="63"/>
      <c r="P14" s="63"/>
      <c r="Q14" s="63"/>
      <c r="R14" s="63"/>
      <c r="S14" s="63"/>
      <c r="T14" s="63"/>
      <c r="U14" s="78" t="str">
        <v>Kai</v>
      </c>
      <c r="V14" t="str">
        <v>Track</v>
      </c>
      <c r="W14" t="str">
        <v>Elite</v>
      </c>
      <c r="X14" t="str">
        <v>Sprinters</v>
      </c>
      <c r="Y14" t="str">
        <v>Male</v>
      </c>
      <c r="Z14" s="79" t="str">
        <v>Cybex</v>
      </c>
      <c r="AA14" s="63"/>
      <c r="AB14" s="63"/>
      <c r="AC14" s="63"/>
      <c r="AD14" s="63"/>
      <c r="AE14" s="63"/>
      <c r="AF14" s="63"/>
      <c r="AG14" s="63"/>
      <c r="AH14" s="63"/>
      <c r="AI14" s="63"/>
      <c r="AJ14" s="63"/>
      <c r="AK14" s="63"/>
      <c r="AL14" s="63"/>
      <c r="AM14" s="63"/>
      <c r="AN14" s="63"/>
      <c r="AO14" s="63"/>
      <c r="AP14" s="63"/>
      <c r="AQ14" s="63"/>
      <c r="AR14" s="63"/>
      <c r="AS14" s="63"/>
      <c r="AT14" s="63"/>
    </row>
    <row r="15" spans="1:46" x14ac:dyDescent="0.25">
      <c r="A15" s="63"/>
      <c r="B15" s="63"/>
      <c r="C15" s="63"/>
      <c r="D15" s="63"/>
      <c r="E15" s="63"/>
      <c r="F15" s="63"/>
      <c r="G15" s="63"/>
      <c r="H15" s="63"/>
      <c r="I15" s="63"/>
      <c r="J15" s="63"/>
      <c r="K15" s="63"/>
      <c r="L15" s="63"/>
      <c r="M15" s="63"/>
      <c r="N15" s="63"/>
      <c r="O15" s="63"/>
      <c r="P15" s="63"/>
      <c r="Q15" s="63"/>
      <c r="R15" s="63"/>
      <c r="S15" s="63"/>
      <c r="T15" s="63"/>
      <c r="U15" s="78" t="str">
        <v>Kai</v>
      </c>
      <c r="V15" t="str">
        <v>Gen Pop</v>
      </c>
      <c r="W15" t="str">
        <v>Gen Pop</v>
      </c>
      <c r="X15" t="str">
        <v>N/A</v>
      </c>
      <c r="Y15" t="str">
        <v>Male</v>
      </c>
      <c r="Z15" s="79" t="str">
        <v>Cybex</v>
      </c>
      <c r="AA15" s="63"/>
      <c r="AB15" s="63"/>
      <c r="AC15" s="63"/>
      <c r="AD15" s="63"/>
      <c r="AE15" s="63"/>
      <c r="AF15" s="63"/>
      <c r="AG15" s="63"/>
      <c r="AH15" s="63"/>
      <c r="AI15" s="63"/>
      <c r="AJ15" s="63"/>
      <c r="AK15" s="63"/>
      <c r="AL15" s="63"/>
      <c r="AM15" s="63"/>
      <c r="AN15" s="63"/>
      <c r="AO15" s="63"/>
      <c r="AP15" s="63"/>
      <c r="AQ15" s="63"/>
      <c r="AR15" s="63"/>
      <c r="AS15" s="63"/>
      <c r="AT15" s="63"/>
    </row>
    <row r="16" spans="1:46" x14ac:dyDescent="0.25">
      <c r="A16" s="63"/>
      <c r="B16" s="63"/>
      <c r="C16" s="63"/>
      <c r="D16" s="63"/>
      <c r="E16" s="63"/>
      <c r="F16" s="63"/>
      <c r="G16" s="63"/>
      <c r="H16" s="63"/>
      <c r="I16" s="63"/>
      <c r="J16" s="63"/>
      <c r="K16" s="63"/>
      <c r="L16" s="63"/>
      <c r="M16" s="63"/>
      <c r="N16" s="63"/>
      <c r="O16" s="63"/>
      <c r="P16" s="63"/>
      <c r="Q16" s="63"/>
      <c r="R16" s="63"/>
      <c r="S16" s="63"/>
      <c r="T16" s="63"/>
      <c r="U16" s="78" t="str">
        <v>Kai</v>
      </c>
      <c r="V16" t="str">
        <v>Track</v>
      </c>
      <c r="W16" t="str">
        <v>Elite</v>
      </c>
      <c r="X16" t="str">
        <v>Sprinters</v>
      </c>
      <c r="Y16" t="str">
        <v>Male</v>
      </c>
      <c r="Z16" s="79" t="str">
        <v>Cybex</v>
      </c>
      <c r="AA16" s="63"/>
      <c r="AB16" s="63"/>
      <c r="AC16" s="63"/>
      <c r="AD16" s="63"/>
      <c r="AE16" s="63"/>
      <c r="AF16" s="63"/>
      <c r="AG16" s="63"/>
      <c r="AH16" s="63"/>
      <c r="AI16" s="63"/>
      <c r="AJ16" s="63"/>
      <c r="AK16" s="63"/>
      <c r="AL16" s="63"/>
      <c r="AM16" s="63"/>
      <c r="AN16" s="63"/>
      <c r="AO16" s="63"/>
      <c r="AP16" s="63"/>
      <c r="AQ16" s="63"/>
      <c r="AR16" s="63"/>
      <c r="AS16" s="63"/>
      <c r="AT16" s="63"/>
    </row>
    <row r="17" spans="1:46" ht="15.75" customHeight="1" x14ac:dyDescent="0.25">
      <c r="A17" s="63"/>
      <c r="B17" s="63"/>
      <c r="C17" s="63"/>
      <c r="D17" s="63"/>
      <c r="E17" s="63"/>
      <c r="F17" s="63"/>
      <c r="G17" s="63"/>
      <c r="H17" s="63"/>
      <c r="I17" s="63"/>
      <c r="J17" s="63"/>
      <c r="K17" s="63"/>
      <c r="L17" s="63"/>
      <c r="M17" s="63"/>
      <c r="N17" s="63"/>
      <c r="O17" s="63"/>
      <c r="P17" s="63"/>
      <c r="Q17" s="63"/>
      <c r="R17" s="63"/>
      <c r="S17" s="63"/>
      <c r="T17" s="63"/>
      <c r="U17" s="78" t="str">
        <v>Kai</v>
      </c>
      <c r="V17" t="str">
        <v>Gen Pop</v>
      </c>
      <c r="W17" t="str">
        <v>Gen Pop</v>
      </c>
      <c r="X17" t="str">
        <v>N/A</v>
      </c>
      <c r="Y17" t="str">
        <v>Male</v>
      </c>
      <c r="Z17" s="79" t="str">
        <v>Cybex</v>
      </c>
      <c r="AA17" s="63"/>
      <c r="AB17" s="63"/>
      <c r="AC17" s="63"/>
      <c r="AD17" s="63"/>
      <c r="AE17" s="63"/>
      <c r="AF17" s="63"/>
      <c r="AG17" s="63"/>
      <c r="AH17" s="63"/>
      <c r="AI17" s="63"/>
      <c r="AJ17" s="63"/>
      <c r="AK17" s="63"/>
      <c r="AL17" s="63"/>
      <c r="AM17" s="63"/>
      <c r="AN17" s="63"/>
      <c r="AO17" s="63"/>
      <c r="AP17" s="63"/>
      <c r="AQ17" s="63"/>
      <c r="AR17" s="63"/>
      <c r="AS17" s="63"/>
      <c r="AT17" s="63"/>
    </row>
    <row r="18" spans="1:46" ht="15.75" customHeight="1" x14ac:dyDescent="0.25">
      <c r="A18" s="63"/>
      <c r="B18" s="63"/>
      <c r="C18" s="63"/>
      <c r="D18" s="63"/>
      <c r="E18" s="63"/>
      <c r="F18" s="63"/>
      <c r="G18" s="63"/>
      <c r="H18" s="63"/>
      <c r="I18" s="63"/>
      <c r="J18" s="63"/>
      <c r="K18" s="63"/>
      <c r="L18" s="63"/>
      <c r="M18" s="63"/>
      <c r="N18" s="63"/>
      <c r="O18" s="63"/>
      <c r="P18" s="63"/>
      <c r="Q18" s="63"/>
      <c r="R18" s="63"/>
      <c r="S18" s="63"/>
      <c r="T18" s="63"/>
      <c r="U18" s="78" t="str">
        <v>Kai</v>
      </c>
      <c r="V18" t="str">
        <v>Track</v>
      </c>
      <c r="W18" t="str">
        <v>Elite</v>
      </c>
      <c r="X18" t="str">
        <v>Sprinters</v>
      </c>
      <c r="Y18" t="str">
        <v>Male</v>
      </c>
      <c r="Z18" s="79" t="str">
        <v>Cybex</v>
      </c>
      <c r="AA18" s="63"/>
      <c r="AB18" s="63"/>
      <c r="AC18" s="63"/>
      <c r="AD18" s="63"/>
      <c r="AE18" s="63"/>
      <c r="AF18" s="63"/>
      <c r="AG18" s="63"/>
      <c r="AH18" s="63"/>
      <c r="AI18" s="63"/>
      <c r="AJ18" s="63"/>
      <c r="AK18" s="63"/>
      <c r="AL18" s="63"/>
      <c r="AM18" s="63"/>
      <c r="AN18" s="63"/>
      <c r="AO18" s="63"/>
      <c r="AP18" s="63"/>
      <c r="AQ18" s="63"/>
      <c r="AR18" s="63"/>
      <c r="AS18" s="63"/>
      <c r="AT18" s="63"/>
    </row>
    <row r="19" spans="1:46" ht="15.75" customHeight="1" x14ac:dyDescent="0.25">
      <c r="A19" s="63"/>
      <c r="B19" s="63"/>
      <c r="C19" s="63"/>
      <c r="D19" s="63"/>
      <c r="E19" s="63"/>
      <c r="F19" s="63"/>
      <c r="G19" s="63"/>
      <c r="H19" s="63"/>
      <c r="I19" s="63"/>
      <c r="J19" s="63"/>
      <c r="K19" s="63"/>
      <c r="L19" s="63"/>
      <c r="M19" s="63"/>
      <c r="N19" s="63"/>
      <c r="O19" s="63"/>
      <c r="P19" s="63"/>
      <c r="Q19" s="63"/>
      <c r="R19" s="63"/>
      <c r="S19" s="63"/>
      <c r="T19" s="63"/>
      <c r="U19" s="78" t="str">
        <v>Kai</v>
      </c>
      <c r="V19" t="str">
        <v>Gen Pop</v>
      </c>
      <c r="W19" t="str">
        <v>Gen Pop</v>
      </c>
      <c r="X19" t="str">
        <v>N/A</v>
      </c>
      <c r="Y19" t="str">
        <v>Male</v>
      </c>
      <c r="Z19" s="79" t="str">
        <v>Cybex</v>
      </c>
      <c r="AA19" s="63"/>
      <c r="AB19" s="63"/>
      <c r="AC19" s="63"/>
      <c r="AD19" s="63"/>
      <c r="AE19" s="63"/>
      <c r="AF19" s="63"/>
      <c r="AG19" s="63"/>
      <c r="AH19" s="63"/>
      <c r="AI19" s="63"/>
      <c r="AJ19" s="63"/>
      <c r="AK19" s="63"/>
      <c r="AL19" s="63"/>
      <c r="AM19" s="63"/>
      <c r="AN19" s="63"/>
      <c r="AO19" s="63"/>
      <c r="AP19" s="63"/>
      <c r="AQ19" s="63"/>
      <c r="AR19" s="63"/>
      <c r="AS19" s="63"/>
      <c r="AT19" s="63"/>
    </row>
    <row r="20" spans="1:46" ht="15.75" customHeight="1" thickBot="1" x14ac:dyDescent="0.3">
      <c r="A20" s="63"/>
      <c r="B20" s="63"/>
      <c r="C20" s="63"/>
      <c r="D20" s="63"/>
      <c r="E20" s="253" t="s">
        <v>2</v>
      </c>
      <c r="F20" s="253"/>
      <c r="G20" s="253"/>
      <c r="H20" s="253"/>
      <c r="I20" s="63"/>
      <c r="J20" s="63"/>
      <c r="K20" s="63"/>
      <c r="L20" s="63"/>
      <c r="M20" s="63"/>
      <c r="N20" s="63"/>
      <c r="O20" s="63"/>
      <c r="P20" s="63"/>
      <c r="Q20" s="63"/>
      <c r="R20" s="63"/>
      <c r="S20" s="63"/>
      <c r="T20" s="63"/>
      <c r="U20" s="78" t="str">
        <v>Song</v>
      </c>
      <c r="V20" t="str">
        <v>Basketball</v>
      </c>
      <c r="W20" t="str">
        <v xml:space="preserve">Professional </v>
      </c>
      <c r="X20" t="str">
        <v>N/A</v>
      </c>
      <c r="Y20" t="str">
        <v>Male</v>
      </c>
      <c r="Z20" s="79" t="str">
        <v>CSMI</v>
      </c>
      <c r="AA20" s="63"/>
      <c r="AB20" s="63"/>
      <c r="AC20" s="63"/>
      <c r="AD20" s="63"/>
      <c r="AE20" s="63"/>
      <c r="AF20" s="63"/>
      <c r="AG20" s="63"/>
      <c r="AH20" s="63"/>
      <c r="AI20" s="63"/>
      <c r="AJ20" s="63"/>
      <c r="AK20" s="63"/>
      <c r="AL20" s="63"/>
      <c r="AM20" s="63"/>
      <c r="AN20" s="63"/>
      <c r="AO20" s="63"/>
      <c r="AP20" s="63"/>
      <c r="AQ20" s="63"/>
      <c r="AR20" s="63"/>
      <c r="AS20" s="63"/>
      <c r="AT20" s="63"/>
    </row>
    <row r="21" spans="1:46" ht="15.75" customHeight="1" x14ac:dyDescent="0.25">
      <c r="A21" s="63"/>
      <c r="B21" s="63"/>
      <c r="C21" s="63"/>
      <c r="D21" s="63"/>
      <c r="E21" s="172" t="s">
        <v>372</v>
      </c>
      <c r="F21" s="101">
        <f>COUNTIF(A:A, "30")</f>
        <v>26</v>
      </c>
      <c r="G21" s="173" t="s">
        <v>374</v>
      </c>
      <c r="H21" s="177">
        <f>COUNTIF(A:A, "120")</f>
        <v>30</v>
      </c>
      <c r="I21" s="63"/>
      <c r="J21" s="63"/>
      <c r="K21" s="63"/>
      <c r="L21" s="63"/>
      <c r="M21" s="63"/>
      <c r="N21" s="63"/>
      <c r="O21" s="63"/>
      <c r="P21" s="63"/>
      <c r="Q21" s="63"/>
      <c r="R21" s="63"/>
      <c r="S21" s="63"/>
      <c r="T21" s="63"/>
      <c r="U21" s="78" t="str">
        <v>Song</v>
      </c>
      <c r="V21" t="str">
        <v>Basketball</v>
      </c>
      <c r="W21" t="str">
        <v xml:space="preserve">Professional </v>
      </c>
      <c r="X21" t="str">
        <v>N/A</v>
      </c>
      <c r="Y21" t="str">
        <v>Male</v>
      </c>
      <c r="Z21" s="79" t="str">
        <v>CSMI</v>
      </c>
      <c r="AA21" s="63"/>
      <c r="AB21" s="63"/>
      <c r="AC21" s="63"/>
      <c r="AD21" s="63"/>
      <c r="AE21" s="63"/>
      <c r="AF21" s="63"/>
      <c r="AG21" s="63"/>
      <c r="AH21" s="63"/>
      <c r="AI21" s="63"/>
      <c r="AJ21" s="63"/>
      <c r="AK21" s="63"/>
      <c r="AL21" s="63"/>
      <c r="AM21" s="63"/>
      <c r="AN21" s="63"/>
      <c r="AO21" s="63"/>
      <c r="AP21" s="63"/>
      <c r="AQ21" s="63"/>
      <c r="AR21" s="63"/>
      <c r="AS21" s="63"/>
      <c r="AT21" s="63"/>
    </row>
    <row r="22" spans="1:46" x14ac:dyDescent="0.25">
      <c r="A22" s="63"/>
      <c r="B22" s="63"/>
      <c r="C22" s="63"/>
      <c r="D22" s="63"/>
      <c r="E22" s="80" t="s">
        <v>373</v>
      </c>
      <c r="F22">
        <f>COUNTIF(A:A, "60")</f>
        <v>19</v>
      </c>
      <c r="G22" s="169" t="s">
        <v>375</v>
      </c>
      <c r="H22" s="176">
        <f>COUNTIF(A:A, "150")</f>
        <v>6</v>
      </c>
      <c r="I22" s="63"/>
      <c r="J22" s="63"/>
      <c r="K22" s="63"/>
      <c r="L22" s="63"/>
      <c r="M22" s="63"/>
      <c r="N22" s="63"/>
      <c r="O22" s="63"/>
      <c r="P22" s="63"/>
      <c r="Q22" s="63"/>
      <c r="R22" s="63"/>
      <c r="S22" s="63"/>
      <c r="T22" s="63"/>
      <c r="U22" s="78" t="str">
        <v>Song</v>
      </c>
      <c r="V22" t="str">
        <v>Basketball</v>
      </c>
      <c r="W22" t="str">
        <v xml:space="preserve">Professional </v>
      </c>
      <c r="X22" t="str">
        <v>N/A</v>
      </c>
      <c r="Y22" t="str">
        <v>Male</v>
      </c>
      <c r="Z22" s="79" t="str">
        <v>CSMI</v>
      </c>
      <c r="AA22" s="63"/>
      <c r="AB22" s="63"/>
      <c r="AC22" s="63"/>
      <c r="AD22" s="63"/>
      <c r="AE22" s="63"/>
      <c r="AF22" s="63"/>
      <c r="AG22" s="63"/>
      <c r="AH22" s="63"/>
      <c r="AI22" s="63"/>
      <c r="AJ22" s="63"/>
      <c r="AK22" s="63"/>
      <c r="AL22" s="63"/>
      <c r="AM22" s="63"/>
      <c r="AN22" s="63"/>
      <c r="AO22" s="63"/>
      <c r="AP22" s="63"/>
      <c r="AQ22" s="63"/>
      <c r="AR22" s="63"/>
      <c r="AS22" s="63"/>
      <c r="AT22" s="63"/>
    </row>
    <row r="23" spans="1:46" ht="12.75" customHeight="1" thickBot="1" x14ac:dyDescent="0.3">
      <c r="A23" s="63"/>
      <c r="B23" s="63"/>
      <c r="C23" s="63"/>
      <c r="D23" s="63"/>
      <c r="E23" s="81" t="s">
        <v>237</v>
      </c>
      <c r="F23" s="69">
        <f>COUNTIF(A:A, "90")</f>
        <v>12</v>
      </c>
      <c r="G23" s="169" t="s">
        <v>185</v>
      </c>
      <c r="H23" s="176">
        <f>COUNTIF(A:A, "180")</f>
        <v>10</v>
      </c>
      <c r="I23" s="63"/>
      <c r="J23" s="63"/>
      <c r="K23" s="63"/>
      <c r="L23" s="63"/>
      <c r="M23" s="63"/>
      <c r="N23" s="63"/>
      <c r="O23" s="63"/>
      <c r="P23" s="63"/>
      <c r="Q23" s="63"/>
      <c r="R23" s="63"/>
      <c r="S23" s="63"/>
      <c r="T23" s="63"/>
      <c r="U23" s="98" t="str">
        <v>Song</v>
      </c>
      <c r="V23" s="69" t="str">
        <v>Basketball</v>
      </c>
      <c r="W23" s="69" t="str">
        <v xml:space="preserve">Professional </v>
      </c>
      <c r="X23" s="69" t="str">
        <v>N/A</v>
      </c>
      <c r="Y23" s="69" t="str">
        <v>Male</v>
      </c>
      <c r="Z23" s="82" t="str">
        <v>CSMI</v>
      </c>
      <c r="AA23" s="63"/>
      <c r="AB23" s="63"/>
      <c r="AC23" s="63"/>
      <c r="AD23" s="63"/>
      <c r="AE23" s="63"/>
      <c r="AF23" s="63"/>
      <c r="AG23" s="63"/>
      <c r="AH23" s="63"/>
      <c r="AI23" s="63"/>
      <c r="AJ23" s="63"/>
      <c r="AK23" s="63"/>
      <c r="AL23" s="63"/>
      <c r="AM23" s="63"/>
      <c r="AN23" s="63"/>
      <c r="AO23" s="63"/>
      <c r="AP23" s="63"/>
      <c r="AQ23" s="63"/>
      <c r="AR23" s="63"/>
      <c r="AS23" s="63"/>
      <c r="AT23" s="63"/>
    </row>
    <row r="24" spans="1:46" ht="15.75" hidden="1" customHeight="1" x14ac:dyDescent="0.25">
      <c r="A24" s="63"/>
      <c r="B24" s="63"/>
      <c r="C24" s="63"/>
      <c r="D24" s="63"/>
      <c r="E24" s="170" t="s">
        <v>185</v>
      </c>
      <c r="F24">
        <f>COUNTIF(B:B, "180")</f>
        <v>0</v>
      </c>
      <c r="G24" s="174"/>
      <c r="H24" s="178"/>
      <c r="I24" s="63"/>
      <c r="J24" s="63"/>
      <c r="K24" s="63"/>
      <c r="L24" s="63"/>
      <c r="M24" s="63"/>
      <c r="N24" s="63"/>
      <c r="O24" s="63"/>
      <c r="P24" s="63"/>
      <c r="Q24" s="63"/>
      <c r="R24" s="63"/>
      <c r="S24" s="63"/>
      <c r="T24" s="63"/>
      <c r="U24" t="str">
        <v>Bradic</v>
      </c>
      <c r="V24" t="str">
        <v>Basketball</v>
      </c>
      <c r="W24" t="str">
        <v xml:space="preserve">Professional </v>
      </c>
      <c r="X24" t="str">
        <v>B.Guards</v>
      </c>
      <c r="Y24" t="str">
        <v>Male</v>
      </c>
      <c r="Z24" t="str">
        <v>Biodex</v>
      </c>
      <c r="AA24" s="63"/>
      <c r="AB24" s="63"/>
      <c r="AC24" s="63"/>
      <c r="AD24" s="63"/>
      <c r="AE24" s="63"/>
      <c r="AF24" s="63"/>
      <c r="AG24" s="63"/>
      <c r="AH24" s="63"/>
      <c r="AI24" s="63"/>
      <c r="AJ24" s="63"/>
      <c r="AK24" s="63"/>
      <c r="AL24" s="63"/>
      <c r="AM24" s="63"/>
      <c r="AN24" s="63"/>
      <c r="AO24" s="63"/>
      <c r="AP24" s="63"/>
      <c r="AQ24" s="63"/>
      <c r="AR24" s="63"/>
      <c r="AS24" s="63"/>
      <c r="AT24" s="63"/>
    </row>
    <row r="25" spans="1:46" ht="15.75" hidden="1" customHeight="1" x14ac:dyDescent="0.25">
      <c r="A25" s="63"/>
      <c r="B25" s="63"/>
      <c r="C25" s="63"/>
      <c r="D25" s="63"/>
      <c r="E25" s="63"/>
      <c r="F25" s="63"/>
      <c r="G25" s="175"/>
      <c r="H25" s="179"/>
      <c r="I25" s="63"/>
      <c r="J25" s="63"/>
      <c r="K25" s="63"/>
      <c r="L25" s="63"/>
      <c r="M25" s="63"/>
      <c r="N25" s="63"/>
      <c r="O25" s="63"/>
      <c r="P25" s="63"/>
      <c r="Q25" s="63"/>
      <c r="R25" s="63"/>
      <c r="S25" s="63"/>
      <c r="T25" s="63"/>
      <c r="U25" t="str">
        <v>Bradic</v>
      </c>
      <c r="V25" t="str">
        <v>Basketball</v>
      </c>
      <c r="W25" t="str">
        <v xml:space="preserve">Professional </v>
      </c>
      <c r="X25" t="str">
        <v>B.Guards</v>
      </c>
      <c r="Y25" t="str">
        <v>Male</v>
      </c>
      <c r="Z25" t="str">
        <v>Biodex</v>
      </c>
      <c r="AA25" s="63"/>
      <c r="AB25" s="63"/>
      <c r="AC25" s="63"/>
      <c r="AD25" s="63"/>
      <c r="AE25" s="63"/>
      <c r="AF25" s="63"/>
      <c r="AG25" s="63"/>
      <c r="AH25" s="63"/>
      <c r="AI25" s="63"/>
      <c r="AJ25" s="63"/>
      <c r="AK25" s="63"/>
      <c r="AL25" s="63"/>
      <c r="AM25" s="63"/>
      <c r="AN25" s="63"/>
      <c r="AO25" s="63"/>
      <c r="AP25" s="63"/>
      <c r="AQ25" s="63"/>
      <c r="AR25" s="63"/>
      <c r="AS25" s="63"/>
      <c r="AT25" s="63"/>
    </row>
    <row r="26" spans="1:46" ht="15.75" hidden="1" customHeight="1" x14ac:dyDescent="0.25">
      <c r="A26" s="63"/>
      <c r="B26" s="63"/>
      <c r="C26" s="63"/>
      <c r="D26" s="63"/>
      <c r="E26" s="63"/>
      <c r="F26" s="63"/>
      <c r="G26" s="175"/>
      <c r="H26" s="179"/>
      <c r="I26" s="63"/>
      <c r="J26" s="63"/>
      <c r="K26" s="63"/>
      <c r="L26" s="63"/>
      <c r="M26" s="63"/>
      <c r="N26" s="63"/>
      <c r="O26" s="63"/>
      <c r="P26" s="63"/>
      <c r="Q26" s="63"/>
      <c r="R26" s="63"/>
      <c r="S26" s="63"/>
      <c r="T26" s="63"/>
      <c r="U26" t="str">
        <v>Bradic</v>
      </c>
      <c r="V26" t="str">
        <v>Basketball</v>
      </c>
      <c r="W26" t="str">
        <v xml:space="preserve">Professional </v>
      </c>
      <c r="X26" t="str">
        <v>B.Forwards</v>
      </c>
      <c r="Y26" t="str">
        <v>Male</v>
      </c>
      <c r="Z26" t="str">
        <v>Biodex</v>
      </c>
      <c r="AA26" s="63"/>
      <c r="AB26" s="63"/>
      <c r="AC26" s="63"/>
      <c r="AD26" s="63"/>
      <c r="AE26" s="63"/>
      <c r="AF26" s="63"/>
      <c r="AG26" s="63"/>
      <c r="AH26" s="63"/>
      <c r="AI26" s="63"/>
      <c r="AJ26" s="63"/>
      <c r="AK26" s="63"/>
      <c r="AL26" s="63"/>
      <c r="AM26" s="63"/>
      <c r="AN26" s="63"/>
      <c r="AO26" s="63"/>
      <c r="AP26" s="63"/>
      <c r="AQ26" s="63"/>
      <c r="AR26" s="63"/>
      <c r="AS26" s="63"/>
      <c r="AT26" s="63"/>
    </row>
    <row r="27" spans="1:46" ht="15.75" hidden="1" customHeight="1" x14ac:dyDescent="0.25">
      <c r="A27" s="63"/>
      <c r="B27" s="63"/>
      <c r="C27" s="63"/>
      <c r="D27" s="63"/>
      <c r="E27" s="63"/>
      <c r="F27" s="63"/>
      <c r="G27" s="175"/>
      <c r="H27" s="179"/>
      <c r="I27" s="63"/>
      <c r="J27" s="63"/>
      <c r="K27" s="63"/>
      <c r="L27" s="63"/>
      <c r="M27" s="63"/>
      <c r="N27" s="63"/>
      <c r="O27" s="63"/>
      <c r="P27" s="63"/>
      <c r="Q27" s="63"/>
      <c r="R27" s="63"/>
      <c r="S27" s="63"/>
      <c r="T27" s="63"/>
      <c r="U27" t="str">
        <v>Bradic</v>
      </c>
      <c r="V27" t="str">
        <v>Basketball</v>
      </c>
      <c r="W27" t="str">
        <v xml:space="preserve">Professional </v>
      </c>
      <c r="X27" t="str">
        <v>B.Forwards</v>
      </c>
      <c r="Y27" t="str">
        <v>Male</v>
      </c>
      <c r="Z27" t="str">
        <v>Biodex</v>
      </c>
      <c r="AA27" s="63"/>
      <c r="AB27" s="63"/>
      <c r="AC27" s="63"/>
      <c r="AD27" s="63"/>
      <c r="AE27" s="63"/>
      <c r="AF27" s="63"/>
      <c r="AG27" s="63"/>
      <c r="AH27" s="63"/>
      <c r="AI27" s="63"/>
      <c r="AJ27" s="63"/>
      <c r="AK27" s="63"/>
      <c r="AL27" s="63"/>
      <c r="AM27" s="63"/>
      <c r="AN27" s="63"/>
      <c r="AO27" s="63"/>
      <c r="AP27" s="63"/>
      <c r="AQ27" s="63"/>
      <c r="AR27" s="63"/>
      <c r="AS27" s="63"/>
      <c r="AT27" s="63"/>
    </row>
    <row r="28" spans="1:46" ht="15.75" hidden="1" customHeight="1" x14ac:dyDescent="0.25">
      <c r="A28" s="63"/>
      <c r="B28" s="63"/>
      <c r="C28" s="63"/>
      <c r="D28" s="63"/>
      <c r="E28" s="63"/>
      <c r="F28" s="63"/>
      <c r="G28" s="175"/>
      <c r="H28" s="179"/>
      <c r="I28" s="63"/>
      <c r="J28" s="63"/>
      <c r="K28" s="63"/>
      <c r="L28" s="63"/>
      <c r="M28" s="63"/>
      <c r="N28" s="63"/>
      <c r="O28" s="63"/>
      <c r="P28" s="63"/>
      <c r="Q28" s="63"/>
      <c r="R28" s="63"/>
      <c r="S28" s="63"/>
      <c r="T28" s="63"/>
      <c r="U28" t="str">
        <v>Bradic</v>
      </c>
      <c r="V28" t="str">
        <v>Basketball</v>
      </c>
      <c r="W28" t="str">
        <v xml:space="preserve">Professional </v>
      </c>
      <c r="X28" t="str">
        <v>B.Centers</v>
      </c>
      <c r="Y28" t="str">
        <v>Male</v>
      </c>
      <c r="Z28" t="str">
        <v>Biodex</v>
      </c>
      <c r="AA28" s="63"/>
      <c r="AB28" s="63"/>
      <c r="AC28" s="63"/>
      <c r="AD28" s="63"/>
      <c r="AE28" s="63"/>
      <c r="AF28" s="63"/>
      <c r="AG28" s="63"/>
      <c r="AH28" s="63"/>
      <c r="AI28" s="63"/>
      <c r="AJ28" s="63"/>
      <c r="AK28" s="63"/>
      <c r="AL28" s="63"/>
      <c r="AM28" s="63"/>
      <c r="AN28" s="63"/>
      <c r="AO28" s="63"/>
      <c r="AP28" s="63"/>
      <c r="AQ28" s="63"/>
      <c r="AR28" s="63"/>
      <c r="AS28" s="63"/>
      <c r="AT28" s="63"/>
    </row>
    <row r="29" spans="1:46" ht="15.75" hidden="1" customHeight="1" x14ac:dyDescent="0.25">
      <c r="A29" s="63"/>
      <c r="B29" s="63"/>
      <c r="C29" s="63"/>
      <c r="D29" s="63"/>
      <c r="E29" s="63"/>
      <c r="F29" s="63"/>
      <c r="G29" s="175"/>
      <c r="H29" s="179"/>
      <c r="I29" s="63"/>
      <c r="J29" s="63"/>
      <c r="K29" s="63"/>
      <c r="L29" s="63"/>
      <c r="M29" s="63"/>
      <c r="N29" s="63"/>
      <c r="O29" s="63"/>
      <c r="P29" s="63"/>
      <c r="Q29" s="63"/>
      <c r="R29" s="63"/>
      <c r="S29" s="63"/>
      <c r="T29" s="63"/>
      <c r="U29" t="str">
        <v>Bradic</v>
      </c>
      <c r="V29" t="str">
        <v>Basketball</v>
      </c>
      <c r="W29" t="str">
        <v xml:space="preserve">Professional </v>
      </c>
      <c r="X29" t="str">
        <v>B.Centers</v>
      </c>
      <c r="Y29" t="str">
        <v>Male</v>
      </c>
      <c r="Z29" t="str">
        <v>Biodex</v>
      </c>
      <c r="AA29" s="63"/>
      <c r="AB29" s="63"/>
      <c r="AC29" s="63"/>
      <c r="AD29" s="63"/>
      <c r="AE29" s="63"/>
      <c r="AF29" s="63"/>
      <c r="AG29" s="63"/>
      <c r="AH29" s="63"/>
      <c r="AI29" s="63"/>
      <c r="AJ29" s="63"/>
      <c r="AK29" s="63"/>
      <c r="AL29" s="63"/>
      <c r="AM29" s="63"/>
      <c r="AN29" s="63"/>
      <c r="AO29" s="63"/>
      <c r="AP29" s="63"/>
      <c r="AQ29" s="63"/>
      <c r="AR29" s="63"/>
      <c r="AS29" s="63"/>
      <c r="AT29" s="63"/>
    </row>
    <row r="30" spans="1:46" ht="15.75" hidden="1" customHeight="1" x14ac:dyDescent="0.25">
      <c r="A30" s="63"/>
      <c r="B30" s="63"/>
      <c r="C30" s="63"/>
      <c r="D30" s="63"/>
      <c r="E30" s="63"/>
      <c r="F30" s="63"/>
      <c r="G30" s="175"/>
      <c r="H30" s="179"/>
      <c r="I30" s="63"/>
      <c r="J30" s="63"/>
      <c r="K30" s="63"/>
      <c r="L30" s="63"/>
      <c r="M30" s="63"/>
      <c r="N30" s="63"/>
      <c r="O30" s="63"/>
      <c r="P30" s="63"/>
      <c r="Q30" s="63"/>
      <c r="R30" s="63"/>
      <c r="S30" s="63"/>
      <c r="T30" s="63"/>
      <c r="U30" t="str">
        <v>Payne</v>
      </c>
      <c r="V30" t="str">
        <v>Basketball</v>
      </c>
      <c r="W30" t="str">
        <v>Elite</v>
      </c>
      <c r="X30" t="str">
        <v>N/A</v>
      </c>
      <c r="Y30" t="str">
        <v>Female</v>
      </c>
      <c r="Z30" t="str">
        <v>Bodiex</v>
      </c>
      <c r="AA30" s="63"/>
      <c r="AB30" s="63"/>
      <c r="AC30" s="63"/>
      <c r="AD30" s="63"/>
      <c r="AE30" s="63"/>
      <c r="AF30" s="63"/>
      <c r="AG30" s="63"/>
      <c r="AH30" s="63"/>
      <c r="AI30" s="63"/>
      <c r="AJ30" s="63"/>
      <c r="AK30" s="63"/>
      <c r="AL30" s="63"/>
      <c r="AM30" s="63"/>
      <c r="AN30" s="63"/>
      <c r="AO30" s="63"/>
      <c r="AP30" s="63"/>
      <c r="AQ30" s="63"/>
      <c r="AR30" s="63"/>
      <c r="AS30" s="63"/>
      <c r="AT30" s="63"/>
    </row>
    <row r="31" spans="1:46" ht="15.75" hidden="1" customHeight="1" x14ac:dyDescent="0.25">
      <c r="A31" s="63"/>
      <c r="B31" s="63"/>
      <c r="C31" s="63"/>
      <c r="D31" s="63"/>
      <c r="E31" s="63"/>
      <c r="F31" s="63"/>
      <c r="G31" s="175"/>
      <c r="H31" s="179"/>
      <c r="I31" s="63"/>
      <c r="J31" s="63"/>
      <c r="K31" s="63"/>
      <c r="L31" s="63"/>
      <c r="M31" s="63"/>
      <c r="N31" s="63"/>
      <c r="O31" s="63"/>
      <c r="P31" s="63"/>
      <c r="Q31" s="63"/>
      <c r="R31" s="63"/>
      <c r="S31" s="63"/>
      <c r="T31" s="63"/>
      <c r="U31" t="str">
        <v>Payne</v>
      </c>
      <c r="V31" t="str">
        <v>Basketball</v>
      </c>
      <c r="W31" t="str">
        <v>Elite</v>
      </c>
      <c r="X31" t="str">
        <v>N/A</v>
      </c>
      <c r="Y31" t="str">
        <v>Female</v>
      </c>
      <c r="Z31" t="str">
        <v>Bodiex</v>
      </c>
      <c r="AA31" s="63"/>
      <c r="AB31" s="63"/>
      <c r="AC31" s="63"/>
      <c r="AD31" s="63"/>
      <c r="AE31" s="63"/>
      <c r="AF31" s="63"/>
      <c r="AG31" s="63"/>
      <c r="AH31" s="63"/>
      <c r="AI31" s="63"/>
      <c r="AJ31" s="63"/>
      <c r="AK31" s="63"/>
      <c r="AL31" s="63"/>
      <c r="AM31" s="63"/>
      <c r="AN31" s="63"/>
      <c r="AO31" s="63"/>
      <c r="AP31" s="63"/>
      <c r="AQ31" s="63"/>
      <c r="AR31" s="63"/>
      <c r="AS31" s="63"/>
      <c r="AT31" s="63"/>
    </row>
    <row r="32" spans="1:46" ht="15.75" hidden="1" customHeight="1" x14ac:dyDescent="0.25">
      <c r="A32" s="63"/>
      <c r="B32" s="63"/>
      <c r="C32" s="63"/>
      <c r="D32" s="63"/>
      <c r="E32" s="63"/>
      <c r="F32" s="63"/>
      <c r="G32" s="175"/>
      <c r="H32" s="179"/>
      <c r="I32" s="63"/>
      <c r="J32" s="63"/>
      <c r="K32" s="63"/>
      <c r="L32" s="63"/>
      <c r="M32" s="63"/>
      <c r="N32" s="63"/>
      <c r="O32" s="63"/>
      <c r="P32" s="63"/>
      <c r="Q32" s="63"/>
      <c r="R32" s="63"/>
      <c r="S32" s="63"/>
      <c r="T32" s="63"/>
      <c r="U32" t="str">
        <v>Payne</v>
      </c>
      <c r="V32" t="str">
        <v>Basketball</v>
      </c>
      <c r="W32" t="str">
        <v>Elite</v>
      </c>
      <c r="X32" t="str">
        <v>N/A</v>
      </c>
      <c r="Y32" t="str">
        <v>Female</v>
      </c>
      <c r="Z32" t="str">
        <v>Bodiex</v>
      </c>
      <c r="AA32" s="63"/>
      <c r="AB32" s="63"/>
      <c r="AC32" s="63"/>
      <c r="AD32" s="63"/>
      <c r="AE32" s="63"/>
      <c r="AF32" s="63"/>
      <c r="AG32" s="63"/>
      <c r="AH32" s="63"/>
      <c r="AI32" s="63"/>
      <c r="AJ32" s="63"/>
      <c r="AK32" s="63"/>
      <c r="AL32" s="63"/>
      <c r="AM32" s="63"/>
      <c r="AN32" s="63"/>
      <c r="AO32" s="63"/>
      <c r="AP32" s="63"/>
      <c r="AQ32" s="63"/>
      <c r="AR32" s="63"/>
      <c r="AS32" s="63"/>
      <c r="AT32" s="63"/>
    </row>
    <row r="33" spans="1:46" ht="15.75" hidden="1" customHeight="1" x14ac:dyDescent="0.25">
      <c r="A33" s="63"/>
      <c r="B33" s="63"/>
      <c r="C33" s="63"/>
      <c r="D33" s="63"/>
      <c r="E33" s="63"/>
      <c r="F33" s="63"/>
      <c r="G33" s="175"/>
      <c r="H33" s="179"/>
      <c r="I33" s="63"/>
      <c r="J33" s="63"/>
      <c r="K33" s="63"/>
      <c r="L33" s="63"/>
      <c r="M33" s="63"/>
      <c r="N33" s="63"/>
      <c r="O33" s="63"/>
      <c r="P33" s="63"/>
      <c r="Q33" s="63"/>
      <c r="R33" s="63"/>
      <c r="S33" s="63"/>
      <c r="T33" s="63"/>
      <c r="U33" t="str">
        <v>Payne</v>
      </c>
      <c r="V33" t="str">
        <v>Basketball</v>
      </c>
      <c r="W33" t="str">
        <v>Elite</v>
      </c>
      <c r="X33" t="str">
        <v>N/A</v>
      </c>
      <c r="Y33" t="str">
        <v>Female</v>
      </c>
      <c r="Z33" t="str">
        <v>Bodiex</v>
      </c>
      <c r="AA33" s="63"/>
      <c r="AB33" s="63"/>
      <c r="AC33" s="63"/>
      <c r="AD33" s="63"/>
      <c r="AE33" s="63"/>
      <c r="AF33" s="63"/>
      <c r="AG33" s="63"/>
      <c r="AH33" s="63"/>
      <c r="AI33" s="63"/>
      <c r="AJ33" s="63"/>
      <c r="AK33" s="63"/>
      <c r="AL33" s="63"/>
      <c r="AM33" s="63"/>
      <c r="AN33" s="63"/>
      <c r="AO33" s="63"/>
      <c r="AP33" s="63"/>
      <c r="AQ33" s="63"/>
      <c r="AR33" s="63"/>
      <c r="AS33" s="63"/>
      <c r="AT33" s="63"/>
    </row>
    <row r="34" spans="1:46" ht="15.75" hidden="1" customHeight="1" x14ac:dyDescent="0.25">
      <c r="A34" s="63"/>
      <c r="B34" s="63"/>
      <c r="C34" s="63"/>
      <c r="D34" s="63"/>
      <c r="E34" s="63"/>
      <c r="F34" s="63"/>
      <c r="G34" s="175"/>
      <c r="H34" s="179"/>
      <c r="I34" s="63"/>
      <c r="J34" s="63"/>
      <c r="K34" s="63"/>
      <c r="L34" s="63"/>
      <c r="M34" s="63"/>
      <c r="N34" s="63"/>
      <c r="O34" s="63"/>
      <c r="P34" s="63"/>
      <c r="Q34" s="63"/>
      <c r="R34" s="63"/>
      <c r="S34" s="63"/>
      <c r="T34" s="63"/>
      <c r="U34" t="str">
        <v>Payne</v>
      </c>
      <c r="V34" t="str">
        <v>Basketball</v>
      </c>
      <c r="W34" t="str">
        <v>Elite</v>
      </c>
      <c r="X34" t="str">
        <v>N/A</v>
      </c>
      <c r="Y34" t="str">
        <v>Male</v>
      </c>
      <c r="Z34" t="str">
        <v>Bodiex</v>
      </c>
      <c r="AA34" s="63"/>
      <c r="AB34" s="63"/>
      <c r="AC34" s="63"/>
      <c r="AD34" s="63"/>
      <c r="AE34" s="63"/>
      <c r="AF34" s="63"/>
      <c r="AG34" s="63"/>
      <c r="AH34" s="63"/>
      <c r="AI34" s="63"/>
      <c r="AJ34" s="63"/>
      <c r="AK34" s="63"/>
      <c r="AL34" s="63"/>
      <c r="AM34" s="63"/>
      <c r="AN34" s="63"/>
      <c r="AO34" s="63"/>
      <c r="AP34" s="63"/>
      <c r="AQ34" s="63"/>
      <c r="AR34" s="63"/>
      <c r="AS34" s="63"/>
      <c r="AT34" s="63"/>
    </row>
    <row r="35" spans="1:46" ht="15.75" hidden="1" customHeight="1" x14ac:dyDescent="0.25">
      <c r="A35" s="63"/>
      <c r="B35" s="63"/>
      <c r="C35" s="63"/>
      <c r="D35" s="63"/>
      <c r="E35" s="63"/>
      <c r="F35" s="63"/>
      <c r="G35" s="175"/>
      <c r="H35" s="179"/>
      <c r="I35" s="63"/>
      <c r="J35" s="63"/>
      <c r="K35" s="63"/>
      <c r="L35" s="63"/>
      <c r="M35" s="63"/>
      <c r="N35" s="63"/>
      <c r="O35" s="63"/>
      <c r="P35" s="63"/>
      <c r="Q35" s="63"/>
      <c r="R35" s="63"/>
      <c r="S35" s="63"/>
      <c r="T35" s="63"/>
      <c r="U35" t="str">
        <v>Payne</v>
      </c>
      <c r="V35" t="str">
        <v>Basketball</v>
      </c>
      <c r="W35" t="str">
        <v>Elite</v>
      </c>
      <c r="X35" t="str">
        <v>N/A</v>
      </c>
      <c r="Y35" t="str">
        <v>Male</v>
      </c>
      <c r="Z35" t="str">
        <v>Bodiex</v>
      </c>
      <c r="AA35" s="63"/>
      <c r="AB35" s="63"/>
      <c r="AC35" s="63"/>
      <c r="AD35" s="63"/>
      <c r="AE35" s="63"/>
      <c r="AF35" s="63"/>
      <c r="AG35" s="63"/>
      <c r="AH35" s="63"/>
      <c r="AI35" s="63"/>
      <c r="AJ35" s="63"/>
      <c r="AK35" s="63"/>
      <c r="AL35" s="63"/>
      <c r="AM35" s="63"/>
      <c r="AN35" s="63"/>
      <c r="AO35" s="63"/>
      <c r="AP35" s="63"/>
      <c r="AQ35" s="63"/>
      <c r="AR35" s="63"/>
      <c r="AS35" s="63"/>
      <c r="AT35" s="63"/>
    </row>
    <row r="36" spans="1:46" ht="15.75" hidden="1" customHeight="1" x14ac:dyDescent="0.25">
      <c r="A36" s="63"/>
      <c r="B36" s="63"/>
      <c r="C36" s="63"/>
      <c r="D36" s="63"/>
      <c r="E36" s="63"/>
      <c r="F36" s="63"/>
      <c r="G36" s="175"/>
      <c r="H36" s="179"/>
      <c r="I36" s="63"/>
      <c r="J36" s="63"/>
      <c r="K36" s="63"/>
      <c r="L36" s="63"/>
      <c r="M36" s="63"/>
      <c r="N36" s="63"/>
      <c r="O36" s="63"/>
      <c r="P36" s="63"/>
      <c r="Q36" s="63"/>
      <c r="R36" s="63"/>
      <c r="S36" s="63"/>
      <c r="T36" s="63"/>
      <c r="U36" t="str">
        <v>Payne</v>
      </c>
      <c r="V36" t="str">
        <v>Basketball</v>
      </c>
      <c r="W36" t="str">
        <v>Elite</v>
      </c>
      <c r="X36" t="str">
        <v>N/A</v>
      </c>
      <c r="Y36" t="str">
        <v>Male</v>
      </c>
      <c r="Z36" t="str">
        <v>Bodiex</v>
      </c>
      <c r="AA36" s="63"/>
      <c r="AB36" s="63"/>
      <c r="AC36" s="63"/>
      <c r="AD36" s="63"/>
      <c r="AE36" s="63"/>
      <c r="AF36" s="63"/>
      <c r="AG36" s="63"/>
      <c r="AH36" s="63"/>
      <c r="AI36" s="63"/>
      <c r="AJ36" s="63"/>
      <c r="AK36" s="63"/>
      <c r="AL36" s="63"/>
      <c r="AM36" s="63"/>
      <c r="AN36" s="63"/>
      <c r="AO36" s="63"/>
      <c r="AP36" s="63"/>
      <c r="AQ36" s="63"/>
      <c r="AR36" s="63"/>
      <c r="AS36" s="63"/>
      <c r="AT36" s="63"/>
    </row>
    <row r="37" spans="1:46" ht="15.75" hidden="1" customHeight="1" x14ac:dyDescent="0.25">
      <c r="A37" s="63"/>
      <c r="B37" s="63"/>
      <c r="C37" s="63"/>
      <c r="D37" s="63"/>
      <c r="E37" s="63"/>
      <c r="F37" s="63"/>
      <c r="G37" s="175"/>
      <c r="H37" s="179"/>
      <c r="I37" s="63"/>
      <c r="J37" s="63"/>
      <c r="K37" s="63"/>
      <c r="L37" s="63"/>
      <c r="M37" s="63"/>
      <c r="N37" s="63"/>
      <c r="O37" s="63"/>
      <c r="P37" s="63"/>
      <c r="Q37" s="63"/>
      <c r="R37" s="63"/>
      <c r="S37" s="63"/>
      <c r="T37" s="63"/>
      <c r="U37" t="str">
        <v>Payne</v>
      </c>
      <c r="V37" t="str">
        <v>Basketball</v>
      </c>
      <c r="W37" t="str">
        <v>Elite</v>
      </c>
      <c r="X37" t="str">
        <v>N/A</v>
      </c>
      <c r="Y37" t="str">
        <v>Male</v>
      </c>
      <c r="Z37" t="str">
        <v>Bodiex</v>
      </c>
      <c r="AA37" s="63"/>
      <c r="AB37" s="63"/>
      <c r="AC37" s="63"/>
      <c r="AD37" s="63"/>
      <c r="AE37" s="63"/>
      <c r="AF37" s="63"/>
      <c r="AG37" s="63"/>
      <c r="AH37" s="63"/>
      <c r="AI37" s="63"/>
      <c r="AJ37" s="63"/>
      <c r="AK37" s="63"/>
      <c r="AL37" s="63"/>
      <c r="AM37" s="63"/>
      <c r="AN37" s="63"/>
      <c r="AO37" s="63"/>
      <c r="AP37" s="63"/>
      <c r="AQ37" s="63"/>
      <c r="AR37" s="63"/>
      <c r="AS37" s="63"/>
      <c r="AT37" s="63"/>
    </row>
    <row r="38" spans="1:46" ht="15.75" hidden="1" customHeight="1" x14ac:dyDescent="0.25">
      <c r="A38" s="63"/>
      <c r="B38" s="63"/>
      <c r="C38" s="63"/>
      <c r="D38" s="63"/>
      <c r="E38" s="63"/>
      <c r="F38" s="63"/>
      <c r="G38" s="175"/>
      <c r="H38" s="179"/>
      <c r="I38" s="63"/>
      <c r="J38" s="63"/>
      <c r="K38" s="63"/>
      <c r="L38" s="63"/>
      <c r="M38" s="63"/>
      <c r="N38" s="63"/>
      <c r="O38" s="63"/>
      <c r="P38" s="63"/>
      <c r="Q38" s="63"/>
      <c r="R38" s="63"/>
      <c r="S38" s="63"/>
      <c r="T38" s="63"/>
      <c r="U38" t="str">
        <v>Tuominen</v>
      </c>
      <c r="V38" t="str">
        <v>Gen Pop</v>
      </c>
      <c r="W38" t="str">
        <v>Adults</v>
      </c>
      <c r="X38" t="str">
        <v>N/A</v>
      </c>
      <c r="Y38" t="str">
        <v>Mixed</v>
      </c>
      <c r="Z38" t="str">
        <v>Biodex</v>
      </c>
      <c r="AA38" s="63"/>
      <c r="AB38" s="63"/>
      <c r="AC38" s="63"/>
      <c r="AD38" s="63"/>
      <c r="AE38" s="63"/>
      <c r="AF38" s="63"/>
      <c r="AG38" s="63"/>
      <c r="AH38" s="63"/>
      <c r="AI38" s="63"/>
      <c r="AJ38" s="63"/>
      <c r="AK38" s="63"/>
      <c r="AL38" s="63"/>
      <c r="AM38" s="63"/>
      <c r="AN38" s="63"/>
      <c r="AO38" s="63"/>
      <c r="AP38" s="63"/>
      <c r="AQ38" s="63"/>
      <c r="AR38" s="63"/>
      <c r="AS38" s="63"/>
      <c r="AT38" s="63"/>
    </row>
    <row r="39" spans="1:46" ht="15.75" hidden="1" customHeight="1" x14ac:dyDescent="0.25">
      <c r="A39" s="63"/>
      <c r="B39" s="63"/>
      <c r="C39" s="63"/>
      <c r="D39" s="63"/>
      <c r="E39" s="63"/>
      <c r="F39" s="63"/>
      <c r="G39" s="175"/>
      <c r="H39" s="179"/>
      <c r="I39" s="63"/>
      <c r="J39" s="63"/>
      <c r="K39" s="63"/>
      <c r="L39" s="63"/>
      <c r="M39" s="63"/>
      <c r="N39" s="63"/>
      <c r="O39" s="63"/>
      <c r="P39" s="63"/>
      <c r="Q39" s="63"/>
      <c r="R39" s="63"/>
      <c r="S39" s="63"/>
      <c r="T39" s="63"/>
      <c r="U39" t="str">
        <v>Tuominen</v>
      </c>
      <c r="V39" t="str">
        <v>Gen Pop</v>
      </c>
      <c r="W39" t="str">
        <v>Adults</v>
      </c>
      <c r="X39" t="str">
        <v>N/A</v>
      </c>
      <c r="Y39" t="str">
        <v>Mixed</v>
      </c>
      <c r="Z39" t="str">
        <v>Biodex</v>
      </c>
      <c r="AA39" s="63"/>
      <c r="AB39" s="63"/>
      <c r="AC39" s="63"/>
      <c r="AD39" s="63"/>
      <c r="AE39" s="63"/>
      <c r="AF39" s="63"/>
      <c r="AG39" s="63"/>
      <c r="AH39" s="63"/>
      <c r="AI39" s="63"/>
      <c r="AJ39" s="63"/>
      <c r="AK39" s="63"/>
      <c r="AL39" s="63"/>
      <c r="AM39" s="63"/>
      <c r="AN39" s="63"/>
      <c r="AO39" s="63"/>
      <c r="AP39" s="63"/>
      <c r="AQ39" s="63"/>
      <c r="AR39" s="63"/>
      <c r="AS39" s="63"/>
      <c r="AT39" s="63"/>
    </row>
    <row r="40" spans="1:46" ht="15.75" hidden="1" customHeight="1" x14ac:dyDescent="0.25">
      <c r="A40" s="63"/>
      <c r="B40" s="63"/>
      <c r="C40" s="63"/>
      <c r="D40" s="63"/>
      <c r="E40" s="63"/>
      <c r="F40" s="63"/>
      <c r="G40" s="175"/>
      <c r="H40" s="179"/>
      <c r="I40" s="63"/>
      <c r="J40" s="63"/>
      <c r="K40" s="63"/>
      <c r="L40" s="63"/>
      <c r="M40" s="63"/>
      <c r="N40" s="63"/>
      <c r="O40" s="63"/>
      <c r="P40" s="63"/>
      <c r="Q40" s="63"/>
      <c r="R40" s="63"/>
      <c r="S40" s="63"/>
      <c r="T40" s="63"/>
      <c r="U40" t="str">
        <v>Silva</v>
      </c>
      <c r="V40" t="str">
        <v>Soccer</v>
      </c>
      <c r="W40" t="str">
        <v>Elite</v>
      </c>
      <c r="X40" t="str">
        <v>N/A</v>
      </c>
      <c r="Y40" t="str">
        <v>Male</v>
      </c>
      <c r="Z40" t="str">
        <v>Biodex</v>
      </c>
      <c r="AA40" s="63"/>
      <c r="AB40" s="63"/>
      <c r="AC40" s="63"/>
      <c r="AD40" s="63"/>
      <c r="AE40" s="63"/>
      <c r="AF40" s="63"/>
      <c r="AG40" s="63"/>
      <c r="AH40" s="63"/>
      <c r="AI40" s="63"/>
      <c r="AJ40" s="63"/>
      <c r="AK40" s="63"/>
      <c r="AL40" s="63"/>
      <c r="AM40" s="63"/>
      <c r="AN40" s="63"/>
      <c r="AO40" s="63"/>
      <c r="AP40" s="63"/>
      <c r="AQ40" s="63"/>
      <c r="AR40" s="63"/>
      <c r="AS40" s="63"/>
      <c r="AT40" s="63"/>
    </row>
    <row r="41" spans="1:46" ht="15.75" hidden="1" customHeight="1" x14ac:dyDescent="0.25">
      <c r="A41" s="63"/>
      <c r="B41" s="63"/>
      <c r="C41" s="63"/>
      <c r="D41" s="63"/>
      <c r="E41" s="63"/>
      <c r="F41" s="63"/>
      <c r="G41" s="175"/>
      <c r="H41" s="179"/>
      <c r="I41" s="63"/>
      <c r="J41" s="63"/>
      <c r="K41" s="63"/>
      <c r="L41" s="63"/>
      <c r="M41" s="63"/>
      <c r="N41" s="63"/>
      <c r="O41" s="63"/>
      <c r="P41" s="63"/>
      <c r="Q41" s="63"/>
      <c r="R41" s="63"/>
      <c r="S41" s="63"/>
      <c r="T41" s="63"/>
      <c r="U41" t="str">
        <v>Silva</v>
      </c>
      <c r="V41" t="str">
        <v>Soccer</v>
      </c>
      <c r="W41" t="str">
        <v>Elite</v>
      </c>
      <c r="X41" t="str">
        <v>N/A</v>
      </c>
      <c r="Y41" t="str">
        <v>Male</v>
      </c>
      <c r="Z41" t="str">
        <v>Biodex</v>
      </c>
      <c r="AA41" s="63"/>
      <c r="AB41" s="63"/>
      <c r="AC41" s="63"/>
      <c r="AD41" s="63"/>
      <c r="AE41" s="63"/>
      <c r="AF41" s="63"/>
      <c r="AG41" s="63"/>
      <c r="AH41" s="63"/>
      <c r="AI41" s="63"/>
      <c r="AJ41" s="63"/>
      <c r="AK41" s="63"/>
      <c r="AL41" s="63"/>
      <c r="AM41" s="63"/>
      <c r="AN41" s="63"/>
      <c r="AO41" s="63"/>
      <c r="AP41" s="63"/>
      <c r="AQ41" s="63"/>
      <c r="AR41" s="63"/>
      <c r="AS41" s="63"/>
      <c r="AT41" s="63"/>
    </row>
    <row r="42" spans="1:46" ht="15.75" hidden="1" customHeight="1" x14ac:dyDescent="0.25">
      <c r="A42" s="63"/>
      <c r="B42" s="63"/>
      <c r="C42" s="63"/>
      <c r="D42" s="63"/>
      <c r="E42" s="63"/>
      <c r="F42" s="63"/>
      <c r="G42" s="175"/>
      <c r="H42" s="179"/>
      <c r="I42" s="63"/>
      <c r="J42" s="63"/>
      <c r="K42" s="63"/>
      <c r="L42" s="63"/>
      <c r="M42" s="63"/>
      <c r="N42" s="63"/>
      <c r="O42" s="63"/>
      <c r="P42" s="63"/>
      <c r="Q42" s="63"/>
      <c r="R42" s="63"/>
      <c r="S42" s="63"/>
      <c r="T42" s="63"/>
      <c r="U42" t="str">
        <v>Silva</v>
      </c>
      <c r="V42" t="str">
        <v>Soccer</v>
      </c>
      <c r="W42" t="str">
        <v>Elite</v>
      </c>
      <c r="X42" t="str">
        <v>N/A</v>
      </c>
      <c r="Y42" t="str">
        <v>Male</v>
      </c>
      <c r="Z42" t="str">
        <v>Biodex</v>
      </c>
      <c r="AA42" s="63"/>
      <c r="AB42" s="63"/>
      <c r="AC42" s="63"/>
      <c r="AD42" s="63"/>
      <c r="AE42" s="63"/>
      <c r="AF42" s="63"/>
      <c r="AG42" s="63"/>
      <c r="AH42" s="63"/>
      <c r="AI42" s="63"/>
      <c r="AJ42" s="63"/>
      <c r="AK42" s="63"/>
      <c r="AL42" s="63"/>
      <c r="AM42" s="63"/>
      <c r="AN42" s="63"/>
      <c r="AO42" s="63"/>
      <c r="AP42" s="63"/>
      <c r="AQ42" s="63"/>
      <c r="AR42" s="63"/>
      <c r="AS42" s="63"/>
      <c r="AT42" s="63"/>
    </row>
    <row r="43" spans="1:46" ht="15.75" hidden="1" customHeight="1" x14ac:dyDescent="0.25">
      <c r="A43" s="63"/>
      <c r="B43" s="63"/>
      <c r="C43" s="63"/>
      <c r="D43" s="63"/>
      <c r="E43" s="63"/>
      <c r="F43" s="63"/>
      <c r="G43" s="175"/>
      <c r="H43" s="179"/>
      <c r="I43" s="63"/>
      <c r="J43" s="63"/>
      <c r="K43" s="63"/>
      <c r="L43" s="63"/>
      <c r="M43" s="63"/>
      <c r="N43" s="63"/>
      <c r="O43" s="63"/>
      <c r="P43" s="63"/>
      <c r="Q43" s="63"/>
      <c r="R43" s="63"/>
      <c r="S43" s="63"/>
      <c r="T43" s="63"/>
      <c r="U43" t="str">
        <v>Silva</v>
      </c>
      <c r="V43" t="str">
        <v>Soccer</v>
      </c>
      <c r="W43" t="str">
        <v>Elite</v>
      </c>
      <c r="X43" t="str">
        <v>N/A</v>
      </c>
      <c r="Y43" t="str">
        <v>Male</v>
      </c>
      <c r="Z43" t="str">
        <v>Biodex</v>
      </c>
      <c r="AA43" s="63"/>
      <c r="AB43" s="63"/>
      <c r="AC43" s="63"/>
      <c r="AD43" s="63"/>
      <c r="AE43" s="63"/>
      <c r="AF43" s="63"/>
      <c r="AG43" s="63"/>
      <c r="AH43" s="63"/>
      <c r="AI43" s="63"/>
      <c r="AJ43" s="63"/>
      <c r="AK43" s="63"/>
      <c r="AL43" s="63"/>
      <c r="AM43" s="63"/>
      <c r="AN43" s="63"/>
      <c r="AO43" s="63"/>
      <c r="AP43" s="63"/>
      <c r="AQ43" s="63"/>
      <c r="AR43" s="63"/>
      <c r="AS43" s="63"/>
      <c r="AT43" s="63"/>
    </row>
    <row r="44" spans="1:46" ht="15.75" hidden="1" customHeight="1" x14ac:dyDescent="0.25">
      <c r="A44" s="63"/>
      <c r="B44" s="63"/>
      <c r="C44" s="63"/>
      <c r="D44" s="63"/>
      <c r="E44" s="63"/>
      <c r="F44" s="63"/>
      <c r="G44" s="175"/>
      <c r="H44" s="179"/>
      <c r="I44" s="63"/>
      <c r="J44" s="63"/>
      <c r="K44" s="63"/>
      <c r="L44" s="63"/>
      <c r="M44" s="63"/>
      <c r="N44" s="63"/>
      <c r="O44" s="63"/>
      <c r="P44" s="63"/>
      <c r="Q44" s="63"/>
      <c r="R44" s="63"/>
      <c r="S44" s="63"/>
      <c r="T44" s="63"/>
      <c r="U44" t="str">
        <v>Silva</v>
      </c>
      <c r="V44" t="str">
        <v>Soccer</v>
      </c>
      <c r="W44" t="str">
        <v>Elite</v>
      </c>
      <c r="X44" t="str">
        <v>N/A</v>
      </c>
      <c r="Y44" t="str">
        <v>Male</v>
      </c>
      <c r="Z44" t="str">
        <v>Biodex</v>
      </c>
      <c r="AA44" s="63"/>
      <c r="AB44" s="63"/>
      <c r="AC44" s="63"/>
      <c r="AD44" s="63"/>
      <c r="AE44" s="63"/>
      <c r="AF44" s="63"/>
      <c r="AG44" s="63"/>
      <c r="AH44" s="63"/>
      <c r="AI44" s="63"/>
      <c r="AJ44" s="63"/>
      <c r="AK44" s="63"/>
      <c r="AL44" s="63"/>
      <c r="AM44" s="63"/>
      <c r="AN44" s="63"/>
      <c r="AO44" s="63"/>
      <c r="AP44" s="63"/>
      <c r="AQ44" s="63"/>
      <c r="AR44" s="63"/>
      <c r="AS44" s="63"/>
      <c r="AT44" s="63"/>
    </row>
    <row r="45" spans="1:46" ht="15.75" hidden="1" customHeight="1" x14ac:dyDescent="0.25">
      <c r="A45" s="63"/>
      <c r="B45" s="63"/>
      <c r="C45" s="63"/>
      <c r="D45" s="63"/>
      <c r="E45" s="63"/>
      <c r="F45" s="63"/>
      <c r="G45" s="175"/>
      <c r="H45" s="179"/>
      <c r="I45" s="63"/>
      <c r="J45" s="63"/>
      <c r="K45" s="63"/>
      <c r="L45" s="63"/>
      <c r="M45" s="63"/>
      <c r="N45" s="63"/>
      <c r="O45" s="63"/>
      <c r="P45" s="63"/>
      <c r="Q45" s="63"/>
      <c r="R45" s="63"/>
      <c r="S45" s="63"/>
      <c r="T45" s="63"/>
      <c r="U45" t="str">
        <v>Silva</v>
      </c>
      <c r="V45" t="str">
        <v>Soccer</v>
      </c>
      <c r="W45" t="str">
        <v>Elite</v>
      </c>
      <c r="X45" t="str">
        <v>N/A</v>
      </c>
      <c r="Y45" t="str">
        <v>Male</v>
      </c>
      <c r="Z45" t="str">
        <v>Biodex</v>
      </c>
      <c r="AA45" s="63"/>
      <c r="AB45" s="63"/>
      <c r="AC45" s="63"/>
      <c r="AD45" s="63"/>
      <c r="AE45" s="63"/>
      <c r="AF45" s="63"/>
      <c r="AG45" s="63"/>
      <c r="AH45" s="63"/>
      <c r="AI45" s="63"/>
      <c r="AJ45" s="63"/>
      <c r="AK45" s="63"/>
      <c r="AL45" s="63"/>
      <c r="AM45" s="63"/>
      <c r="AN45" s="63"/>
      <c r="AO45" s="63"/>
      <c r="AP45" s="63"/>
      <c r="AQ45" s="63"/>
      <c r="AR45" s="63"/>
      <c r="AS45" s="63"/>
      <c r="AT45" s="63"/>
    </row>
    <row r="46" spans="1:46" ht="15.75" hidden="1" customHeight="1" x14ac:dyDescent="0.25">
      <c r="A46" s="63"/>
      <c r="B46" s="63"/>
      <c r="C46" s="63"/>
      <c r="D46" s="63"/>
      <c r="E46" s="63"/>
      <c r="F46" s="63"/>
      <c r="G46" s="175"/>
      <c r="H46" s="179"/>
      <c r="I46" s="63"/>
      <c r="J46" s="63"/>
      <c r="K46" s="63"/>
      <c r="L46" s="63"/>
      <c r="M46" s="63"/>
      <c r="N46" s="63"/>
      <c r="O46" s="63"/>
      <c r="P46" s="63"/>
      <c r="Q46" s="63"/>
      <c r="R46" s="63"/>
      <c r="S46" s="63"/>
      <c r="T46" s="63"/>
      <c r="U46" t="str">
        <v>Silva</v>
      </c>
      <c r="V46" t="str">
        <v>Soccer</v>
      </c>
      <c r="W46" t="str">
        <v>Elite</v>
      </c>
      <c r="X46" t="str">
        <v>N/A</v>
      </c>
      <c r="Y46" t="str">
        <v>Male</v>
      </c>
      <c r="Z46" t="str">
        <v>Biodex</v>
      </c>
      <c r="AA46" s="63"/>
      <c r="AB46" s="63"/>
      <c r="AC46" s="63"/>
      <c r="AD46" s="63"/>
      <c r="AE46" s="63"/>
      <c r="AF46" s="63"/>
      <c r="AG46" s="63"/>
      <c r="AH46" s="63"/>
      <c r="AI46" s="63"/>
      <c r="AJ46" s="63"/>
      <c r="AK46" s="63"/>
      <c r="AL46" s="63"/>
      <c r="AM46" s="63"/>
      <c r="AN46" s="63"/>
      <c r="AO46" s="63"/>
      <c r="AP46" s="63"/>
      <c r="AQ46" s="63"/>
      <c r="AR46" s="63"/>
      <c r="AS46" s="63"/>
      <c r="AT46" s="63"/>
    </row>
    <row r="47" spans="1:46" ht="15.75" hidden="1" customHeight="1" x14ac:dyDescent="0.25">
      <c r="A47" s="63"/>
      <c r="B47" s="63"/>
      <c r="C47" s="63"/>
      <c r="D47" s="63"/>
      <c r="E47" s="63"/>
      <c r="F47" s="63"/>
      <c r="G47" s="175"/>
      <c r="H47" s="179"/>
      <c r="I47" s="63"/>
      <c r="J47" s="63"/>
      <c r="K47" s="63"/>
      <c r="L47" s="63"/>
      <c r="M47" s="63"/>
      <c r="N47" s="63"/>
      <c r="O47" s="63"/>
      <c r="P47" s="63"/>
      <c r="Q47" s="63"/>
      <c r="R47" s="63"/>
      <c r="S47" s="63"/>
      <c r="T47" s="63"/>
      <c r="U47" t="str">
        <v>Silva</v>
      </c>
      <c r="V47" t="str">
        <v>Soccer</v>
      </c>
      <c r="W47" t="str">
        <v>Elite</v>
      </c>
      <c r="X47" t="str">
        <v>N/A</v>
      </c>
      <c r="Y47" t="str">
        <v>Male</v>
      </c>
      <c r="Z47" t="str">
        <v>Biodex</v>
      </c>
      <c r="AA47" s="63"/>
      <c r="AB47" s="63"/>
      <c r="AC47" s="63"/>
      <c r="AD47" s="63"/>
      <c r="AE47" s="63"/>
      <c r="AF47" s="63"/>
      <c r="AG47" s="63"/>
      <c r="AH47" s="63"/>
      <c r="AI47" s="63"/>
      <c r="AJ47" s="63"/>
      <c r="AK47" s="63"/>
      <c r="AL47" s="63"/>
      <c r="AM47" s="63"/>
      <c r="AN47" s="63"/>
      <c r="AO47" s="63"/>
      <c r="AP47" s="63"/>
      <c r="AQ47" s="63"/>
      <c r="AR47" s="63"/>
      <c r="AS47" s="63"/>
      <c r="AT47" s="63"/>
    </row>
    <row r="48" spans="1:46" ht="15.75" hidden="1" customHeight="1" x14ac:dyDescent="0.25">
      <c r="A48" s="63"/>
      <c r="B48" s="63"/>
      <c r="C48" s="63"/>
      <c r="D48" s="63"/>
      <c r="E48" s="63"/>
      <c r="F48" s="63"/>
      <c r="G48" s="175"/>
      <c r="H48" s="179"/>
      <c r="I48" s="63"/>
      <c r="J48" s="63"/>
      <c r="K48" s="63"/>
      <c r="L48" s="63"/>
      <c r="M48" s="63"/>
      <c r="N48" s="63"/>
      <c r="O48" s="63"/>
      <c r="P48" s="63"/>
      <c r="Q48" s="63"/>
      <c r="R48" s="63"/>
      <c r="S48" s="63"/>
      <c r="T48" s="63"/>
      <c r="U48" t="str">
        <v>Sekir</v>
      </c>
      <c r="V48" t="str">
        <v>Gen Pop</v>
      </c>
      <c r="W48" t="str">
        <v>Adults</v>
      </c>
      <c r="X48" t="str">
        <v>N/A</v>
      </c>
      <c r="Y48" t="str">
        <v>Male</v>
      </c>
      <c r="Z48" t="str">
        <v>Cybex</v>
      </c>
      <c r="AA48" s="63"/>
      <c r="AB48" s="63"/>
      <c r="AC48" s="63"/>
      <c r="AD48" s="63"/>
      <c r="AE48" s="63"/>
      <c r="AF48" s="63"/>
      <c r="AG48" s="63"/>
      <c r="AH48" s="63"/>
      <c r="AI48" s="63"/>
      <c r="AJ48" s="63"/>
      <c r="AK48" s="63"/>
      <c r="AL48" s="63"/>
      <c r="AM48" s="63"/>
      <c r="AN48" s="63"/>
      <c r="AO48" s="63"/>
      <c r="AP48" s="63"/>
      <c r="AQ48" s="63"/>
      <c r="AR48" s="63"/>
      <c r="AS48" s="63"/>
      <c r="AT48" s="63"/>
    </row>
    <row r="49" spans="1:46" ht="15.75" hidden="1" customHeight="1" x14ac:dyDescent="0.25">
      <c r="A49" s="63"/>
      <c r="B49" s="63"/>
      <c r="C49" s="63"/>
      <c r="D49" s="63"/>
      <c r="E49" s="63"/>
      <c r="F49" s="63"/>
      <c r="G49" s="175"/>
      <c r="H49" s="179"/>
      <c r="I49" s="63"/>
      <c r="J49" s="63"/>
      <c r="K49" s="63"/>
      <c r="L49" s="63"/>
      <c r="M49" s="63"/>
      <c r="N49" s="63"/>
      <c r="O49" s="63"/>
      <c r="P49" s="63"/>
      <c r="Q49" s="63"/>
      <c r="R49" s="63"/>
      <c r="S49" s="63"/>
      <c r="T49" s="63"/>
      <c r="U49" t="str">
        <v>Sekir</v>
      </c>
      <c r="V49" t="str">
        <v>Gen Pop</v>
      </c>
      <c r="W49" t="str">
        <v>Adults</v>
      </c>
      <c r="X49" t="str">
        <v>N/A</v>
      </c>
      <c r="Y49" t="str">
        <v>Male</v>
      </c>
      <c r="Z49" t="str">
        <v>Cybex</v>
      </c>
      <c r="AA49" s="63"/>
      <c r="AB49" s="63"/>
      <c r="AC49" s="63"/>
      <c r="AD49" s="63"/>
      <c r="AE49" s="63"/>
      <c r="AF49" s="63"/>
      <c r="AG49" s="63"/>
      <c r="AH49" s="63"/>
      <c r="AI49" s="63"/>
      <c r="AJ49" s="63"/>
      <c r="AK49" s="63"/>
      <c r="AL49" s="63"/>
      <c r="AM49" s="63"/>
      <c r="AN49" s="63"/>
      <c r="AO49" s="63"/>
      <c r="AP49" s="63"/>
      <c r="AQ49" s="63"/>
      <c r="AR49" s="63"/>
      <c r="AS49" s="63"/>
      <c r="AT49" s="63"/>
    </row>
    <row r="50" spans="1:46" ht="15.75" hidden="1" customHeight="1" x14ac:dyDescent="0.25">
      <c r="A50" s="63"/>
      <c r="B50" s="63"/>
      <c r="C50" s="63"/>
      <c r="D50" s="63"/>
      <c r="E50" s="63"/>
      <c r="F50" s="63"/>
      <c r="G50" s="175"/>
      <c r="H50" s="179"/>
      <c r="I50" s="63"/>
      <c r="J50" s="63"/>
      <c r="K50" s="63"/>
      <c r="L50" s="63"/>
      <c r="M50" s="63"/>
      <c r="N50" s="63"/>
      <c r="O50" s="63"/>
      <c r="P50" s="63"/>
      <c r="Q50" s="63"/>
      <c r="R50" s="63"/>
      <c r="S50" s="63"/>
      <c r="T50" s="63"/>
      <c r="U50" t="str">
        <v>Sekir</v>
      </c>
      <c r="V50" t="str">
        <v>Gen Pop</v>
      </c>
      <c r="W50" t="str">
        <v>Adults</v>
      </c>
      <c r="X50" t="str">
        <v>N/A</v>
      </c>
      <c r="Y50" t="str">
        <v>Male</v>
      </c>
      <c r="Z50" t="str">
        <v>Cybex</v>
      </c>
      <c r="AA50" s="63"/>
      <c r="AB50" s="63"/>
      <c r="AC50" s="63"/>
      <c r="AD50" s="63"/>
      <c r="AE50" s="63"/>
      <c r="AF50" s="63"/>
      <c r="AG50" s="63"/>
      <c r="AH50" s="63"/>
      <c r="AI50" s="63"/>
      <c r="AJ50" s="63"/>
      <c r="AK50" s="63"/>
      <c r="AL50" s="63"/>
      <c r="AM50" s="63"/>
      <c r="AN50" s="63"/>
      <c r="AO50" s="63"/>
      <c r="AP50" s="63"/>
      <c r="AQ50" s="63"/>
      <c r="AR50" s="63"/>
      <c r="AS50" s="63"/>
      <c r="AT50" s="63"/>
    </row>
    <row r="51" spans="1:46" ht="15.75" hidden="1" customHeight="1" x14ac:dyDescent="0.25">
      <c r="A51" s="63"/>
      <c r="B51" s="63"/>
      <c r="C51" s="63"/>
      <c r="D51" s="63"/>
      <c r="E51" s="63"/>
      <c r="F51" s="63"/>
      <c r="G51" s="175"/>
      <c r="H51" s="179"/>
      <c r="I51" s="63"/>
      <c r="J51" s="63"/>
      <c r="K51" s="63"/>
      <c r="L51" s="63"/>
      <c r="M51" s="63"/>
      <c r="N51" s="63"/>
      <c r="O51" s="63"/>
      <c r="P51" s="63"/>
      <c r="Q51" s="63"/>
      <c r="R51" s="63"/>
      <c r="S51" s="63"/>
      <c r="T51" s="63"/>
      <c r="U51" t="str">
        <v>Sekir</v>
      </c>
      <c r="V51" t="str">
        <v>Gen Pop</v>
      </c>
      <c r="W51" t="str">
        <v>Adults</v>
      </c>
      <c r="X51" t="str">
        <v>N/A</v>
      </c>
      <c r="Y51" t="str">
        <v>Male</v>
      </c>
      <c r="Z51" t="str">
        <v>Cybex</v>
      </c>
      <c r="AA51" s="63"/>
      <c r="AB51" s="63"/>
      <c r="AC51" s="63"/>
      <c r="AD51" s="63"/>
      <c r="AE51" s="63"/>
      <c r="AF51" s="63"/>
      <c r="AG51" s="63"/>
      <c r="AH51" s="63"/>
      <c r="AI51" s="63"/>
      <c r="AJ51" s="63"/>
      <c r="AK51" s="63"/>
      <c r="AL51" s="63"/>
      <c r="AM51" s="63"/>
      <c r="AN51" s="63"/>
      <c r="AO51" s="63"/>
      <c r="AP51" s="63"/>
      <c r="AQ51" s="63"/>
      <c r="AR51" s="63"/>
      <c r="AS51" s="63"/>
      <c r="AT51" s="63"/>
    </row>
    <row r="52" spans="1:46" ht="15.75" hidden="1" customHeight="1" x14ac:dyDescent="0.25">
      <c r="A52" s="63"/>
      <c r="B52" s="63"/>
      <c r="C52" s="63"/>
      <c r="D52" s="63"/>
      <c r="E52" s="63"/>
      <c r="F52" s="63"/>
      <c r="G52" s="175"/>
      <c r="H52" s="179"/>
      <c r="I52" s="63"/>
      <c r="J52" s="63"/>
      <c r="K52" s="63"/>
      <c r="L52" s="63"/>
      <c r="M52" s="63"/>
      <c r="N52" s="63"/>
      <c r="O52" s="63"/>
      <c r="P52" s="63"/>
      <c r="Q52" s="63"/>
      <c r="R52" s="63"/>
      <c r="S52" s="63"/>
      <c r="T52" s="63"/>
      <c r="U52" t="str">
        <v>Sekir</v>
      </c>
      <c r="V52" t="str">
        <v>Gen Pop</v>
      </c>
      <c r="W52" t="str">
        <v>Adults</v>
      </c>
      <c r="X52" t="str">
        <v>N/A</v>
      </c>
      <c r="Y52" t="str">
        <v>Male</v>
      </c>
      <c r="Z52" t="str">
        <v>Cybex</v>
      </c>
      <c r="AA52" s="63"/>
      <c r="AB52" s="63"/>
      <c r="AC52" s="63"/>
      <c r="AD52" s="63"/>
      <c r="AE52" s="63"/>
      <c r="AF52" s="63"/>
      <c r="AG52" s="63"/>
      <c r="AH52" s="63"/>
      <c r="AI52" s="63"/>
      <c r="AJ52" s="63"/>
      <c r="AK52" s="63"/>
      <c r="AL52" s="63"/>
      <c r="AM52" s="63"/>
      <c r="AN52" s="63"/>
      <c r="AO52" s="63"/>
      <c r="AP52" s="63"/>
      <c r="AQ52" s="63"/>
      <c r="AR52" s="63"/>
      <c r="AS52" s="63"/>
      <c r="AT52" s="63"/>
    </row>
    <row r="53" spans="1:46" ht="15.75" hidden="1" customHeight="1" x14ac:dyDescent="0.25">
      <c r="A53" s="63"/>
      <c r="B53" s="63"/>
      <c r="C53" s="63"/>
      <c r="D53" s="63"/>
      <c r="E53" s="63"/>
      <c r="F53" s="63"/>
      <c r="G53" s="175"/>
      <c r="H53" s="179"/>
      <c r="I53" s="63"/>
      <c r="J53" s="63"/>
      <c r="K53" s="63"/>
      <c r="L53" s="63"/>
      <c r="M53" s="63"/>
      <c r="N53" s="63"/>
      <c r="O53" s="63"/>
      <c r="P53" s="63"/>
      <c r="Q53" s="63"/>
      <c r="R53" s="63"/>
      <c r="S53" s="63"/>
      <c r="T53" s="63"/>
      <c r="U53" t="str">
        <v>Sekir</v>
      </c>
      <c r="V53" t="str">
        <v>Gen Pop</v>
      </c>
      <c r="W53" t="str">
        <v>Adults</v>
      </c>
      <c r="X53" t="str">
        <v>N/A</v>
      </c>
      <c r="Y53" t="str">
        <v>Male</v>
      </c>
      <c r="Z53" t="str">
        <v>Cybex</v>
      </c>
      <c r="AA53" s="63"/>
      <c r="AB53" s="63"/>
      <c r="AC53" s="63"/>
      <c r="AD53" s="63"/>
      <c r="AE53" s="63"/>
      <c r="AF53" s="63"/>
      <c r="AG53" s="63"/>
      <c r="AH53" s="63"/>
      <c r="AI53" s="63"/>
      <c r="AJ53" s="63"/>
      <c r="AK53" s="63"/>
      <c r="AL53" s="63"/>
      <c r="AM53" s="63"/>
      <c r="AN53" s="63"/>
      <c r="AO53" s="63"/>
      <c r="AP53" s="63"/>
      <c r="AQ53" s="63"/>
      <c r="AR53" s="63"/>
      <c r="AS53" s="63"/>
      <c r="AT53" s="63"/>
    </row>
    <row r="54" spans="1:46" ht="15.75" hidden="1" customHeight="1" x14ac:dyDescent="0.25">
      <c r="A54" s="63"/>
      <c r="B54" s="63"/>
      <c r="C54" s="63"/>
      <c r="D54" s="63"/>
      <c r="E54" s="63"/>
      <c r="F54" s="63"/>
      <c r="G54" s="175"/>
      <c r="H54" s="179"/>
      <c r="I54" s="63"/>
      <c r="J54" s="63"/>
      <c r="K54" s="63"/>
      <c r="L54" s="63"/>
      <c r="M54" s="63"/>
      <c r="N54" s="63"/>
      <c r="O54" s="63"/>
      <c r="P54" s="63"/>
      <c r="Q54" s="63"/>
      <c r="R54" s="63"/>
      <c r="S54" s="63"/>
      <c r="T54" s="63"/>
      <c r="U54" t="str">
        <v>Sekir</v>
      </c>
      <c r="V54" t="str">
        <v>Gen Pop</v>
      </c>
      <c r="W54" t="str">
        <v>Adults</v>
      </c>
      <c r="X54" t="str">
        <v>N/A</v>
      </c>
      <c r="Y54" t="str">
        <v>Male</v>
      </c>
      <c r="Z54" t="str">
        <v>Cybex</v>
      </c>
      <c r="AA54" s="63"/>
      <c r="AB54" s="63"/>
      <c r="AC54" s="63"/>
      <c r="AD54" s="63"/>
      <c r="AE54" s="63"/>
      <c r="AF54" s="63"/>
      <c r="AG54" s="63"/>
      <c r="AH54" s="63"/>
      <c r="AI54" s="63"/>
      <c r="AJ54" s="63"/>
      <c r="AK54" s="63"/>
      <c r="AL54" s="63"/>
      <c r="AM54" s="63"/>
      <c r="AN54" s="63"/>
      <c r="AO54" s="63"/>
      <c r="AP54" s="63"/>
      <c r="AQ54" s="63"/>
      <c r="AR54" s="63"/>
      <c r="AS54" s="63"/>
      <c r="AT54" s="63"/>
    </row>
    <row r="55" spans="1:46" ht="15.75" hidden="1" customHeight="1" x14ac:dyDescent="0.25">
      <c r="A55" s="63"/>
      <c r="B55" s="63"/>
      <c r="C55" s="63"/>
      <c r="D55" s="63"/>
      <c r="E55" s="63"/>
      <c r="F55" s="63"/>
      <c r="G55" s="175"/>
      <c r="H55" s="179"/>
      <c r="I55" s="63"/>
      <c r="J55" s="63"/>
      <c r="K55" s="63"/>
      <c r="L55" s="63"/>
      <c r="M55" s="63"/>
      <c r="N55" s="63"/>
      <c r="O55" s="63"/>
      <c r="P55" s="63"/>
      <c r="Q55" s="63"/>
      <c r="R55" s="63"/>
      <c r="S55" s="63"/>
      <c r="T55" s="63"/>
      <c r="U55" t="str">
        <v>Sekir</v>
      </c>
      <c r="V55" t="str">
        <v>Gen Pop</v>
      </c>
      <c r="W55" t="str">
        <v>Adults</v>
      </c>
      <c r="X55" t="str">
        <v>N/A</v>
      </c>
      <c r="Y55" t="str">
        <v>Male</v>
      </c>
      <c r="Z55" t="str">
        <v>Cybex</v>
      </c>
      <c r="AA55" s="63"/>
      <c r="AB55" s="63"/>
      <c r="AC55" s="63"/>
      <c r="AD55" s="63"/>
      <c r="AE55" s="63"/>
      <c r="AF55" s="63"/>
      <c r="AG55" s="63"/>
      <c r="AH55" s="63"/>
      <c r="AI55" s="63"/>
      <c r="AJ55" s="63"/>
      <c r="AK55" s="63"/>
      <c r="AL55" s="63"/>
      <c r="AM55" s="63"/>
      <c r="AN55" s="63"/>
      <c r="AO55" s="63"/>
      <c r="AP55" s="63"/>
      <c r="AQ55" s="63"/>
      <c r="AR55" s="63"/>
      <c r="AS55" s="63"/>
      <c r="AT55" s="63"/>
    </row>
    <row r="56" spans="1:46" ht="15.75" hidden="1" customHeight="1" x14ac:dyDescent="0.25">
      <c r="A56" s="63"/>
      <c r="B56" s="63"/>
      <c r="C56" s="63"/>
      <c r="D56" s="63"/>
      <c r="E56" s="63"/>
      <c r="F56" s="63"/>
      <c r="G56" s="175"/>
      <c r="H56" s="179"/>
      <c r="I56" s="63"/>
      <c r="J56" s="63"/>
      <c r="K56" s="63"/>
      <c r="L56" s="63"/>
      <c r="M56" s="63"/>
      <c r="N56" s="63"/>
      <c r="O56" s="63"/>
      <c r="P56" s="63"/>
      <c r="Q56" s="63"/>
      <c r="R56" s="63"/>
      <c r="S56" s="63"/>
      <c r="T56" s="63"/>
      <c r="U56" t="str">
        <v>Gerodimos</v>
      </c>
      <c r="V56" t="str">
        <v>Basketball</v>
      </c>
      <c r="W56" t="str">
        <v>Youth</v>
      </c>
      <c r="X56" t="str">
        <v>N/A</v>
      </c>
      <c r="Y56" t="str">
        <v>Male</v>
      </c>
      <c r="Z56" t="str">
        <v>Cybex</v>
      </c>
      <c r="AA56" s="63"/>
      <c r="AB56" s="63"/>
      <c r="AC56" s="63"/>
      <c r="AD56" s="63"/>
      <c r="AE56" s="63"/>
      <c r="AF56" s="63"/>
      <c r="AG56" s="63"/>
      <c r="AH56" s="63"/>
      <c r="AI56" s="63"/>
      <c r="AJ56" s="63"/>
      <c r="AK56" s="63"/>
      <c r="AL56" s="63"/>
      <c r="AM56" s="63"/>
      <c r="AN56" s="63"/>
      <c r="AO56" s="63"/>
      <c r="AP56" s="63"/>
      <c r="AQ56" s="63"/>
      <c r="AR56" s="63"/>
      <c r="AS56" s="63"/>
      <c r="AT56" s="63"/>
    </row>
    <row r="57" spans="1:46" ht="15.75" hidden="1" customHeight="1" x14ac:dyDescent="0.25">
      <c r="A57" s="63"/>
      <c r="B57" s="63"/>
      <c r="C57" s="63"/>
      <c r="D57" s="63"/>
      <c r="E57" s="63"/>
      <c r="F57" s="63"/>
      <c r="G57" s="175"/>
      <c r="H57" s="179"/>
      <c r="I57" s="63"/>
      <c r="J57" s="63"/>
      <c r="K57" s="63"/>
      <c r="L57" s="63"/>
      <c r="M57" s="63"/>
      <c r="N57" s="63"/>
      <c r="O57" s="63"/>
      <c r="P57" s="63"/>
      <c r="Q57" s="63"/>
      <c r="R57" s="63"/>
      <c r="S57" s="63"/>
      <c r="T57" s="63"/>
      <c r="U57" t="str">
        <v>Gerodimos</v>
      </c>
      <c r="V57" t="str">
        <v>Basketball</v>
      </c>
      <c r="W57" t="str">
        <v>Youth</v>
      </c>
      <c r="X57" t="str">
        <v>N/A</v>
      </c>
      <c r="Y57" t="str">
        <v>Male</v>
      </c>
      <c r="Z57" t="str">
        <v>Cybex</v>
      </c>
      <c r="AA57" s="63"/>
      <c r="AB57" s="63"/>
      <c r="AC57" s="63"/>
      <c r="AD57" s="63"/>
      <c r="AE57" s="63"/>
      <c r="AF57" s="63"/>
      <c r="AG57" s="63"/>
      <c r="AH57" s="63"/>
      <c r="AI57" s="63"/>
      <c r="AJ57" s="63"/>
      <c r="AK57" s="63"/>
      <c r="AL57" s="63"/>
      <c r="AM57" s="63"/>
      <c r="AN57" s="63"/>
      <c r="AO57" s="63"/>
      <c r="AP57" s="63"/>
      <c r="AQ57" s="63"/>
      <c r="AR57" s="63"/>
      <c r="AS57" s="63"/>
      <c r="AT57" s="63"/>
    </row>
    <row r="58" spans="1:46" ht="15.75" hidden="1" customHeight="1" x14ac:dyDescent="0.25">
      <c r="A58" s="63"/>
      <c r="B58" s="63"/>
      <c r="C58" s="63"/>
      <c r="D58" s="63"/>
      <c r="E58" s="63"/>
      <c r="F58" s="63"/>
      <c r="G58" s="175"/>
      <c r="H58" s="179"/>
      <c r="I58" s="63"/>
      <c r="J58" s="63"/>
      <c r="K58" s="63"/>
      <c r="L58" s="63"/>
      <c r="M58" s="63"/>
      <c r="N58" s="63"/>
      <c r="O58" s="63"/>
      <c r="P58" s="63"/>
      <c r="Q58" s="63"/>
      <c r="R58" s="63"/>
      <c r="S58" s="63"/>
      <c r="T58" s="63"/>
      <c r="U58" t="str">
        <v>Gerodimos</v>
      </c>
      <c r="V58" t="str">
        <v>Basketball</v>
      </c>
      <c r="W58" t="str">
        <v>Youth</v>
      </c>
      <c r="X58" t="str">
        <v>N/A</v>
      </c>
      <c r="Y58" t="str">
        <v>Male</v>
      </c>
      <c r="Z58" t="str">
        <v>Cybex</v>
      </c>
      <c r="AA58" s="63"/>
      <c r="AB58" s="63"/>
      <c r="AC58" s="63"/>
      <c r="AD58" s="63"/>
      <c r="AE58" s="63"/>
      <c r="AF58" s="63"/>
      <c r="AG58" s="63"/>
      <c r="AH58" s="63"/>
      <c r="AI58" s="63"/>
      <c r="AJ58" s="63"/>
      <c r="AK58" s="63"/>
      <c r="AL58" s="63"/>
      <c r="AM58" s="63"/>
      <c r="AN58" s="63"/>
      <c r="AO58" s="63"/>
      <c r="AP58" s="63"/>
      <c r="AQ58" s="63"/>
      <c r="AR58" s="63"/>
      <c r="AS58" s="63"/>
      <c r="AT58" s="63"/>
    </row>
    <row r="59" spans="1:46" ht="15.75" hidden="1" customHeight="1" x14ac:dyDescent="0.25">
      <c r="A59" s="63"/>
      <c r="B59" s="63"/>
      <c r="C59" s="63"/>
      <c r="D59" s="63"/>
      <c r="E59" s="63"/>
      <c r="F59" s="63"/>
      <c r="G59" s="175"/>
      <c r="H59" s="179"/>
      <c r="I59" s="63"/>
      <c r="J59" s="63"/>
      <c r="K59" s="63"/>
      <c r="L59" s="63"/>
      <c r="M59" s="63"/>
      <c r="N59" s="63"/>
      <c r="O59" s="63"/>
      <c r="P59" s="63"/>
      <c r="Q59" s="63"/>
      <c r="R59" s="63"/>
      <c r="S59" s="63"/>
      <c r="T59" s="63"/>
      <c r="U59" t="str">
        <v>Gerodimos</v>
      </c>
      <c r="V59" t="str">
        <v>Basketball</v>
      </c>
      <c r="W59" t="str">
        <v>Youth</v>
      </c>
      <c r="X59" t="str">
        <v>N/A</v>
      </c>
      <c r="Y59" t="str">
        <v>Male</v>
      </c>
      <c r="Z59" t="str">
        <v>Cybex</v>
      </c>
      <c r="AA59" s="63"/>
      <c r="AB59" s="63"/>
      <c r="AC59" s="63"/>
      <c r="AD59" s="63"/>
      <c r="AE59" s="63"/>
      <c r="AF59" s="63"/>
      <c r="AG59" s="63"/>
      <c r="AH59" s="63"/>
      <c r="AI59" s="63"/>
      <c r="AJ59" s="63"/>
      <c r="AK59" s="63"/>
      <c r="AL59" s="63"/>
      <c r="AM59" s="63"/>
      <c r="AN59" s="63"/>
      <c r="AO59" s="63"/>
      <c r="AP59" s="63"/>
      <c r="AQ59" s="63"/>
      <c r="AR59" s="63"/>
      <c r="AS59" s="63"/>
      <c r="AT59" s="63"/>
    </row>
    <row r="60" spans="1:46" ht="15.75" hidden="1" customHeight="1" x14ac:dyDescent="0.25">
      <c r="A60" s="63"/>
      <c r="B60" s="63"/>
      <c r="C60" s="63"/>
      <c r="D60" s="63"/>
      <c r="E60" s="63"/>
      <c r="F60" s="63"/>
      <c r="G60" s="175"/>
      <c r="H60" s="179"/>
      <c r="I60" s="63"/>
      <c r="J60" s="63"/>
      <c r="K60" s="63"/>
      <c r="L60" s="63"/>
      <c r="M60" s="63"/>
      <c r="N60" s="63"/>
      <c r="O60" s="63"/>
      <c r="P60" s="63"/>
      <c r="Q60" s="63"/>
      <c r="R60" s="63"/>
      <c r="S60" s="63"/>
      <c r="T60" s="63"/>
      <c r="U60" t="str">
        <v>Gerodimos</v>
      </c>
      <c r="V60" t="str">
        <v>Basketball</v>
      </c>
      <c r="W60" t="str">
        <v>Youth</v>
      </c>
      <c r="X60" t="str">
        <v>N/A</v>
      </c>
      <c r="Y60" t="str">
        <v>Male</v>
      </c>
      <c r="Z60" t="str">
        <v>Cybex</v>
      </c>
      <c r="AA60" s="63"/>
      <c r="AB60" s="63"/>
      <c r="AC60" s="63"/>
      <c r="AD60" s="63"/>
      <c r="AE60" s="63"/>
      <c r="AF60" s="63"/>
      <c r="AG60" s="63"/>
      <c r="AH60" s="63"/>
      <c r="AI60" s="63"/>
      <c r="AJ60" s="63"/>
      <c r="AK60" s="63"/>
      <c r="AL60" s="63"/>
      <c r="AM60" s="63"/>
      <c r="AN60" s="63"/>
      <c r="AO60" s="63"/>
      <c r="AP60" s="63"/>
      <c r="AQ60" s="63"/>
      <c r="AR60" s="63"/>
      <c r="AS60" s="63"/>
      <c r="AT60" s="63"/>
    </row>
    <row r="61" spans="1:46" ht="15.75" hidden="1" customHeight="1" x14ac:dyDescent="0.25">
      <c r="A61" s="63"/>
      <c r="B61" s="63"/>
      <c r="C61" s="63"/>
      <c r="D61" s="63"/>
      <c r="E61" s="63"/>
      <c r="F61" s="63"/>
      <c r="G61" s="175"/>
      <c r="H61" s="179"/>
      <c r="I61" s="63"/>
      <c r="J61" s="63"/>
      <c r="K61" s="63"/>
      <c r="L61" s="63"/>
      <c r="M61" s="63"/>
      <c r="N61" s="63"/>
      <c r="O61" s="63"/>
      <c r="P61" s="63"/>
      <c r="Q61" s="63"/>
      <c r="R61" s="63"/>
      <c r="S61" s="63"/>
      <c r="T61" s="63"/>
      <c r="U61" t="str">
        <v>Gerodimos</v>
      </c>
      <c r="V61" t="str">
        <v>Basketball</v>
      </c>
      <c r="W61" t="str">
        <v>Youth</v>
      </c>
      <c r="X61" t="str">
        <v>N/A</v>
      </c>
      <c r="Y61" t="str">
        <v>Male</v>
      </c>
      <c r="Z61" t="str">
        <v>Cybex</v>
      </c>
      <c r="AA61" s="63"/>
      <c r="AB61" s="63"/>
      <c r="AC61" s="63"/>
      <c r="AD61" s="63"/>
      <c r="AE61" s="63"/>
      <c r="AF61" s="63"/>
      <c r="AG61" s="63"/>
      <c r="AH61" s="63"/>
      <c r="AI61" s="63"/>
      <c r="AJ61" s="63"/>
      <c r="AK61" s="63"/>
      <c r="AL61" s="63"/>
      <c r="AM61" s="63"/>
      <c r="AN61" s="63"/>
      <c r="AO61" s="63"/>
      <c r="AP61" s="63"/>
      <c r="AQ61" s="63"/>
      <c r="AR61" s="63"/>
      <c r="AS61" s="63"/>
      <c r="AT61" s="63"/>
    </row>
    <row r="62" spans="1:46" ht="15.75" hidden="1" customHeight="1" x14ac:dyDescent="0.25">
      <c r="A62" s="63"/>
      <c r="B62" s="63"/>
      <c r="C62" s="63"/>
      <c r="D62" s="63"/>
      <c r="E62" s="63"/>
      <c r="F62" s="63"/>
      <c r="G62" s="175"/>
      <c r="H62" s="179"/>
      <c r="I62" s="63"/>
      <c r="J62" s="63"/>
      <c r="K62" s="63"/>
      <c r="L62" s="63"/>
      <c r="M62" s="63"/>
      <c r="N62" s="63"/>
      <c r="O62" s="63"/>
      <c r="P62" s="63"/>
      <c r="Q62" s="63"/>
      <c r="R62" s="63"/>
      <c r="S62" s="63"/>
      <c r="T62" s="63"/>
      <c r="U62" t="str">
        <v>Gerodimos</v>
      </c>
      <c r="V62" t="str">
        <v>Basketball</v>
      </c>
      <c r="W62" t="str">
        <v>Youth</v>
      </c>
      <c r="X62" t="str">
        <v>N/A</v>
      </c>
      <c r="Y62" t="str">
        <v>Male</v>
      </c>
      <c r="Z62" t="str">
        <v>Cybex</v>
      </c>
      <c r="AA62" s="63"/>
      <c r="AB62" s="63"/>
      <c r="AC62" s="63"/>
      <c r="AD62" s="63"/>
      <c r="AE62" s="63"/>
      <c r="AF62" s="63"/>
      <c r="AG62" s="63"/>
      <c r="AH62" s="63"/>
      <c r="AI62" s="63"/>
      <c r="AJ62" s="63"/>
      <c r="AK62" s="63"/>
      <c r="AL62" s="63"/>
      <c r="AM62" s="63"/>
      <c r="AN62" s="63"/>
      <c r="AO62" s="63"/>
      <c r="AP62" s="63"/>
      <c r="AQ62" s="63"/>
      <c r="AR62" s="63"/>
      <c r="AS62" s="63"/>
      <c r="AT62" s="63"/>
    </row>
    <row r="63" spans="1:46" ht="15.75" hidden="1" customHeight="1" x14ac:dyDescent="0.25">
      <c r="A63" s="63"/>
      <c r="B63" s="63"/>
      <c r="C63" s="63"/>
      <c r="D63" s="63"/>
      <c r="E63" s="63"/>
      <c r="F63" s="63"/>
      <c r="G63" s="175"/>
      <c r="H63" s="179"/>
      <c r="I63" s="63"/>
      <c r="J63" s="63"/>
      <c r="K63" s="63"/>
      <c r="L63" s="63"/>
      <c r="M63" s="63"/>
      <c r="N63" s="63"/>
      <c r="O63" s="63"/>
      <c r="P63" s="63"/>
      <c r="Q63" s="63"/>
      <c r="R63" s="63"/>
      <c r="S63" s="63"/>
      <c r="T63" s="63"/>
      <c r="U63" t="str">
        <v>Gerodimos</v>
      </c>
      <c r="V63" t="str">
        <v>Basketball</v>
      </c>
      <c r="W63" t="str">
        <v>Youth</v>
      </c>
      <c r="X63" t="str">
        <v>N/A</v>
      </c>
      <c r="Y63" t="str">
        <v>Male</v>
      </c>
      <c r="Z63" t="str">
        <v>Cybex</v>
      </c>
      <c r="AA63" s="63"/>
      <c r="AB63" s="63"/>
      <c r="AC63" s="63"/>
      <c r="AD63" s="63"/>
      <c r="AE63" s="63"/>
      <c r="AF63" s="63"/>
      <c r="AG63" s="63"/>
      <c r="AH63" s="63"/>
      <c r="AI63" s="63"/>
      <c r="AJ63" s="63"/>
      <c r="AK63" s="63"/>
      <c r="AL63" s="63"/>
      <c r="AM63" s="63"/>
      <c r="AN63" s="63"/>
      <c r="AO63" s="63"/>
      <c r="AP63" s="63"/>
      <c r="AQ63" s="63"/>
      <c r="AR63" s="63"/>
      <c r="AS63" s="63"/>
      <c r="AT63" s="63"/>
    </row>
    <row r="64" spans="1:46" ht="15.75" hidden="1" customHeight="1" x14ac:dyDescent="0.25">
      <c r="A64" s="63"/>
      <c r="B64" s="63"/>
      <c r="C64" s="63"/>
      <c r="D64" s="63"/>
      <c r="E64" s="63"/>
      <c r="F64" s="63"/>
      <c r="G64" s="175"/>
      <c r="H64" s="179"/>
      <c r="I64" s="63"/>
      <c r="J64" s="63"/>
      <c r="K64" s="63"/>
      <c r="L64" s="63"/>
      <c r="M64" s="63"/>
      <c r="N64" s="63"/>
      <c r="O64" s="63"/>
      <c r="P64" s="63"/>
      <c r="Q64" s="63"/>
      <c r="R64" s="63"/>
      <c r="S64" s="63"/>
      <c r="T64" s="63"/>
      <c r="U64" t="str">
        <v>Gerodimos</v>
      </c>
      <c r="V64" t="str">
        <v>Basketball</v>
      </c>
      <c r="W64" t="str">
        <v>Youth</v>
      </c>
      <c r="X64" t="str">
        <v>N/A</v>
      </c>
      <c r="Y64" t="str">
        <v>Male</v>
      </c>
      <c r="Z64" t="str">
        <v>Cybex</v>
      </c>
      <c r="AA64" s="63"/>
      <c r="AB64" s="63"/>
      <c r="AC64" s="63"/>
      <c r="AD64" s="63"/>
      <c r="AE64" s="63"/>
      <c r="AF64" s="63"/>
      <c r="AG64" s="63"/>
      <c r="AH64" s="63"/>
      <c r="AI64" s="63"/>
      <c r="AJ64" s="63"/>
      <c r="AK64" s="63"/>
      <c r="AL64" s="63"/>
      <c r="AM64" s="63"/>
      <c r="AN64" s="63"/>
      <c r="AO64" s="63"/>
      <c r="AP64" s="63"/>
      <c r="AQ64" s="63"/>
      <c r="AR64" s="63"/>
      <c r="AS64" s="63"/>
      <c r="AT64" s="63"/>
    </row>
    <row r="65" spans="1:46" ht="15.75" hidden="1" customHeight="1" x14ac:dyDescent="0.25">
      <c r="A65" s="63"/>
      <c r="B65" s="63"/>
      <c r="C65" s="63"/>
      <c r="D65" s="63"/>
      <c r="E65" s="63"/>
      <c r="F65" s="63"/>
      <c r="G65" s="175"/>
      <c r="H65" s="179"/>
      <c r="I65" s="63"/>
      <c r="J65" s="63"/>
      <c r="K65" s="63"/>
      <c r="L65" s="63"/>
      <c r="M65" s="63"/>
      <c r="N65" s="63"/>
      <c r="O65" s="63"/>
      <c r="P65" s="63"/>
      <c r="Q65" s="63"/>
      <c r="R65" s="63"/>
      <c r="S65" s="63"/>
      <c r="T65" s="63"/>
      <c r="U65" t="str">
        <v>Gerodimos</v>
      </c>
      <c r="V65" t="str">
        <v>Basketball</v>
      </c>
      <c r="W65" t="str">
        <v>Youth</v>
      </c>
      <c r="X65" t="str">
        <v>N/A</v>
      </c>
      <c r="Y65" t="str">
        <v>Male</v>
      </c>
      <c r="Z65" t="str">
        <v>Cybex</v>
      </c>
      <c r="AA65" s="63"/>
      <c r="AB65" s="63"/>
      <c r="AC65" s="63"/>
      <c r="AD65" s="63"/>
      <c r="AE65" s="63"/>
      <c r="AF65" s="63"/>
      <c r="AG65" s="63"/>
      <c r="AH65" s="63"/>
      <c r="AI65" s="63"/>
      <c r="AJ65" s="63"/>
      <c r="AK65" s="63"/>
      <c r="AL65" s="63"/>
      <c r="AM65" s="63"/>
      <c r="AN65" s="63"/>
      <c r="AO65" s="63"/>
      <c r="AP65" s="63"/>
      <c r="AQ65" s="63"/>
      <c r="AR65" s="63"/>
      <c r="AS65" s="63"/>
      <c r="AT65" s="63"/>
    </row>
    <row r="66" spans="1:46" ht="15.75" hidden="1" customHeight="1" x14ac:dyDescent="0.25">
      <c r="A66" s="63"/>
      <c r="B66" s="63"/>
      <c r="C66" s="63"/>
      <c r="D66" s="63"/>
      <c r="E66" s="63"/>
      <c r="F66" s="63"/>
      <c r="G66" s="175"/>
      <c r="H66" s="179"/>
      <c r="I66" s="63"/>
      <c r="J66" s="63"/>
      <c r="K66" s="63"/>
      <c r="L66" s="63"/>
      <c r="M66" s="63"/>
      <c r="N66" s="63"/>
      <c r="O66" s="63"/>
      <c r="P66" s="63"/>
      <c r="Q66" s="63"/>
      <c r="R66" s="63"/>
      <c r="S66" s="63"/>
      <c r="T66" s="63"/>
      <c r="U66" t="str">
        <v>Gerodimos</v>
      </c>
      <c r="V66" t="str">
        <v>Basketball</v>
      </c>
      <c r="W66" t="str">
        <v>Youth</v>
      </c>
      <c r="X66" t="str">
        <v>N/A</v>
      </c>
      <c r="Y66" t="str">
        <v>Male</v>
      </c>
      <c r="Z66" t="str">
        <v>Cybex</v>
      </c>
      <c r="AA66" s="63"/>
      <c r="AB66" s="63"/>
      <c r="AC66" s="63"/>
      <c r="AD66" s="63"/>
      <c r="AE66" s="63"/>
      <c r="AF66" s="63"/>
      <c r="AG66" s="63"/>
      <c r="AH66" s="63"/>
      <c r="AI66" s="63"/>
      <c r="AJ66" s="63"/>
      <c r="AK66" s="63"/>
      <c r="AL66" s="63"/>
      <c r="AM66" s="63"/>
      <c r="AN66" s="63"/>
      <c r="AO66" s="63"/>
      <c r="AP66" s="63"/>
      <c r="AQ66" s="63"/>
      <c r="AR66" s="63"/>
      <c r="AS66" s="63"/>
      <c r="AT66" s="63"/>
    </row>
    <row r="67" spans="1:46" ht="15.75" hidden="1" customHeight="1" x14ac:dyDescent="0.25">
      <c r="A67" s="63"/>
      <c r="B67" s="63"/>
      <c r="C67" s="63"/>
      <c r="D67" s="63"/>
      <c r="E67" s="63"/>
      <c r="F67" s="63"/>
      <c r="G67" s="175"/>
      <c r="H67" s="179"/>
      <c r="I67" s="63"/>
      <c r="J67" s="63"/>
      <c r="K67" s="63"/>
      <c r="L67" s="63"/>
      <c r="M67" s="63"/>
      <c r="N67" s="63"/>
      <c r="O67" s="63"/>
      <c r="P67" s="63"/>
      <c r="Q67" s="63"/>
      <c r="R67" s="63"/>
      <c r="S67" s="63"/>
      <c r="T67" s="63"/>
      <c r="U67" t="str">
        <v>Gerodimos</v>
      </c>
      <c r="V67" t="str">
        <v>Basketball</v>
      </c>
      <c r="W67" t="str">
        <v>Youth</v>
      </c>
      <c r="X67" t="str">
        <v>N/A</v>
      </c>
      <c r="Y67" t="str">
        <v>Male</v>
      </c>
      <c r="Z67" t="str">
        <v>Cybex</v>
      </c>
      <c r="AA67" s="63"/>
      <c r="AB67" s="63"/>
      <c r="AC67" s="63"/>
      <c r="AD67" s="63"/>
      <c r="AE67" s="63"/>
      <c r="AF67" s="63"/>
      <c r="AG67" s="63"/>
      <c r="AH67" s="63"/>
      <c r="AI67" s="63"/>
      <c r="AJ67" s="63"/>
      <c r="AK67" s="63"/>
      <c r="AL67" s="63"/>
      <c r="AM67" s="63"/>
      <c r="AN67" s="63"/>
      <c r="AO67" s="63"/>
      <c r="AP67" s="63"/>
      <c r="AQ67" s="63"/>
      <c r="AR67" s="63"/>
      <c r="AS67" s="63"/>
      <c r="AT67" s="63"/>
    </row>
    <row r="68" spans="1:46" ht="15.75" hidden="1" customHeight="1" x14ac:dyDescent="0.25">
      <c r="A68" s="63"/>
      <c r="B68" s="63"/>
      <c r="C68" s="63"/>
      <c r="D68" s="63"/>
      <c r="E68" s="63"/>
      <c r="F68" s="63"/>
      <c r="G68" s="175"/>
      <c r="H68" s="179"/>
      <c r="I68" s="63"/>
      <c r="J68" s="63"/>
      <c r="K68" s="63"/>
      <c r="L68" s="63"/>
      <c r="M68" s="63"/>
      <c r="N68" s="63"/>
      <c r="O68" s="63"/>
      <c r="P68" s="63"/>
      <c r="Q68" s="63"/>
      <c r="R68" s="63"/>
      <c r="S68" s="63"/>
      <c r="T68" s="63"/>
      <c r="U68" t="str">
        <v>Gerodimos</v>
      </c>
      <c r="V68" t="str">
        <v>Basketball</v>
      </c>
      <c r="W68" t="str">
        <v>Youth</v>
      </c>
      <c r="X68" t="str">
        <v>N/A</v>
      </c>
      <c r="Y68" t="str">
        <v>Male</v>
      </c>
      <c r="Z68" t="str">
        <v>Cybex</v>
      </c>
      <c r="AA68" s="63"/>
      <c r="AB68" s="63"/>
      <c r="AC68" s="63"/>
      <c r="AD68" s="63"/>
      <c r="AE68" s="63"/>
      <c r="AF68" s="63"/>
      <c r="AG68" s="63"/>
      <c r="AH68" s="63"/>
      <c r="AI68" s="63"/>
      <c r="AJ68" s="63"/>
      <c r="AK68" s="63"/>
      <c r="AL68" s="63"/>
      <c r="AM68" s="63"/>
      <c r="AN68" s="63"/>
      <c r="AO68" s="63"/>
      <c r="AP68" s="63"/>
      <c r="AQ68" s="63"/>
      <c r="AR68" s="63"/>
      <c r="AS68" s="63"/>
      <c r="AT68" s="63"/>
    </row>
    <row r="69" spans="1:46" ht="15.75" hidden="1" customHeight="1" x14ac:dyDescent="0.25">
      <c r="A69" s="63"/>
      <c r="B69" s="63"/>
      <c r="C69" s="63"/>
      <c r="D69" s="63"/>
      <c r="E69" s="63"/>
      <c r="F69" s="63"/>
      <c r="G69" s="175"/>
      <c r="H69" s="179"/>
      <c r="I69" s="63"/>
      <c r="J69" s="63"/>
      <c r="K69" s="63"/>
      <c r="L69" s="63"/>
      <c r="M69" s="63"/>
      <c r="N69" s="63"/>
      <c r="O69" s="63"/>
      <c r="P69" s="63"/>
      <c r="Q69" s="63"/>
      <c r="R69" s="63"/>
      <c r="S69" s="63"/>
      <c r="T69" s="63"/>
      <c r="U69" t="str">
        <v>Gerodimos</v>
      </c>
      <c r="V69" t="str">
        <v>Basketball</v>
      </c>
      <c r="W69" t="str">
        <v>Youth</v>
      </c>
      <c r="X69" t="str">
        <v>N/A</v>
      </c>
      <c r="Y69" t="str">
        <v>Male</v>
      </c>
      <c r="Z69" t="str">
        <v>Cybex</v>
      </c>
      <c r="AA69" s="63"/>
      <c r="AB69" s="63"/>
      <c r="AC69" s="63"/>
      <c r="AD69" s="63"/>
      <c r="AE69" s="63"/>
      <c r="AF69" s="63"/>
      <c r="AG69" s="63"/>
      <c r="AH69" s="63"/>
      <c r="AI69" s="63"/>
      <c r="AJ69" s="63"/>
      <c r="AK69" s="63"/>
      <c r="AL69" s="63"/>
      <c r="AM69" s="63"/>
      <c r="AN69" s="63"/>
      <c r="AO69" s="63"/>
      <c r="AP69" s="63"/>
      <c r="AQ69" s="63"/>
      <c r="AR69" s="63"/>
      <c r="AS69" s="63"/>
      <c r="AT69" s="63"/>
    </row>
    <row r="70" spans="1:46" ht="15.75" hidden="1" customHeight="1" x14ac:dyDescent="0.25">
      <c r="A70" s="63"/>
      <c r="B70" s="63"/>
      <c r="C70" s="63"/>
      <c r="D70" s="63"/>
      <c r="E70" s="63"/>
      <c r="F70" s="63"/>
      <c r="G70" s="175"/>
      <c r="H70" s="179"/>
      <c r="I70" s="63"/>
      <c r="J70" s="63"/>
      <c r="K70" s="63"/>
      <c r="L70" s="63"/>
      <c r="M70" s="63"/>
      <c r="N70" s="63"/>
      <c r="O70" s="63"/>
      <c r="P70" s="63"/>
      <c r="Q70" s="63"/>
      <c r="R70" s="63"/>
      <c r="S70" s="63"/>
      <c r="T70" s="63"/>
      <c r="U70" t="str">
        <v>Gerodimos</v>
      </c>
      <c r="V70" t="str">
        <v>Basketball</v>
      </c>
      <c r="W70" t="str">
        <v>Youth</v>
      </c>
      <c r="X70" t="str">
        <v>N/A</v>
      </c>
      <c r="Y70" t="str">
        <v>Male</v>
      </c>
      <c r="Z70" t="str">
        <v>Cybex</v>
      </c>
      <c r="AA70" s="63"/>
      <c r="AB70" s="63"/>
      <c r="AC70" s="63"/>
      <c r="AD70" s="63"/>
      <c r="AE70" s="63"/>
      <c r="AF70" s="63"/>
      <c r="AG70" s="63"/>
      <c r="AH70" s="63"/>
      <c r="AI70" s="63"/>
      <c r="AJ70" s="63"/>
      <c r="AK70" s="63"/>
      <c r="AL70" s="63"/>
      <c r="AM70" s="63"/>
      <c r="AN70" s="63"/>
      <c r="AO70" s="63"/>
      <c r="AP70" s="63"/>
      <c r="AQ70" s="63"/>
      <c r="AR70" s="63"/>
      <c r="AS70" s="63"/>
      <c r="AT70" s="63"/>
    </row>
    <row r="71" spans="1:46" ht="15.75" hidden="1" customHeight="1" x14ac:dyDescent="0.25">
      <c r="A71" s="63"/>
      <c r="B71" s="63"/>
      <c r="C71" s="63"/>
      <c r="D71" s="63"/>
      <c r="E71" s="63"/>
      <c r="F71" s="63"/>
      <c r="G71" s="175"/>
      <c r="H71" s="179"/>
      <c r="I71" s="63"/>
      <c r="J71" s="63"/>
      <c r="K71" s="63"/>
      <c r="L71" s="63"/>
      <c r="M71" s="63"/>
      <c r="N71" s="63"/>
      <c r="O71" s="63"/>
      <c r="P71" s="63"/>
      <c r="Q71" s="63"/>
      <c r="R71" s="63"/>
      <c r="S71" s="63"/>
      <c r="T71" s="63"/>
      <c r="U71" t="str">
        <v>Gerodimos</v>
      </c>
      <c r="V71" t="str">
        <v>Basketball</v>
      </c>
      <c r="W71" t="str">
        <v>Youth</v>
      </c>
      <c r="X71" t="str">
        <v>N/A</v>
      </c>
      <c r="Y71" t="str">
        <v>Male</v>
      </c>
      <c r="Z71" t="str">
        <v>Cybex</v>
      </c>
      <c r="AA71" s="63"/>
      <c r="AB71" s="63"/>
      <c r="AC71" s="63"/>
      <c r="AD71" s="63"/>
      <c r="AE71" s="63"/>
      <c r="AF71" s="63"/>
      <c r="AG71" s="63"/>
      <c r="AH71" s="63"/>
      <c r="AI71" s="63"/>
      <c r="AJ71" s="63"/>
      <c r="AK71" s="63"/>
      <c r="AL71" s="63"/>
      <c r="AM71" s="63"/>
      <c r="AN71" s="63"/>
      <c r="AO71" s="63"/>
      <c r="AP71" s="63"/>
      <c r="AQ71" s="63"/>
      <c r="AR71" s="63"/>
      <c r="AS71" s="63"/>
      <c r="AT71" s="63"/>
    </row>
    <row r="72" spans="1:46" ht="15.75" hidden="1" customHeight="1" x14ac:dyDescent="0.25">
      <c r="A72" s="63"/>
      <c r="B72" s="63"/>
      <c r="C72" s="63"/>
      <c r="D72" s="63"/>
      <c r="E72" s="63"/>
      <c r="F72" s="63"/>
      <c r="G72" s="175"/>
      <c r="H72" s="179"/>
      <c r="I72" s="63"/>
      <c r="J72" s="63"/>
      <c r="K72" s="63"/>
      <c r="L72" s="63"/>
      <c r="M72" s="63"/>
      <c r="N72" s="63"/>
      <c r="O72" s="63"/>
      <c r="P72" s="63"/>
      <c r="Q72" s="63"/>
      <c r="R72" s="63"/>
      <c r="S72" s="63"/>
      <c r="T72" s="63"/>
      <c r="U72" t="str">
        <v>Gerodimos</v>
      </c>
      <c r="V72" t="str">
        <v>Basketball</v>
      </c>
      <c r="W72" t="str">
        <v>Youth</v>
      </c>
      <c r="X72" t="str">
        <v>N/A</v>
      </c>
      <c r="Y72" t="str">
        <v>Male</v>
      </c>
      <c r="Z72" t="str">
        <v>Cybex</v>
      </c>
      <c r="AA72" s="63"/>
      <c r="AB72" s="63"/>
      <c r="AC72" s="63"/>
      <c r="AD72" s="63"/>
      <c r="AE72" s="63"/>
      <c r="AF72" s="63"/>
      <c r="AG72" s="63"/>
      <c r="AH72" s="63"/>
      <c r="AI72" s="63"/>
      <c r="AJ72" s="63"/>
      <c r="AK72" s="63"/>
      <c r="AL72" s="63"/>
      <c r="AM72" s="63"/>
      <c r="AN72" s="63"/>
      <c r="AO72" s="63"/>
      <c r="AP72" s="63"/>
      <c r="AQ72" s="63"/>
      <c r="AR72" s="63"/>
      <c r="AS72" s="63"/>
      <c r="AT72" s="63"/>
    </row>
    <row r="73" spans="1:46" ht="15.75" hidden="1" customHeight="1" x14ac:dyDescent="0.25">
      <c r="A73" s="63"/>
      <c r="B73" s="63"/>
      <c r="C73" s="63"/>
      <c r="D73" s="63"/>
      <c r="E73" s="63"/>
      <c r="F73" s="63"/>
      <c r="G73" s="175"/>
      <c r="H73" s="179"/>
      <c r="I73" s="63"/>
      <c r="J73" s="63"/>
      <c r="K73" s="63"/>
      <c r="L73" s="63"/>
      <c r="M73" s="63"/>
      <c r="N73" s="63"/>
      <c r="O73" s="63"/>
      <c r="P73" s="63"/>
      <c r="Q73" s="63"/>
      <c r="R73" s="63"/>
      <c r="S73" s="63"/>
      <c r="T73" s="63"/>
      <c r="U73" t="str">
        <v>Gerodimos</v>
      </c>
      <c r="V73" t="str">
        <v>Basketball</v>
      </c>
      <c r="W73" t="str">
        <v>Youth</v>
      </c>
      <c r="X73" t="str">
        <v>N/A</v>
      </c>
      <c r="Y73" t="str">
        <v>Male</v>
      </c>
      <c r="Z73" t="str">
        <v>Cybex</v>
      </c>
      <c r="AA73" s="63"/>
      <c r="AB73" s="63"/>
      <c r="AC73" s="63"/>
      <c r="AD73" s="63"/>
      <c r="AE73" s="63"/>
      <c r="AF73" s="63"/>
      <c r="AG73" s="63"/>
      <c r="AH73" s="63"/>
      <c r="AI73" s="63"/>
      <c r="AJ73" s="63"/>
      <c r="AK73" s="63"/>
      <c r="AL73" s="63"/>
      <c r="AM73" s="63"/>
      <c r="AN73" s="63"/>
      <c r="AO73" s="63"/>
      <c r="AP73" s="63"/>
      <c r="AQ73" s="63"/>
      <c r="AR73" s="63"/>
      <c r="AS73" s="63"/>
      <c r="AT73" s="63"/>
    </row>
    <row r="74" spans="1:46" ht="15.75" hidden="1" customHeight="1" x14ac:dyDescent="0.25">
      <c r="A74" s="63"/>
      <c r="B74" s="63"/>
      <c r="C74" s="63"/>
      <c r="D74" s="63"/>
      <c r="E74" s="63"/>
      <c r="F74" s="63"/>
      <c r="G74" s="175"/>
      <c r="H74" s="179"/>
      <c r="I74" s="63"/>
      <c r="J74" s="63"/>
      <c r="K74" s="63"/>
      <c r="L74" s="63"/>
      <c r="M74" s="63"/>
      <c r="N74" s="63"/>
      <c r="O74" s="63"/>
      <c r="P74" s="63"/>
      <c r="Q74" s="63"/>
      <c r="R74" s="63"/>
      <c r="S74" s="63"/>
      <c r="T74" s="63"/>
      <c r="U74" t="str">
        <v>Gerodimos</v>
      </c>
      <c r="V74" t="str">
        <v>Basketball</v>
      </c>
      <c r="W74" t="str">
        <v>Youth</v>
      </c>
      <c r="X74" t="str">
        <v>N/A</v>
      </c>
      <c r="Y74" t="str">
        <v>Male</v>
      </c>
      <c r="Z74" t="str">
        <v>Cybex</v>
      </c>
      <c r="AA74" s="63"/>
      <c r="AB74" s="63"/>
      <c r="AC74" s="63"/>
      <c r="AD74" s="63"/>
      <c r="AE74" s="63"/>
      <c r="AF74" s="63"/>
      <c r="AG74" s="63"/>
      <c r="AH74" s="63"/>
      <c r="AI74" s="63"/>
      <c r="AJ74" s="63"/>
      <c r="AK74" s="63"/>
      <c r="AL74" s="63"/>
      <c r="AM74" s="63"/>
      <c r="AN74" s="63"/>
      <c r="AO74" s="63"/>
      <c r="AP74" s="63"/>
      <c r="AQ74" s="63"/>
      <c r="AR74" s="63"/>
      <c r="AS74" s="63"/>
      <c r="AT74" s="63"/>
    </row>
    <row r="75" spans="1:46" ht="15.75" hidden="1" customHeight="1" x14ac:dyDescent="0.25">
      <c r="A75" s="63"/>
      <c r="B75" s="63"/>
      <c r="C75" s="63"/>
      <c r="D75" s="63"/>
      <c r="E75" s="63"/>
      <c r="F75" s="63"/>
      <c r="G75" s="175"/>
      <c r="H75" s="179"/>
      <c r="I75" s="63"/>
      <c r="J75" s="63"/>
      <c r="K75" s="63"/>
      <c r="L75" s="63"/>
      <c r="M75" s="63"/>
      <c r="N75" s="63"/>
      <c r="O75" s="63"/>
      <c r="P75" s="63"/>
      <c r="Q75" s="63"/>
      <c r="R75" s="63"/>
      <c r="S75" s="63"/>
      <c r="T75" s="63"/>
      <c r="U75" t="str">
        <v>Gerodimos</v>
      </c>
      <c r="V75" t="str">
        <v>Basketball</v>
      </c>
      <c r="W75" t="str">
        <v>Youth</v>
      </c>
      <c r="X75" t="str">
        <v>N/A</v>
      </c>
      <c r="Y75" t="str">
        <v>Male</v>
      </c>
      <c r="Z75" t="str">
        <v>Cybex</v>
      </c>
      <c r="AA75" s="63"/>
      <c r="AB75" s="63"/>
      <c r="AC75" s="63"/>
      <c r="AD75" s="63"/>
      <c r="AE75" s="63"/>
      <c r="AF75" s="63"/>
      <c r="AG75" s="63"/>
      <c r="AH75" s="63"/>
      <c r="AI75" s="63"/>
      <c r="AJ75" s="63"/>
      <c r="AK75" s="63"/>
      <c r="AL75" s="63"/>
      <c r="AM75" s="63"/>
      <c r="AN75" s="63"/>
      <c r="AO75" s="63"/>
      <c r="AP75" s="63"/>
      <c r="AQ75" s="63"/>
      <c r="AR75" s="63"/>
      <c r="AS75" s="63"/>
      <c r="AT75" s="63"/>
    </row>
    <row r="76" spans="1:46" ht="15.75" hidden="1" customHeight="1" x14ac:dyDescent="0.25">
      <c r="A76" s="63"/>
      <c r="B76" s="63"/>
      <c r="C76" s="63"/>
      <c r="D76" s="63"/>
      <c r="E76" s="63"/>
      <c r="F76" s="63"/>
      <c r="G76" s="175"/>
      <c r="H76" s="179"/>
      <c r="I76" s="63"/>
      <c r="J76" s="63"/>
      <c r="K76" s="63"/>
      <c r="L76" s="63"/>
      <c r="M76" s="63"/>
      <c r="N76" s="63"/>
      <c r="O76" s="63"/>
      <c r="P76" s="63"/>
      <c r="Q76" s="63"/>
      <c r="R76" s="63"/>
      <c r="S76" s="63"/>
      <c r="T76" s="63"/>
      <c r="U76" t="str">
        <v>Gerodimos</v>
      </c>
      <c r="V76" t="str">
        <v>Basketball</v>
      </c>
      <c r="W76" t="str">
        <v>Youth</v>
      </c>
      <c r="X76" t="str">
        <v>N/A</v>
      </c>
      <c r="Y76" t="str">
        <v>Male</v>
      </c>
      <c r="Z76" t="str">
        <v>Cybex</v>
      </c>
      <c r="AA76" s="63"/>
      <c r="AB76" s="63"/>
      <c r="AC76" s="63"/>
      <c r="AD76" s="63"/>
      <c r="AE76" s="63"/>
      <c r="AF76" s="63"/>
      <c r="AG76" s="63"/>
      <c r="AH76" s="63"/>
      <c r="AI76" s="63"/>
      <c r="AJ76" s="63"/>
      <c r="AK76" s="63"/>
      <c r="AL76" s="63"/>
      <c r="AM76" s="63"/>
      <c r="AN76" s="63"/>
      <c r="AO76" s="63"/>
      <c r="AP76" s="63"/>
      <c r="AQ76" s="63"/>
      <c r="AR76" s="63"/>
      <c r="AS76" s="63"/>
      <c r="AT76" s="63"/>
    </row>
    <row r="77" spans="1:46" ht="15.75" hidden="1" customHeight="1" x14ac:dyDescent="0.25">
      <c r="A77" s="63"/>
      <c r="B77" s="63"/>
      <c r="C77" s="63"/>
      <c r="D77" s="63"/>
      <c r="E77" s="63"/>
      <c r="F77" s="63"/>
      <c r="G77" s="175"/>
      <c r="H77" s="179"/>
      <c r="I77" s="63"/>
      <c r="J77" s="63"/>
      <c r="K77" s="63"/>
      <c r="L77" s="63"/>
      <c r="M77" s="63"/>
      <c r="N77" s="63"/>
      <c r="O77" s="63"/>
      <c r="P77" s="63"/>
      <c r="Q77" s="63"/>
      <c r="R77" s="63"/>
      <c r="S77" s="63"/>
      <c r="T77" s="63"/>
      <c r="U77" t="str">
        <v>Gerodimos</v>
      </c>
      <c r="V77" t="str">
        <v>Basketball</v>
      </c>
      <c r="W77" t="str">
        <v>Youth</v>
      </c>
      <c r="X77" t="str">
        <v>N/A</v>
      </c>
      <c r="Y77" t="str">
        <v>Male</v>
      </c>
      <c r="Z77" t="str">
        <v>Cybex</v>
      </c>
      <c r="AA77" s="63"/>
      <c r="AB77" s="63"/>
      <c r="AC77" s="63"/>
      <c r="AD77" s="63"/>
      <c r="AE77" s="63"/>
      <c r="AF77" s="63"/>
      <c r="AG77" s="63"/>
      <c r="AH77" s="63"/>
      <c r="AI77" s="63"/>
      <c r="AJ77" s="63"/>
      <c r="AK77" s="63"/>
      <c r="AL77" s="63"/>
      <c r="AM77" s="63"/>
      <c r="AN77" s="63"/>
      <c r="AO77" s="63"/>
      <c r="AP77" s="63"/>
      <c r="AQ77" s="63"/>
      <c r="AR77" s="63"/>
      <c r="AS77" s="63"/>
      <c r="AT77" s="63"/>
    </row>
    <row r="78" spans="1:46" ht="15.75" hidden="1" customHeight="1" x14ac:dyDescent="0.25">
      <c r="A78" s="63"/>
      <c r="B78" s="63"/>
      <c r="C78" s="63"/>
      <c r="D78" s="63"/>
      <c r="E78" s="63"/>
      <c r="F78" s="63"/>
      <c r="G78" s="175"/>
      <c r="H78" s="179"/>
      <c r="I78" s="63"/>
      <c r="J78" s="63"/>
      <c r="K78" s="63"/>
      <c r="L78" s="63"/>
      <c r="M78" s="63"/>
      <c r="N78" s="63"/>
      <c r="O78" s="63"/>
      <c r="P78" s="63"/>
      <c r="Q78" s="63"/>
      <c r="R78" s="63"/>
      <c r="S78" s="63"/>
      <c r="T78" s="63"/>
      <c r="U78" t="str">
        <v>Gerodimos</v>
      </c>
      <c r="V78" t="str">
        <v>Basketball</v>
      </c>
      <c r="W78" t="str">
        <v>Youth</v>
      </c>
      <c r="X78" t="str">
        <v>N/A</v>
      </c>
      <c r="Y78" t="str">
        <v>Male</v>
      </c>
      <c r="Z78" t="str">
        <v>Cybex</v>
      </c>
      <c r="AA78" s="63"/>
      <c r="AB78" s="63"/>
      <c r="AC78" s="63"/>
      <c r="AD78" s="63"/>
      <c r="AE78" s="63"/>
      <c r="AF78" s="63"/>
      <c r="AG78" s="63"/>
      <c r="AH78" s="63"/>
      <c r="AI78" s="63"/>
      <c r="AJ78" s="63"/>
      <c r="AK78" s="63"/>
      <c r="AL78" s="63"/>
      <c r="AM78" s="63"/>
      <c r="AN78" s="63"/>
      <c r="AO78" s="63"/>
      <c r="AP78" s="63"/>
      <c r="AQ78" s="63"/>
      <c r="AR78" s="63"/>
      <c r="AS78" s="63"/>
      <c r="AT78" s="63"/>
    </row>
    <row r="79" spans="1:46" ht="15.75" hidden="1" customHeight="1" x14ac:dyDescent="0.25">
      <c r="A79" s="63"/>
      <c r="B79" s="63"/>
      <c r="C79" s="63"/>
      <c r="D79" s="63"/>
      <c r="E79" s="63"/>
      <c r="F79" s="63"/>
      <c r="G79" s="175"/>
      <c r="H79" s="179"/>
      <c r="I79" s="63"/>
      <c r="J79" s="63"/>
      <c r="K79" s="63"/>
      <c r="L79" s="63"/>
      <c r="M79" s="63"/>
      <c r="N79" s="63"/>
      <c r="O79" s="63"/>
      <c r="P79" s="63"/>
      <c r="Q79" s="63"/>
      <c r="R79" s="63"/>
      <c r="S79" s="63"/>
      <c r="T79" s="63"/>
      <c r="U79" t="str">
        <v>Gerodimos</v>
      </c>
      <c r="V79" t="str">
        <v>Basketball</v>
      </c>
      <c r="W79" t="str">
        <v>Youth</v>
      </c>
      <c r="X79" t="str">
        <v>N/A</v>
      </c>
      <c r="Y79" t="str">
        <v>Male</v>
      </c>
      <c r="Z79" t="str">
        <v>Cybex</v>
      </c>
      <c r="AA79" s="63"/>
      <c r="AB79" s="63"/>
      <c r="AC79" s="63"/>
      <c r="AD79" s="63"/>
      <c r="AE79" s="63"/>
      <c r="AF79" s="63"/>
      <c r="AG79" s="63"/>
      <c r="AH79" s="63"/>
      <c r="AI79" s="63"/>
      <c r="AJ79" s="63"/>
      <c r="AK79" s="63"/>
      <c r="AL79" s="63"/>
      <c r="AM79" s="63"/>
      <c r="AN79" s="63"/>
      <c r="AO79" s="63"/>
      <c r="AP79" s="63"/>
      <c r="AQ79" s="63"/>
      <c r="AR79" s="63"/>
      <c r="AS79" s="63"/>
      <c r="AT79" s="63"/>
    </row>
    <row r="80" spans="1:46" ht="15.75" hidden="1" customHeight="1" x14ac:dyDescent="0.25">
      <c r="A80" s="63"/>
      <c r="B80" s="63"/>
      <c r="C80" s="63"/>
      <c r="D80" s="63"/>
      <c r="E80" s="63"/>
      <c r="F80" s="63"/>
      <c r="G80" s="175"/>
      <c r="H80" s="179"/>
      <c r="I80" s="63"/>
      <c r="J80" s="63"/>
      <c r="K80" s="63"/>
      <c r="L80" s="63"/>
      <c r="M80" s="63"/>
      <c r="N80" s="63"/>
      <c r="O80" s="63"/>
      <c r="P80" s="63"/>
      <c r="Q80" s="63"/>
      <c r="R80" s="63"/>
      <c r="S80" s="63"/>
      <c r="T80" s="63"/>
      <c r="U80" t="str">
        <v>Wang</v>
      </c>
      <c r="V80" t="str">
        <v>Basketball</v>
      </c>
      <c r="W80" t="str">
        <v>Youth</v>
      </c>
      <c r="X80" t="str">
        <v>N/A</v>
      </c>
      <c r="Y80" t="str">
        <v>Male</v>
      </c>
      <c r="Z80" t="str">
        <v>Cybex</v>
      </c>
      <c r="AA80" s="63"/>
      <c r="AB80" s="63"/>
      <c r="AC80" s="63"/>
      <c r="AD80" s="63"/>
      <c r="AE80" s="63"/>
      <c r="AF80" s="63"/>
      <c r="AG80" s="63"/>
      <c r="AH80" s="63"/>
      <c r="AI80" s="63"/>
      <c r="AJ80" s="63"/>
      <c r="AK80" s="63"/>
      <c r="AL80" s="63"/>
      <c r="AM80" s="63"/>
      <c r="AN80" s="63"/>
      <c r="AO80" s="63"/>
      <c r="AP80" s="63"/>
      <c r="AQ80" s="63"/>
      <c r="AR80" s="63"/>
      <c r="AS80" s="63"/>
      <c r="AT80" s="63"/>
    </row>
    <row r="81" spans="1:46" ht="15.75" hidden="1" customHeight="1" x14ac:dyDescent="0.25">
      <c r="A81" s="63"/>
      <c r="B81" s="63"/>
      <c r="C81" s="63"/>
      <c r="D81" s="63"/>
      <c r="E81" s="63"/>
      <c r="F81" s="63"/>
      <c r="G81" s="175"/>
      <c r="H81" s="179"/>
      <c r="I81" s="63"/>
      <c r="J81" s="63"/>
      <c r="K81" s="63"/>
      <c r="L81" s="63"/>
      <c r="M81" s="63"/>
      <c r="N81" s="63"/>
      <c r="O81" s="63"/>
      <c r="P81" s="63"/>
      <c r="Q81" s="63"/>
      <c r="R81" s="63"/>
      <c r="S81" s="63"/>
      <c r="T81" s="63"/>
      <c r="U81" t="str">
        <v>Wang</v>
      </c>
      <c r="V81" t="str">
        <v>Basketball</v>
      </c>
      <c r="W81" t="str">
        <v>Youth</v>
      </c>
      <c r="X81" t="str">
        <v>N/A</v>
      </c>
      <c r="Y81" t="str">
        <v>Male</v>
      </c>
      <c r="Z81" t="str">
        <v>Cybex</v>
      </c>
      <c r="AA81" s="63"/>
      <c r="AB81" s="63"/>
      <c r="AC81" s="63"/>
      <c r="AD81" s="63"/>
      <c r="AE81" s="63"/>
      <c r="AF81" s="63"/>
      <c r="AG81" s="63"/>
      <c r="AH81" s="63"/>
      <c r="AI81" s="63"/>
      <c r="AJ81" s="63"/>
      <c r="AK81" s="63"/>
      <c r="AL81" s="63"/>
      <c r="AM81" s="63"/>
      <c r="AN81" s="63"/>
      <c r="AO81" s="63"/>
      <c r="AP81" s="63"/>
      <c r="AQ81" s="63"/>
      <c r="AR81" s="63"/>
      <c r="AS81" s="63"/>
      <c r="AT81" s="63"/>
    </row>
    <row r="82" spans="1:46" ht="15.75" hidden="1" customHeight="1" x14ac:dyDescent="0.25">
      <c r="A82" s="63"/>
      <c r="B82" s="63"/>
      <c r="C82" s="63"/>
      <c r="D82" s="63"/>
      <c r="E82" s="63"/>
      <c r="F82" s="63"/>
      <c r="G82" s="175"/>
      <c r="H82" s="179"/>
      <c r="I82" s="63"/>
      <c r="J82" s="63"/>
      <c r="K82" s="63"/>
      <c r="L82" s="63"/>
      <c r="M82" s="63"/>
      <c r="N82" s="63"/>
      <c r="O82" s="63"/>
      <c r="P82" s="63"/>
      <c r="Q82" s="63"/>
      <c r="R82" s="63"/>
      <c r="S82" s="63"/>
      <c r="T82" s="63"/>
      <c r="U82" t="str">
        <v>Wang</v>
      </c>
      <c r="V82" t="str">
        <v>Basketball</v>
      </c>
      <c r="W82" t="str">
        <v>Youth</v>
      </c>
      <c r="X82" t="str">
        <v>N/A</v>
      </c>
      <c r="Y82" t="str">
        <v>Male</v>
      </c>
      <c r="Z82" t="str">
        <v>Cybex</v>
      </c>
      <c r="AA82" s="63"/>
      <c r="AB82" s="63"/>
      <c r="AC82" s="63"/>
      <c r="AD82" s="63"/>
      <c r="AE82" s="63"/>
      <c r="AF82" s="63"/>
      <c r="AG82" s="63"/>
      <c r="AH82" s="63"/>
      <c r="AI82" s="63"/>
      <c r="AJ82" s="63"/>
      <c r="AK82" s="63"/>
      <c r="AL82" s="63"/>
      <c r="AM82" s="63"/>
      <c r="AN82" s="63"/>
      <c r="AO82" s="63"/>
      <c r="AP82" s="63"/>
      <c r="AQ82" s="63"/>
      <c r="AR82" s="63"/>
      <c r="AS82" s="63"/>
      <c r="AT82" s="63"/>
    </row>
    <row r="83" spans="1:46" ht="15.75" hidden="1" customHeight="1" x14ac:dyDescent="0.25">
      <c r="A83" s="63"/>
      <c r="B83" s="63"/>
      <c r="C83" s="63"/>
      <c r="D83" s="63"/>
      <c r="E83" s="63"/>
      <c r="F83" s="63"/>
      <c r="G83" s="175"/>
      <c r="H83" s="179"/>
      <c r="I83" s="63"/>
      <c r="J83" s="63"/>
      <c r="K83" s="63"/>
      <c r="L83" s="63"/>
      <c r="M83" s="63"/>
      <c r="N83" s="63"/>
      <c r="O83" s="63"/>
      <c r="P83" s="63"/>
      <c r="Q83" s="63"/>
      <c r="R83" s="63"/>
      <c r="S83" s="63"/>
      <c r="T83" s="63"/>
      <c r="U83" t="str">
        <v>Wang</v>
      </c>
      <c r="V83" t="str">
        <v>Basketball</v>
      </c>
      <c r="W83" t="str">
        <v>Youth</v>
      </c>
      <c r="X83" t="str">
        <v>N/A</v>
      </c>
      <c r="Y83" t="str">
        <v>Male</v>
      </c>
      <c r="Z83" t="str">
        <v>Cybex</v>
      </c>
      <c r="AA83" s="63"/>
      <c r="AB83" s="63"/>
      <c r="AC83" s="63"/>
      <c r="AD83" s="63"/>
      <c r="AE83" s="63"/>
      <c r="AF83" s="63"/>
      <c r="AG83" s="63"/>
      <c r="AH83" s="63"/>
      <c r="AI83" s="63"/>
      <c r="AJ83" s="63"/>
      <c r="AK83" s="63"/>
      <c r="AL83" s="63"/>
      <c r="AM83" s="63"/>
      <c r="AN83" s="63"/>
      <c r="AO83" s="63"/>
      <c r="AP83" s="63"/>
      <c r="AQ83" s="63"/>
      <c r="AR83" s="63"/>
      <c r="AS83" s="63"/>
      <c r="AT83" s="63"/>
    </row>
    <row r="84" spans="1:46" ht="15.75" hidden="1" customHeight="1" x14ac:dyDescent="0.25">
      <c r="A84" s="63"/>
      <c r="B84" s="63"/>
      <c r="C84" s="63"/>
      <c r="D84" s="63"/>
      <c r="E84" s="63"/>
      <c r="F84" s="63"/>
      <c r="G84" s="175"/>
      <c r="H84" s="179"/>
      <c r="I84" s="63"/>
      <c r="J84" s="63"/>
      <c r="K84" s="63"/>
      <c r="L84" s="63"/>
      <c r="M84" s="63"/>
      <c r="N84" s="63"/>
      <c r="O84" s="63"/>
      <c r="P84" s="63"/>
      <c r="Q84" s="63"/>
      <c r="R84" s="63"/>
      <c r="S84" s="63"/>
      <c r="T84" s="63"/>
      <c r="U84" t="str">
        <v>Wang</v>
      </c>
      <c r="V84" t="str">
        <v>Basketball</v>
      </c>
      <c r="W84" t="str">
        <v>Youth</v>
      </c>
      <c r="X84" t="str">
        <v>N/A</v>
      </c>
      <c r="Y84" t="str">
        <v>Male</v>
      </c>
      <c r="Z84" t="str">
        <v>Cybex</v>
      </c>
      <c r="AA84" s="63"/>
      <c r="AB84" s="63"/>
      <c r="AC84" s="63"/>
      <c r="AD84" s="63"/>
      <c r="AE84" s="63"/>
      <c r="AF84" s="63"/>
      <c r="AG84" s="63"/>
      <c r="AH84" s="63"/>
      <c r="AI84" s="63"/>
      <c r="AJ84" s="63"/>
      <c r="AK84" s="63"/>
      <c r="AL84" s="63"/>
      <c r="AM84" s="63"/>
      <c r="AN84" s="63"/>
      <c r="AO84" s="63"/>
      <c r="AP84" s="63"/>
      <c r="AQ84" s="63"/>
      <c r="AR84" s="63"/>
      <c r="AS84" s="63"/>
      <c r="AT84" s="63"/>
    </row>
    <row r="85" spans="1:46" ht="15.75" hidden="1" customHeight="1" x14ac:dyDescent="0.25">
      <c r="A85" s="63"/>
      <c r="B85" s="63"/>
      <c r="C85" s="63"/>
      <c r="D85" s="63"/>
      <c r="E85" s="63"/>
      <c r="F85" s="63"/>
      <c r="G85" s="175"/>
      <c r="H85" s="179"/>
      <c r="I85" s="63"/>
      <c r="J85" s="63"/>
      <c r="K85" s="63"/>
      <c r="L85" s="63"/>
      <c r="M85" s="63"/>
      <c r="N85" s="63"/>
      <c r="O85" s="63"/>
      <c r="P85" s="63"/>
      <c r="Q85" s="63"/>
      <c r="R85" s="63"/>
      <c r="S85" s="63"/>
      <c r="T85" s="63"/>
      <c r="U85" t="str">
        <v>Wang</v>
      </c>
      <c r="V85" t="str">
        <v>Basketball</v>
      </c>
      <c r="W85" t="str">
        <v>Youth</v>
      </c>
      <c r="X85" t="str">
        <v>N/A</v>
      </c>
      <c r="Y85" t="str">
        <v>Male</v>
      </c>
      <c r="Z85" t="str">
        <v>Cybex</v>
      </c>
      <c r="AA85" s="63"/>
      <c r="AB85" s="63"/>
      <c r="AC85" s="63"/>
      <c r="AD85" s="63"/>
      <c r="AE85" s="63"/>
      <c r="AF85" s="63"/>
      <c r="AG85" s="63"/>
      <c r="AH85" s="63"/>
      <c r="AI85" s="63"/>
      <c r="AJ85" s="63"/>
      <c r="AK85" s="63"/>
      <c r="AL85" s="63"/>
      <c r="AM85" s="63"/>
      <c r="AN85" s="63"/>
      <c r="AO85" s="63"/>
      <c r="AP85" s="63"/>
      <c r="AQ85" s="63"/>
      <c r="AR85" s="63"/>
      <c r="AS85" s="63"/>
      <c r="AT85" s="63"/>
    </row>
    <row r="86" spans="1:46" ht="15.75" hidden="1" customHeight="1" x14ac:dyDescent="0.25">
      <c r="A86" s="63"/>
      <c r="B86" s="63"/>
      <c r="C86" s="63"/>
      <c r="D86" s="63"/>
      <c r="E86" s="63"/>
      <c r="F86" s="63"/>
      <c r="G86" s="175"/>
      <c r="H86" s="179"/>
      <c r="I86" s="63"/>
      <c r="J86" s="63"/>
      <c r="K86" s="63"/>
      <c r="L86" s="63"/>
      <c r="M86" s="63"/>
      <c r="N86" s="63"/>
      <c r="O86" s="63"/>
      <c r="P86" s="63"/>
      <c r="Q86" s="63"/>
      <c r="R86" s="63"/>
      <c r="S86" s="63"/>
      <c r="T86" s="63"/>
      <c r="U86" t="str">
        <v>Wang</v>
      </c>
      <c r="V86" t="str">
        <v>Basketball</v>
      </c>
      <c r="W86" t="str">
        <v>Youth</v>
      </c>
      <c r="X86" t="str">
        <v>N/A</v>
      </c>
      <c r="Y86" t="str">
        <v>Male</v>
      </c>
      <c r="Z86" t="str">
        <v>Cybex</v>
      </c>
      <c r="AA86" s="63"/>
      <c r="AB86" s="63"/>
      <c r="AC86" s="63"/>
      <c r="AD86" s="63"/>
      <c r="AE86" s="63"/>
      <c r="AF86" s="63"/>
      <c r="AG86" s="63"/>
      <c r="AH86" s="63"/>
      <c r="AI86" s="63"/>
      <c r="AJ86" s="63"/>
      <c r="AK86" s="63"/>
      <c r="AL86" s="63"/>
      <c r="AM86" s="63"/>
      <c r="AN86" s="63"/>
      <c r="AO86" s="63"/>
      <c r="AP86" s="63"/>
      <c r="AQ86" s="63"/>
      <c r="AR86" s="63"/>
      <c r="AS86" s="63"/>
      <c r="AT86" s="63"/>
    </row>
    <row r="87" spans="1:46" ht="15.75" hidden="1" customHeight="1" x14ac:dyDescent="0.25">
      <c r="A87" s="63"/>
      <c r="B87" s="63"/>
      <c r="C87" s="63"/>
      <c r="D87" s="63"/>
      <c r="E87" s="63"/>
      <c r="F87" s="63"/>
      <c r="G87" s="175"/>
      <c r="H87" s="179"/>
      <c r="I87" s="63"/>
      <c r="J87" s="63"/>
      <c r="K87" s="63"/>
      <c r="L87" s="63"/>
      <c r="M87" s="63"/>
      <c r="N87" s="63"/>
      <c r="O87" s="63"/>
      <c r="P87" s="63"/>
      <c r="Q87" s="63"/>
      <c r="R87" s="63"/>
      <c r="S87" s="63"/>
      <c r="T87" s="63"/>
      <c r="U87" t="str">
        <v>Wang</v>
      </c>
      <c r="V87" t="str">
        <v>Basketball</v>
      </c>
      <c r="W87" t="str">
        <v>Youth</v>
      </c>
      <c r="X87" t="str">
        <v>N/A</v>
      </c>
      <c r="Y87" t="str">
        <v>Male</v>
      </c>
      <c r="Z87" t="str">
        <v>Cybex</v>
      </c>
      <c r="AA87" s="63"/>
      <c r="AB87" s="63"/>
      <c r="AC87" s="63"/>
      <c r="AD87" s="63"/>
      <c r="AE87" s="63"/>
      <c r="AF87" s="63"/>
      <c r="AG87" s="63"/>
      <c r="AH87" s="63"/>
      <c r="AI87" s="63"/>
      <c r="AJ87" s="63"/>
      <c r="AK87" s="63"/>
      <c r="AL87" s="63"/>
      <c r="AM87" s="63"/>
      <c r="AN87" s="63"/>
      <c r="AO87" s="63"/>
      <c r="AP87" s="63"/>
      <c r="AQ87" s="63"/>
      <c r="AR87" s="63"/>
      <c r="AS87" s="63"/>
      <c r="AT87" s="63"/>
    </row>
    <row r="88" spans="1:46" ht="15.75" hidden="1" customHeight="1" x14ac:dyDescent="0.25">
      <c r="A88" s="63"/>
      <c r="B88" s="63"/>
      <c r="C88" s="63"/>
      <c r="D88" s="63"/>
      <c r="E88" s="63"/>
      <c r="F88" s="63"/>
      <c r="G88" s="175"/>
      <c r="H88" s="179"/>
      <c r="I88" s="63"/>
      <c r="J88" s="63"/>
      <c r="K88" s="63"/>
      <c r="L88" s="63"/>
      <c r="M88" s="63"/>
      <c r="N88" s="63"/>
      <c r="O88" s="63"/>
      <c r="P88" s="63"/>
      <c r="Q88" s="63"/>
      <c r="R88" s="63"/>
      <c r="S88" s="63"/>
      <c r="T88" s="63"/>
      <c r="U88" t="str">
        <v>Ordway</v>
      </c>
      <c r="V88" t="str">
        <v>Gen Pop</v>
      </c>
      <c r="W88" t="str">
        <v>Eldery</v>
      </c>
      <c r="X88" t="str">
        <v>N/A</v>
      </c>
      <c r="Y88" t="str">
        <v>Male</v>
      </c>
      <c r="Z88" t="str">
        <v>Biodex</v>
      </c>
      <c r="AA88" s="63"/>
      <c r="AB88" s="63"/>
      <c r="AC88" s="63"/>
      <c r="AD88" s="63"/>
      <c r="AE88" s="63"/>
      <c r="AF88" s="63"/>
      <c r="AG88" s="63"/>
      <c r="AH88" s="63"/>
      <c r="AI88" s="63"/>
      <c r="AJ88" s="63"/>
      <c r="AK88" s="63"/>
      <c r="AL88" s="63"/>
      <c r="AM88" s="63"/>
      <c r="AN88" s="63"/>
      <c r="AO88" s="63"/>
      <c r="AP88" s="63"/>
      <c r="AQ88" s="63"/>
      <c r="AR88" s="63"/>
      <c r="AS88" s="63"/>
      <c r="AT88" s="63"/>
    </row>
    <row r="89" spans="1:46" ht="15.75" hidden="1" customHeight="1" x14ac:dyDescent="0.25">
      <c r="A89" s="63"/>
      <c r="B89" s="63"/>
      <c r="C89" s="63"/>
      <c r="D89" s="63"/>
      <c r="E89" s="63"/>
      <c r="F89" s="63"/>
      <c r="G89" s="175"/>
      <c r="H89" s="179"/>
      <c r="I89" s="63"/>
      <c r="J89" s="63"/>
      <c r="K89" s="63"/>
      <c r="L89" s="63"/>
      <c r="M89" s="63"/>
      <c r="N89" s="63"/>
      <c r="O89" s="63"/>
      <c r="P89" s="63"/>
      <c r="Q89" s="63"/>
      <c r="R89" s="63"/>
      <c r="S89" s="63"/>
      <c r="T89" s="63"/>
      <c r="U89" t="str">
        <v>Ordway</v>
      </c>
      <c r="V89" t="str">
        <v>Gen Pop</v>
      </c>
      <c r="W89" t="str">
        <v>Eldery</v>
      </c>
      <c r="X89" t="str">
        <v>N/A</v>
      </c>
      <c r="Y89" t="str">
        <v>Female</v>
      </c>
      <c r="Z89" t="str">
        <v>Biodex</v>
      </c>
      <c r="AA89" s="63"/>
      <c r="AB89" s="63"/>
      <c r="AC89" s="63"/>
      <c r="AD89" s="63"/>
      <c r="AE89" s="63"/>
      <c r="AF89" s="63"/>
      <c r="AG89" s="63"/>
      <c r="AH89" s="63"/>
      <c r="AI89" s="63"/>
      <c r="AJ89" s="63"/>
      <c r="AK89" s="63"/>
      <c r="AL89" s="63"/>
      <c r="AM89" s="63"/>
      <c r="AN89" s="63"/>
      <c r="AO89" s="63"/>
      <c r="AP89" s="63"/>
      <c r="AQ89" s="63"/>
      <c r="AR89" s="63"/>
      <c r="AS89" s="63"/>
      <c r="AT89" s="63"/>
    </row>
    <row r="90" spans="1:46" ht="15.75" hidden="1" customHeight="1" x14ac:dyDescent="0.25">
      <c r="A90" s="63"/>
      <c r="B90" s="63"/>
      <c r="C90" s="63"/>
      <c r="D90" s="63"/>
      <c r="E90" s="63"/>
      <c r="F90" s="63"/>
      <c r="G90" s="175"/>
      <c r="H90" s="179"/>
      <c r="I90" s="63"/>
      <c r="J90" s="63"/>
      <c r="K90" s="63"/>
      <c r="L90" s="63"/>
      <c r="M90" s="63"/>
      <c r="N90" s="63"/>
      <c r="O90" s="63"/>
      <c r="P90" s="63"/>
      <c r="Q90" s="63"/>
      <c r="R90" s="63"/>
      <c r="S90" s="63"/>
      <c r="T90" s="63"/>
      <c r="U90" t="str">
        <v>Ordway</v>
      </c>
      <c r="V90" t="str">
        <v>Gen Pop</v>
      </c>
      <c r="W90" t="str">
        <v>Eldery</v>
      </c>
      <c r="X90" t="str">
        <v>N/A</v>
      </c>
      <c r="Y90" t="str">
        <v>Male</v>
      </c>
      <c r="Z90" t="str">
        <v>Biodex</v>
      </c>
      <c r="AA90" s="63"/>
      <c r="AB90" s="63"/>
      <c r="AC90" s="63"/>
      <c r="AD90" s="63"/>
      <c r="AE90" s="63"/>
      <c r="AF90" s="63"/>
      <c r="AG90" s="63"/>
      <c r="AH90" s="63"/>
      <c r="AI90" s="63"/>
      <c r="AJ90" s="63"/>
      <c r="AK90" s="63"/>
      <c r="AL90" s="63"/>
      <c r="AM90" s="63"/>
      <c r="AN90" s="63"/>
      <c r="AO90" s="63"/>
      <c r="AP90" s="63"/>
      <c r="AQ90" s="63"/>
      <c r="AR90" s="63"/>
      <c r="AS90" s="63"/>
      <c r="AT90" s="63"/>
    </row>
    <row r="91" spans="1:46" ht="15.75" hidden="1" customHeight="1" x14ac:dyDescent="0.25">
      <c r="A91" s="63"/>
      <c r="B91" s="63"/>
      <c r="C91" s="63"/>
      <c r="D91" s="63"/>
      <c r="E91" s="63"/>
      <c r="F91" s="63"/>
      <c r="G91" s="175"/>
      <c r="H91" s="179"/>
      <c r="I91" s="63"/>
      <c r="J91" s="63"/>
      <c r="K91" s="63"/>
      <c r="L91" s="63"/>
      <c r="M91" s="63"/>
      <c r="N91" s="63"/>
      <c r="O91" s="63"/>
      <c r="P91" s="63"/>
      <c r="Q91" s="63"/>
      <c r="R91" s="63"/>
      <c r="S91" s="63"/>
      <c r="T91" s="63"/>
      <c r="U91" t="str">
        <v>Ordway</v>
      </c>
      <c r="V91" t="str">
        <v>Gen Pop</v>
      </c>
      <c r="W91" t="str">
        <v>Eldery</v>
      </c>
      <c r="X91" t="str">
        <v>N/A</v>
      </c>
      <c r="Y91" t="str">
        <v>Female</v>
      </c>
      <c r="Z91" t="str">
        <v>Biodex</v>
      </c>
      <c r="AA91" s="63"/>
      <c r="AB91" s="63"/>
      <c r="AC91" s="63"/>
      <c r="AD91" s="63"/>
      <c r="AE91" s="63"/>
      <c r="AF91" s="63"/>
      <c r="AG91" s="63"/>
      <c r="AH91" s="63"/>
      <c r="AI91" s="63"/>
      <c r="AJ91" s="63"/>
      <c r="AK91" s="63"/>
      <c r="AL91" s="63"/>
      <c r="AM91" s="63"/>
      <c r="AN91" s="63"/>
      <c r="AO91" s="63"/>
      <c r="AP91" s="63"/>
      <c r="AQ91" s="63"/>
      <c r="AR91" s="63"/>
      <c r="AS91" s="63"/>
      <c r="AT91" s="63"/>
    </row>
    <row r="92" spans="1:46" ht="15.75" hidden="1" customHeight="1" x14ac:dyDescent="0.25">
      <c r="A92" s="63"/>
      <c r="B92" s="63"/>
      <c r="C92" s="63"/>
      <c r="D92" s="63"/>
      <c r="E92" s="63"/>
      <c r="F92" s="63"/>
      <c r="G92" s="175"/>
      <c r="H92" s="179"/>
      <c r="I92" s="63"/>
      <c r="J92" s="63"/>
      <c r="K92" s="63"/>
      <c r="L92" s="63"/>
      <c r="M92" s="63"/>
      <c r="N92" s="63"/>
      <c r="O92" s="63"/>
      <c r="P92" s="63"/>
      <c r="Q92" s="63"/>
      <c r="R92" s="63"/>
      <c r="S92" s="63"/>
      <c r="T92" s="63"/>
      <c r="U92" t="str">
        <v>Silva</v>
      </c>
      <c r="V92" t="str">
        <v>Soccer</v>
      </c>
      <c r="W92" t="str">
        <v xml:space="preserve">Professional </v>
      </c>
      <c r="X92" t="str">
        <v>N/A</v>
      </c>
      <c r="Y92" t="str">
        <v>Male</v>
      </c>
      <c r="Z92" t="str">
        <v>Biodex</v>
      </c>
      <c r="AA92" s="63"/>
      <c r="AB92" s="63"/>
      <c r="AC92" s="63"/>
      <c r="AD92" s="63"/>
      <c r="AE92" s="63"/>
      <c r="AF92" s="63"/>
      <c r="AG92" s="63"/>
      <c r="AH92" s="63"/>
      <c r="AI92" s="63"/>
      <c r="AJ92" s="63"/>
      <c r="AK92" s="63"/>
      <c r="AL92" s="63"/>
      <c r="AM92" s="63"/>
      <c r="AN92" s="63"/>
      <c r="AO92" s="63"/>
      <c r="AP92" s="63"/>
      <c r="AQ92" s="63"/>
      <c r="AR92" s="63"/>
      <c r="AS92" s="63"/>
      <c r="AT92" s="63"/>
    </row>
    <row r="93" spans="1:46" ht="15.75" hidden="1" customHeight="1" x14ac:dyDescent="0.25">
      <c r="A93" s="63"/>
      <c r="B93" s="63"/>
      <c r="C93" s="63"/>
      <c r="D93" s="63"/>
      <c r="E93" s="63"/>
      <c r="F93" s="63"/>
      <c r="G93" s="175"/>
      <c r="H93" s="179"/>
      <c r="I93" s="63"/>
      <c r="J93" s="63"/>
      <c r="K93" s="63"/>
      <c r="L93" s="63"/>
      <c r="M93" s="63"/>
      <c r="N93" s="63"/>
      <c r="O93" s="63"/>
      <c r="P93" s="63"/>
      <c r="Q93" s="63"/>
      <c r="R93" s="63"/>
      <c r="S93" s="63"/>
      <c r="T93" s="63"/>
      <c r="U93" t="str">
        <v>Silva</v>
      </c>
      <c r="V93" t="str">
        <v>Soccer</v>
      </c>
      <c r="W93" t="str">
        <v xml:space="preserve">Professional </v>
      </c>
      <c r="X93" t="str">
        <v>N/A</v>
      </c>
      <c r="Y93" t="str">
        <v>Male</v>
      </c>
      <c r="Z93" t="str">
        <v>Biodex</v>
      </c>
      <c r="AA93" s="63"/>
      <c r="AB93" s="63"/>
      <c r="AC93" s="63"/>
      <c r="AD93" s="63"/>
      <c r="AE93" s="63"/>
      <c r="AF93" s="63"/>
      <c r="AG93" s="63"/>
      <c r="AH93" s="63"/>
      <c r="AI93" s="63"/>
      <c r="AJ93" s="63"/>
      <c r="AK93" s="63"/>
      <c r="AL93" s="63"/>
      <c r="AM93" s="63"/>
      <c r="AN93" s="63"/>
      <c r="AO93" s="63"/>
      <c r="AP93" s="63"/>
      <c r="AQ93" s="63"/>
      <c r="AR93" s="63"/>
      <c r="AS93" s="63"/>
      <c r="AT93" s="63"/>
    </row>
    <row r="94" spans="1:46" ht="15.75" hidden="1" customHeight="1" x14ac:dyDescent="0.25">
      <c r="A94" s="63"/>
      <c r="B94" s="63"/>
      <c r="C94" s="63"/>
      <c r="D94" s="63"/>
      <c r="E94" s="63"/>
      <c r="F94" s="63"/>
      <c r="G94" s="175"/>
      <c r="H94" s="179"/>
      <c r="I94" s="63"/>
      <c r="J94" s="63"/>
      <c r="K94" s="63"/>
      <c r="L94" s="63"/>
      <c r="M94" s="63"/>
      <c r="N94" s="63"/>
      <c r="O94" s="63"/>
      <c r="P94" s="63"/>
      <c r="Q94" s="63"/>
      <c r="R94" s="63"/>
      <c r="S94" s="63"/>
      <c r="T94" s="63"/>
      <c r="U94" t="str">
        <v>Silva</v>
      </c>
      <c r="V94" t="str">
        <v>Soccer</v>
      </c>
      <c r="W94" t="str">
        <v xml:space="preserve">Professional </v>
      </c>
      <c r="X94" t="str">
        <v>N/A</v>
      </c>
      <c r="Y94" t="str">
        <v>Male</v>
      </c>
      <c r="Z94" t="str">
        <v>Biodex</v>
      </c>
      <c r="AA94" s="63"/>
      <c r="AB94" s="63"/>
      <c r="AC94" s="63"/>
      <c r="AD94" s="63"/>
      <c r="AE94" s="63"/>
      <c r="AF94" s="63"/>
      <c r="AG94" s="63"/>
      <c r="AH94" s="63"/>
      <c r="AI94" s="63"/>
      <c r="AJ94" s="63"/>
      <c r="AK94" s="63"/>
      <c r="AL94" s="63"/>
      <c r="AM94" s="63"/>
      <c r="AN94" s="63"/>
      <c r="AO94" s="63"/>
      <c r="AP94" s="63"/>
      <c r="AQ94" s="63"/>
      <c r="AR94" s="63"/>
      <c r="AS94" s="63"/>
      <c r="AT94" s="63"/>
    </row>
    <row r="95" spans="1:46" ht="15.75" hidden="1" customHeight="1" x14ac:dyDescent="0.25">
      <c r="A95" s="63"/>
      <c r="B95" s="63"/>
      <c r="C95" s="63"/>
      <c r="D95" s="63"/>
      <c r="E95" s="63"/>
      <c r="F95" s="63"/>
      <c r="G95" s="175"/>
      <c r="H95" s="179"/>
      <c r="I95" s="63"/>
      <c r="J95" s="63"/>
      <c r="K95" s="63"/>
      <c r="L95" s="63"/>
      <c r="M95" s="63"/>
      <c r="N95" s="63"/>
      <c r="O95" s="63"/>
      <c r="P95" s="63"/>
      <c r="Q95" s="63"/>
      <c r="R95" s="63"/>
      <c r="S95" s="63"/>
      <c r="T95" s="63"/>
      <c r="U95" t="str">
        <v>Silva</v>
      </c>
      <c r="V95" t="str">
        <v>Soccer</v>
      </c>
      <c r="W95" t="str">
        <v xml:space="preserve">Professional </v>
      </c>
      <c r="X95" t="str">
        <v>N/A</v>
      </c>
      <c r="Y95" t="str">
        <v>Male</v>
      </c>
      <c r="Z95" t="str">
        <v>Biodex</v>
      </c>
      <c r="AA95" s="63"/>
      <c r="AB95" s="63"/>
      <c r="AC95" s="63"/>
      <c r="AD95" s="63"/>
      <c r="AE95" s="63"/>
      <c r="AF95" s="63"/>
      <c r="AG95" s="63"/>
      <c r="AH95" s="63"/>
      <c r="AI95" s="63"/>
      <c r="AJ95" s="63"/>
      <c r="AK95" s="63"/>
      <c r="AL95" s="63"/>
      <c r="AM95" s="63"/>
      <c r="AN95" s="63"/>
      <c r="AO95" s="63"/>
      <c r="AP95" s="63"/>
      <c r="AQ95" s="63"/>
      <c r="AR95" s="63"/>
      <c r="AS95" s="63"/>
      <c r="AT95" s="63"/>
    </row>
    <row r="96" spans="1:46" ht="15.75" hidden="1" customHeight="1" x14ac:dyDescent="0.25">
      <c r="A96" s="63"/>
      <c r="B96" s="63"/>
      <c r="C96" s="63"/>
      <c r="D96" s="63"/>
      <c r="E96" s="63"/>
      <c r="F96" s="63"/>
      <c r="G96" s="175"/>
      <c r="H96" s="179"/>
      <c r="I96" s="63"/>
      <c r="J96" s="63"/>
      <c r="K96" s="63"/>
      <c r="L96" s="63"/>
      <c r="M96" s="63"/>
      <c r="N96" s="63"/>
      <c r="O96" s="63"/>
      <c r="P96" s="63"/>
      <c r="Q96" s="63"/>
      <c r="R96" s="63"/>
      <c r="S96" s="63"/>
      <c r="T96" s="63"/>
      <c r="U96" t="str">
        <v>Silva</v>
      </c>
      <c r="V96" t="str">
        <v>Soccer</v>
      </c>
      <c r="W96" t="str">
        <v xml:space="preserve">Professional </v>
      </c>
      <c r="X96" t="str">
        <v>S.Defense</v>
      </c>
      <c r="Y96" t="str">
        <v>Male</v>
      </c>
      <c r="Z96" t="str">
        <v>Biodex</v>
      </c>
      <c r="AA96" s="63"/>
      <c r="AB96" s="63"/>
      <c r="AC96" s="63"/>
      <c r="AD96" s="63"/>
      <c r="AE96" s="63"/>
      <c r="AF96" s="63"/>
      <c r="AG96" s="63"/>
      <c r="AH96" s="63"/>
      <c r="AI96" s="63"/>
      <c r="AJ96" s="63"/>
      <c r="AK96" s="63"/>
      <c r="AL96" s="63"/>
      <c r="AM96" s="63"/>
      <c r="AN96" s="63"/>
      <c r="AO96" s="63"/>
      <c r="AP96" s="63"/>
      <c r="AQ96" s="63"/>
      <c r="AR96" s="63"/>
      <c r="AS96" s="63"/>
      <c r="AT96" s="63"/>
    </row>
    <row r="97" spans="1:46" ht="15.75" hidden="1" customHeight="1" x14ac:dyDescent="0.25">
      <c r="A97" s="63"/>
      <c r="B97" s="63"/>
      <c r="C97" s="63"/>
      <c r="D97" s="63"/>
      <c r="E97" s="63"/>
      <c r="F97" s="63"/>
      <c r="G97" s="175"/>
      <c r="H97" s="179"/>
      <c r="I97" s="63"/>
      <c r="J97" s="63"/>
      <c r="K97" s="63"/>
      <c r="L97" s="63"/>
      <c r="M97" s="63"/>
      <c r="N97" s="63"/>
      <c r="O97" s="63"/>
      <c r="P97" s="63"/>
      <c r="Q97" s="63"/>
      <c r="R97" s="63"/>
      <c r="S97" s="63"/>
      <c r="T97" s="63"/>
      <c r="U97" t="str">
        <v>Silva</v>
      </c>
      <c r="V97" t="str">
        <v>Soccer</v>
      </c>
      <c r="W97" t="str">
        <v xml:space="preserve">Professional </v>
      </c>
      <c r="X97" t="str">
        <v>S.Midfield</v>
      </c>
      <c r="Y97" t="str">
        <v>Male</v>
      </c>
      <c r="Z97" t="str">
        <v>Biodex</v>
      </c>
      <c r="AA97" s="63"/>
      <c r="AB97" s="63"/>
      <c r="AC97" s="63"/>
      <c r="AD97" s="63"/>
      <c r="AE97" s="63"/>
      <c r="AF97" s="63"/>
      <c r="AG97" s="63"/>
      <c r="AH97" s="63"/>
      <c r="AI97" s="63"/>
      <c r="AJ97" s="63"/>
      <c r="AK97" s="63"/>
      <c r="AL97" s="63"/>
      <c r="AM97" s="63"/>
      <c r="AN97" s="63"/>
      <c r="AO97" s="63"/>
      <c r="AP97" s="63"/>
      <c r="AQ97" s="63"/>
      <c r="AR97" s="63"/>
      <c r="AS97" s="63"/>
      <c r="AT97" s="63"/>
    </row>
    <row r="98" spans="1:46" ht="15.75" hidden="1" customHeight="1" x14ac:dyDescent="0.25">
      <c r="A98" s="63"/>
      <c r="B98" s="63"/>
      <c r="C98" s="63"/>
      <c r="D98" s="63"/>
      <c r="E98" s="63"/>
      <c r="F98" s="63"/>
      <c r="G98" s="175"/>
      <c r="H98" s="179"/>
      <c r="I98" s="63"/>
      <c r="J98" s="63"/>
      <c r="K98" s="63"/>
      <c r="L98" s="63"/>
      <c r="M98" s="63"/>
      <c r="N98" s="63"/>
      <c r="O98" s="63"/>
      <c r="P98" s="63"/>
      <c r="Q98" s="63"/>
      <c r="R98" s="63"/>
      <c r="S98" s="63"/>
      <c r="T98" s="63"/>
      <c r="U98" t="str">
        <v>Silva</v>
      </c>
      <c r="V98" t="str">
        <v>Soccer</v>
      </c>
      <c r="W98" t="str">
        <v xml:space="preserve">Professional </v>
      </c>
      <c r="X98" t="str">
        <v>S.Forwarders</v>
      </c>
      <c r="Y98" t="str">
        <v>Male</v>
      </c>
      <c r="Z98" t="str">
        <v>Biodex</v>
      </c>
      <c r="AA98" s="63"/>
      <c r="AB98" s="63"/>
      <c r="AC98" s="63"/>
      <c r="AD98" s="63"/>
      <c r="AE98" s="63"/>
      <c r="AF98" s="63"/>
      <c r="AG98" s="63"/>
      <c r="AH98" s="63"/>
      <c r="AI98" s="63"/>
      <c r="AJ98" s="63"/>
      <c r="AK98" s="63"/>
      <c r="AL98" s="63"/>
      <c r="AM98" s="63"/>
      <c r="AN98" s="63"/>
      <c r="AO98" s="63"/>
      <c r="AP98" s="63"/>
      <c r="AQ98" s="63"/>
      <c r="AR98" s="63"/>
      <c r="AS98" s="63"/>
      <c r="AT98" s="63"/>
    </row>
    <row r="99" spans="1:46" ht="15.75" hidden="1" customHeight="1" x14ac:dyDescent="0.25">
      <c r="A99" s="63"/>
      <c r="B99" s="63"/>
      <c r="C99" s="63"/>
      <c r="D99" s="63"/>
      <c r="E99" s="63"/>
      <c r="F99" s="63"/>
      <c r="G99" s="175"/>
      <c r="H99" s="179"/>
      <c r="I99" s="63"/>
      <c r="J99" s="63"/>
      <c r="K99" s="63"/>
      <c r="L99" s="63"/>
      <c r="M99" s="63"/>
      <c r="N99" s="63"/>
      <c r="O99" s="63"/>
      <c r="P99" s="63"/>
      <c r="Q99" s="63"/>
      <c r="R99" s="63"/>
      <c r="S99" s="63"/>
      <c r="T99" s="63"/>
      <c r="U99" t="str">
        <v>Silva</v>
      </c>
      <c r="V99" t="str">
        <v>Soccer</v>
      </c>
      <c r="W99" t="str">
        <v xml:space="preserve">Professional </v>
      </c>
      <c r="X99" t="str">
        <v>S.Defense</v>
      </c>
      <c r="Y99" t="str">
        <v>Male</v>
      </c>
      <c r="Z99" t="str">
        <v>Biodex</v>
      </c>
      <c r="AA99" s="63"/>
      <c r="AB99" s="63"/>
      <c r="AC99" s="63"/>
      <c r="AD99" s="63"/>
      <c r="AE99" s="63"/>
      <c r="AF99" s="63"/>
      <c r="AG99" s="63"/>
      <c r="AH99" s="63"/>
      <c r="AI99" s="63"/>
      <c r="AJ99" s="63"/>
      <c r="AK99" s="63"/>
      <c r="AL99" s="63"/>
      <c r="AM99" s="63"/>
      <c r="AN99" s="63"/>
      <c r="AO99" s="63"/>
      <c r="AP99" s="63"/>
      <c r="AQ99" s="63"/>
      <c r="AR99" s="63"/>
      <c r="AS99" s="63"/>
      <c r="AT99" s="63"/>
    </row>
    <row r="100" spans="1:46" ht="15.75" hidden="1" customHeight="1" x14ac:dyDescent="0.25">
      <c r="A100" s="63"/>
      <c r="B100" s="63"/>
      <c r="C100" s="63"/>
      <c r="D100" s="63"/>
      <c r="E100" s="63"/>
      <c r="F100" s="63"/>
      <c r="G100" s="175"/>
      <c r="H100" s="179"/>
      <c r="I100" s="63"/>
      <c r="J100" s="63"/>
      <c r="K100" s="63"/>
      <c r="L100" s="63"/>
      <c r="M100" s="63"/>
      <c r="N100" s="63"/>
      <c r="O100" s="63"/>
      <c r="P100" s="63"/>
      <c r="Q100" s="63"/>
      <c r="R100" s="63"/>
      <c r="S100" s="63"/>
      <c r="T100" s="63"/>
      <c r="U100" t="str">
        <v>Silva</v>
      </c>
      <c r="V100" t="str">
        <v>Soccer</v>
      </c>
      <c r="W100" t="str">
        <v xml:space="preserve">Professional </v>
      </c>
      <c r="X100" t="str">
        <v>S.Midfield</v>
      </c>
      <c r="Y100" t="str">
        <v>Male</v>
      </c>
      <c r="Z100" t="str">
        <v>Biodex</v>
      </c>
      <c r="AA100" s="63"/>
      <c r="AB100" s="63"/>
      <c r="AC100" s="63"/>
      <c r="AD100" s="63"/>
      <c r="AE100" s="63"/>
      <c r="AF100" s="63"/>
      <c r="AG100" s="63"/>
      <c r="AH100" s="63"/>
      <c r="AI100" s="63"/>
      <c r="AJ100" s="63"/>
      <c r="AK100" s="63"/>
      <c r="AL100" s="63"/>
      <c r="AM100" s="63"/>
      <c r="AN100" s="63"/>
      <c r="AO100" s="63"/>
      <c r="AP100" s="63"/>
      <c r="AQ100" s="63"/>
      <c r="AR100" s="63"/>
      <c r="AS100" s="63"/>
      <c r="AT100" s="63"/>
    </row>
    <row r="101" spans="1:46" ht="15.75" hidden="1" customHeight="1" x14ac:dyDescent="0.25">
      <c r="A101" s="63"/>
      <c r="B101" s="63"/>
      <c r="C101" s="63"/>
      <c r="D101" s="63"/>
      <c r="E101" s="63"/>
      <c r="F101" s="63"/>
      <c r="G101" s="175"/>
      <c r="H101" s="179"/>
      <c r="I101" s="63"/>
      <c r="J101" s="63"/>
      <c r="K101" s="63"/>
      <c r="L101" s="63"/>
      <c r="M101" s="63"/>
      <c r="N101" s="63"/>
      <c r="O101" s="63"/>
      <c r="P101" s="63"/>
      <c r="Q101" s="63"/>
      <c r="R101" s="63"/>
      <c r="S101" s="63"/>
      <c r="T101" s="63"/>
      <c r="U101" t="str">
        <v>Silva</v>
      </c>
      <c r="V101" t="str">
        <v>Soccer</v>
      </c>
      <c r="W101" t="str">
        <v xml:space="preserve">Professional </v>
      </c>
      <c r="X101" t="str">
        <v>S.Forwarders</v>
      </c>
      <c r="Y101" t="str">
        <v>Male</v>
      </c>
      <c r="Z101" t="str">
        <v>Biodex</v>
      </c>
      <c r="AA101" s="63"/>
      <c r="AB101" s="63"/>
      <c r="AC101" s="63"/>
      <c r="AD101" s="63"/>
      <c r="AE101" s="63"/>
      <c r="AF101" s="63"/>
      <c r="AG101" s="63"/>
      <c r="AH101" s="63"/>
      <c r="AI101" s="63"/>
      <c r="AJ101" s="63"/>
      <c r="AK101" s="63"/>
      <c r="AL101" s="63"/>
      <c r="AM101" s="63"/>
      <c r="AN101" s="63"/>
      <c r="AO101" s="63"/>
      <c r="AP101" s="63"/>
      <c r="AQ101" s="63"/>
      <c r="AR101" s="63"/>
      <c r="AS101" s="63"/>
      <c r="AT101" s="63"/>
    </row>
    <row r="102" spans="1:46" ht="15.75" hidden="1" customHeight="1" x14ac:dyDescent="0.25">
      <c r="A102" s="63"/>
      <c r="B102" s="63"/>
      <c r="C102" s="63"/>
      <c r="D102" s="63"/>
      <c r="E102" s="63"/>
      <c r="F102" s="63"/>
      <c r="G102" s="175"/>
      <c r="H102" s="179"/>
      <c r="I102" s="63"/>
      <c r="J102" s="63"/>
      <c r="K102" s="63"/>
      <c r="L102" s="63"/>
      <c r="M102" s="63"/>
      <c r="N102" s="63"/>
      <c r="O102" s="63"/>
      <c r="P102" s="63"/>
      <c r="Q102" s="63"/>
      <c r="R102" s="63"/>
      <c r="S102" s="63"/>
      <c r="T102" s="63"/>
      <c r="U102" t="str">
        <v>Song</v>
      </c>
      <c r="V102" t="str">
        <v>Basketball</v>
      </c>
      <c r="W102" t="str">
        <v xml:space="preserve">Professional </v>
      </c>
      <c r="X102" t="str">
        <v>N/A</v>
      </c>
      <c r="Y102" t="str">
        <v>Male</v>
      </c>
      <c r="Z102" t="str">
        <v>CSMI</v>
      </c>
      <c r="AA102" s="63"/>
      <c r="AB102" s="63"/>
      <c r="AC102" s="63"/>
      <c r="AD102" s="63"/>
      <c r="AE102" s="63"/>
      <c r="AF102" s="63"/>
      <c r="AG102" s="63"/>
      <c r="AH102" s="63"/>
      <c r="AI102" s="63"/>
      <c r="AJ102" s="63"/>
      <c r="AK102" s="63"/>
      <c r="AL102" s="63"/>
      <c r="AM102" s="63"/>
      <c r="AN102" s="63"/>
      <c r="AO102" s="63"/>
      <c r="AP102" s="63"/>
      <c r="AQ102" s="63"/>
      <c r="AR102" s="63"/>
      <c r="AS102" s="63"/>
      <c r="AT102" s="63"/>
    </row>
    <row r="103" spans="1:46" ht="15.75" hidden="1" customHeight="1" x14ac:dyDescent="0.25">
      <c r="A103" s="63"/>
      <c r="B103" s="63"/>
      <c r="C103" s="63"/>
      <c r="D103" s="63"/>
      <c r="E103" s="63"/>
      <c r="F103" s="63"/>
      <c r="G103" s="175"/>
      <c r="H103" s="179"/>
      <c r="I103" s="63"/>
      <c r="J103" s="63"/>
      <c r="K103" s="63"/>
      <c r="L103" s="63"/>
      <c r="M103" s="63"/>
      <c r="N103" s="63"/>
      <c r="O103" s="63"/>
      <c r="P103" s="63"/>
      <c r="Q103" s="63"/>
      <c r="R103" s="63"/>
      <c r="S103" s="63"/>
      <c r="T103" s="63"/>
      <c r="U103" t="str">
        <v>Song</v>
      </c>
      <c r="V103" t="str">
        <v>Basketball</v>
      </c>
      <c r="W103" t="str">
        <v xml:space="preserve">Professional </v>
      </c>
      <c r="X103" t="str">
        <v>N/A</v>
      </c>
      <c r="Y103" t="str">
        <v>Male</v>
      </c>
      <c r="Z103" t="str">
        <v>CSMI</v>
      </c>
      <c r="AA103" s="63"/>
      <c r="AB103" s="63"/>
      <c r="AC103" s="63"/>
      <c r="AD103" s="63"/>
      <c r="AE103" s="63"/>
      <c r="AF103" s="63"/>
      <c r="AG103" s="63"/>
      <c r="AH103" s="63"/>
      <c r="AI103" s="63"/>
      <c r="AJ103" s="63"/>
      <c r="AK103" s="63"/>
      <c r="AL103" s="63"/>
      <c r="AM103" s="63"/>
      <c r="AN103" s="63"/>
      <c r="AO103" s="63"/>
      <c r="AP103" s="63"/>
      <c r="AQ103" s="63"/>
      <c r="AR103" s="63"/>
      <c r="AS103" s="63"/>
      <c r="AT103" s="63"/>
    </row>
    <row r="104" spans="1:46" ht="15.75" hidden="1" customHeight="1" x14ac:dyDescent="0.25">
      <c r="A104" s="63"/>
      <c r="B104" s="63"/>
      <c r="C104" s="63"/>
      <c r="D104" s="63"/>
      <c r="E104" s="63"/>
      <c r="F104" s="63"/>
      <c r="G104" s="175"/>
      <c r="H104" s="179"/>
      <c r="I104" s="63"/>
      <c r="J104" s="63"/>
      <c r="K104" s="63"/>
      <c r="L104" s="63"/>
      <c r="M104" s="63"/>
      <c r="N104" s="63"/>
      <c r="O104" s="63"/>
      <c r="P104" s="63"/>
      <c r="Q104" s="63"/>
      <c r="R104" s="63"/>
      <c r="S104" s="63"/>
      <c r="T104" s="63"/>
      <c r="U104" t="str">
        <v>Song</v>
      </c>
      <c r="V104" t="str">
        <v>Basketball</v>
      </c>
      <c r="W104" t="str">
        <v xml:space="preserve">Professional </v>
      </c>
      <c r="X104" t="str">
        <v>N/A</v>
      </c>
      <c r="Y104" t="str">
        <v>Male</v>
      </c>
      <c r="Z104" t="str">
        <v>CSMI</v>
      </c>
      <c r="AA104" s="63"/>
      <c r="AB104" s="63"/>
      <c r="AC104" s="63"/>
      <c r="AD104" s="63"/>
      <c r="AE104" s="63"/>
      <c r="AF104" s="63"/>
      <c r="AG104" s="63"/>
      <c r="AH104" s="63"/>
      <c r="AI104" s="63"/>
      <c r="AJ104" s="63"/>
      <c r="AK104" s="63"/>
      <c r="AL104" s="63"/>
      <c r="AM104" s="63"/>
      <c r="AN104" s="63"/>
      <c r="AO104" s="63"/>
      <c r="AP104" s="63"/>
      <c r="AQ104" s="63"/>
      <c r="AR104" s="63"/>
      <c r="AS104" s="63"/>
      <c r="AT104" s="63"/>
    </row>
    <row r="105" spans="1:46" ht="15.75" hidden="1" customHeight="1" x14ac:dyDescent="0.25">
      <c r="A105" s="63"/>
      <c r="B105" s="63"/>
      <c r="C105" s="63"/>
      <c r="D105" s="63"/>
      <c r="E105" s="63"/>
      <c r="F105" s="63"/>
      <c r="G105" s="175"/>
      <c r="H105" s="179"/>
      <c r="I105" s="63"/>
      <c r="J105" s="63"/>
      <c r="K105" s="63"/>
      <c r="L105" s="63"/>
      <c r="M105" s="63"/>
      <c r="N105" s="63"/>
      <c r="O105" s="63"/>
      <c r="P105" s="63"/>
      <c r="Q105" s="63"/>
      <c r="R105" s="63"/>
      <c r="S105" s="63"/>
      <c r="T105" s="63"/>
      <c r="U105" t="str">
        <v>Song</v>
      </c>
      <c r="V105" t="str">
        <v>Basketball</v>
      </c>
      <c r="W105" t="str">
        <v xml:space="preserve">Professional </v>
      </c>
      <c r="X105" t="str">
        <v>N/A</v>
      </c>
      <c r="Y105" t="str">
        <v>Male</v>
      </c>
      <c r="Z105" t="str">
        <v>CSMI</v>
      </c>
      <c r="AA105" s="63"/>
      <c r="AB105" s="63"/>
      <c r="AC105" s="63"/>
      <c r="AD105" s="63"/>
      <c r="AE105" s="63"/>
      <c r="AF105" s="63"/>
      <c r="AG105" s="63"/>
      <c r="AH105" s="63"/>
      <c r="AI105" s="63"/>
      <c r="AJ105" s="63"/>
      <c r="AK105" s="63"/>
      <c r="AL105" s="63"/>
      <c r="AM105" s="63"/>
      <c r="AN105" s="63"/>
      <c r="AO105" s="63"/>
      <c r="AP105" s="63"/>
      <c r="AQ105" s="63"/>
      <c r="AR105" s="63"/>
      <c r="AS105" s="63"/>
      <c r="AT105" s="63"/>
    </row>
    <row r="106" spans="1:46" ht="15.75" hidden="1" customHeight="1" x14ac:dyDescent="0.25">
      <c r="A106" s="63"/>
      <c r="B106" s="63"/>
      <c r="C106" s="63"/>
      <c r="D106" s="63"/>
      <c r="E106" s="63"/>
      <c r="F106" s="63"/>
      <c r="G106" s="175"/>
      <c r="H106" s="179"/>
      <c r="I106" s="63"/>
      <c r="J106" s="63"/>
      <c r="K106" s="63"/>
      <c r="L106" s="63"/>
      <c r="M106" s="63"/>
      <c r="N106" s="63"/>
      <c r="O106" s="63"/>
      <c r="P106" s="63"/>
      <c r="Q106" s="63"/>
      <c r="R106" s="63"/>
      <c r="S106" s="63"/>
      <c r="T106" s="63"/>
      <c r="U106" t="str">
        <v>Song</v>
      </c>
      <c r="V106" t="str">
        <v>Basketball</v>
      </c>
      <c r="W106" t="str">
        <v xml:space="preserve">Professional </v>
      </c>
      <c r="X106" t="str">
        <v>B.Guards</v>
      </c>
      <c r="Y106" t="str">
        <v>Male</v>
      </c>
      <c r="Z106" t="str">
        <v>CSMI</v>
      </c>
      <c r="AA106" s="63"/>
      <c r="AB106" s="63"/>
      <c r="AC106" s="63"/>
      <c r="AD106" s="63"/>
      <c r="AE106" s="63"/>
      <c r="AF106" s="63"/>
      <c r="AG106" s="63"/>
      <c r="AH106" s="63"/>
      <c r="AI106" s="63"/>
      <c r="AJ106" s="63"/>
      <c r="AK106" s="63"/>
      <c r="AL106" s="63"/>
      <c r="AM106" s="63"/>
      <c r="AN106" s="63"/>
      <c r="AO106" s="63"/>
      <c r="AP106" s="63"/>
      <c r="AQ106" s="63"/>
      <c r="AR106" s="63"/>
      <c r="AS106" s="63"/>
      <c r="AT106" s="63"/>
    </row>
    <row r="107" spans="1:46" ht="15.75" hidden="1" customHeight="1" x14ac:dyDescent="0.25">
      <c r="A107" s="63"/>
      <c r="B107" s="63"/>
      <c r="C107" s="63"/>
      <c r="D107" s="63"/>
      <c r="E107" s="63"/>
      <c r="F107" s="63"/>
      <c r="G107" s="175"/>
      <c r="H107" s="179"/>
      <c r="I107" s="63"/>
      <c r="J107" s="63"/>
      <c r="K107" s="63"/>
      <c r="L107" s="63"/>
      <c r="M107" s="63"/>
      <c r="N107" s="63"/>
      <c r="O107" s="63"/>
      <c r="P107" s="63"/>
      <c r="Q107" s="63"/>
      <c r="R107" s="63"/>
      <c r="S107" s="63"/>
      <c r="T107" s="63"/>
      <c r="U107" t="str">
        <v>Song</v>
      </c>
      <c r="V107" t="str">
        <v>Basketball</v>
      </c>
      <c r="W107" t="str">
        <v xml:space="preserve">Professional </v>
      </c>
      <c r="X107" t="str">
        <v>B.Forwards</v>
      </c>
      <c r="Y107" t="str">
        <v>Male</v>
      </c>
      <c r="Z107" t="str">
        <v>CSMI</v>
      </c>
      <c r="AA107" s="63"/>
      <c r="AB107" s="63"/>
      <c r="AC107" s="63"/>
      <c r="AD107" s="63"/>
      <c r="AE107" s="63"/>
      <c r="AF107" s="63"/>
      <c r="AG107" s="63"/>
      <c r="AH107" s="63"/>
      <c r="AI107" s="63"/>
      <c r="AJ107" s="63"/>
      <c r="AK107" s="63"/>
      <c r="AL107" s="63"/>
      <c r="AM107" s="63"/>
      <c r="AN107" s="63"/>
      <c r="AO107" s="63"/>
      <c r="AP107" s="63"/>
      <c r="AQ107" s="63"/>
      <c r="AR107" s="63"/>
      <c r="AS107" s="63"/>
      <c r="AT107" s="63"/>
    </row>
    <row r="108" spans="1:46" ht="15.75" hidden="1" customHeight="1" x14ac:dyDescent="0.25">
      <c r="A108" s="63"/>
      <c r="B108" s="63"/>
      <c r="C108" s="63"/>
      <c r="D108" s="63"/>
      <c r="E108" s="63"/>
      <c r="F108" s="63"/>
      <c r="G108" s="175"/>
      <c r="H108" s="179"/>
      <c r="I108" s="63"/>
      <c r="J108" s="63"/>
      <c r="K108" s="63"/>
      <c r="L108" s="63"/>
      <c r="M108" s="63"/>
      <c r="N108" s="63"/>
      <c r="O108" s="63"/>
      <c r="P108" s="63"/>
      <c r="Q108" s="63"/>
      <c r="R108" s="63"/>
      <c r="S108" s="63"/>
      <c r="T108" s="63"/>
      <c r="U108" t="str">
        <v>Song</v>
      </c>
      <c r="V108" t="str">
        <v>Basketball</v>
      </c>
      <c r="W108" t="str">
        <v xml:space="preserve">Professional </v>
      </c>
      <c r="X108" t="str">
        <v>B.Guards</v>
      </c>
      <c r="Y108" t="str">
        <v>Male</v>
      </c>
      <c r="Z108" t="str">
        <v>CSMI</v>
      </c>
      <c r="AA108" s="63"/>
      <c r="AB108" s="63"/>
      <c r="AC108" s="63"/>
      <c r="AD108" s="63"/>
      <c r="AE108" s="63"/>
      <c r="AF108" s="63"/>
      <c r="AG108" s="63"/>
      <c r="AH108" s="63"/>
      <c r="AI108" s="63"/>
      <c r="AJ108" s="63"/>
      <c r="AK108" s="63"/>
      <c r="AL108" s="63"/>
      <c r="AM108" s="63"/>
      <c r="AN108" s="63"/>
      <c r="AO108" s="63"/>
      <c r="AP108" s="63"/>
      <c r="AQ108" s="63"/>
      <c r="AR108" s="63"/>
      <c r="AS108" s="63"/>
      <c r="AT108" s="63"/>
    </row>
    <row r="109" spans="1:46" ht="15.75" hidden="1" customHeight="1" x14ac:dyDescent="0.25">
      <c r="A109" s="63"/>
      <c r="B109" s="63"/>
      <c r="C109" s="63"/>
      <c r="D109" s="63"/>
      <c r="E109" s="63"/>
      <c r="F109" s="63"/>
      <c r="G109" s="175"/>
      <c r="H109" s="179"/>
      <c r="I109" s="63"/>
      <c r="J109" s="63"/>
      <c r="K109" s="63"/>
      <c r="L109" s="63"/>
      <c r="M109" s="63"/>
      <c r="N109" s="63"/>
      <c r="O109" s="63"/>
      <c r="P109" s="63"/>
      <c r="Q109" s="63"/>
      <c r="R109" s="63"/>
      <c r="S109" s="63"/>
      <c r="T109" s="63"/>
      <c r="U109" t="str">
        <v>Song</v>
      </c>
      <c r="V109" t="str">
        <v>Basketball</v>
      </c>
      <c r="W109" t="str">
        <v xml:space="preserve">Professional </v>
      </c>
      <c r="X109" t="str">
        <v>B.Forwards</v>
      </c>
      <c r="Y109" t="str">
        <v>Male</v>
      </c>
      <c r="Z109" t="str">
        <v>CSMI</v>
      </c>
      <c r="AA109" s="63"/>
      <c r="AB109" s="63"/>
      <c r="AC109" s="63"/>
      <c r="AD109" s="63"/>
      <c r="AE109" s="63"/>
      <c r="AF109" s="63"/>
      <c r="AG109" s="63"/>
      <c r="AH109" s="63"/>
      <c r="AI109" s="63"/>
      <c r="AJ109" s="63"/>
      <c r="AK109" s="63"/>
      <c r="AL109" s="63"/>
      <c r="AM109" s="63"/>
      <c r="AN109" s="63"/>
      <c r="AO109" s="63"/>
      <c r="AP109" s="63"/>
      <c r="AQ109" s="63"/>
      <c r="AR109" s="63"/>
      <c r="AS109" s="63"/>
      <c r="AT109" s="63"/>
    </row>
    <row r="110" spans="1:46" ht="15.75" hidden="1" customHeight="1" x14ac:dyDescent="0.25">
      <c r="A110" s="63"/>
      <c r="B110" s="63"/>
      <c r="C110" s="63"/>
      <c r="D110" s="63"/>
      <c r="E110" s="63"/>
      <c r="F110" s="63"/>
      <c r="G110" s="175"/>
      <c r="H110" s="179"/>
      <c r="I110" s="63"/>
      <c r="J110" s="63"/>
      <c r="K110" s="63"/>
      <c r="L110" s="63"/>
      <c r="M110" s="63"/>
      <c r="N110" s="63"/>
      <c r="O110" s="63"/>
      <c r="P110" s="63"/>
      <c r="Q110" s="63"/>
      <c r="R110" s="63"/>
      <c r="S110" s="63"/>
      <c r="T110" s="63"/>
      <c r="AA110" s="63"/>
      <c r="AB110" s="63"/>
      <c r="AC110" s="63"/>
      <c r="AD110" s="63"/>
      <c r="AE110" s="63"/>
      <c r="AF110" s="63"/>
      <c r="AG110" s="63"/>
      <c r="AH110" s="63"/>
      <c r="AI110" s="63"/>
      <c r="AJ110" s="63"/>
      <c r="AK110" s="63"/>
      <c r="AL110" s="63"/>
      <c r="AM110" s="63"/>
      <c r="AN110" s="63"/>
      <c r="AO110" s="63"/>
      <c r="AP110" s="63"/>
      <c r="AQ110" s="63"/>
      <c r="AR110" s="63"/>
      <c r="AS110" s="63"/>
      <c r="AT110" s="63"/>
    </row>
    <row r="111" spans="1:46" ht="15.75" hidden="1" customHeight="1" x14ac:dyDescent="0.25">
      <c r="A111" s="63"/>
      <c r="B111" s="63"/>
      <c r="C111" s="63"/>
      <c r="D111" s="63"/>
      <c r="E111" s="63"/>
      <c r="F111" s="63"/>
      <c r="G111" s="175"/>
      <c r="H111" s="179"/>
      <c r="I111" s="63"/>
      <c r="J111" s="63"/>
      <c r="K111" s="63"/>
      <c r="L111" s="63"/>
      <c r="M111" s="63"/>
      <c r="N111" s="63"/>
      <c r="O111" s="63"/>
      <c r="P111" s="63"/>
      <c r="Q111" s="63"/>
      <c r="R111" s="63"/>
      <c r="S111" s="63"/>
      <c r="T111" s="63"/>
      <c r="AA111" s="63"/>
      <c r="AB111" s="63"/>
      <c r="AC111" s="63"/>
      <c r="AD111" s="63"/>
      <c r="AE111" s="63"/>
      <c r="AF111" s="63"/>
      <c r="AG111" s="63"/>
      <c r="AH111" s="63"/>
      <c r="AI111" s="63"/>
      <c r="AJ111" s="63"/>
      <c r="AK111" s="63"/>
      <c r="AL111" s="63"/>
      <c r="AM111" s="63"/>
      <c r="AN111" s="63"/>
      <c r="AO111" s="63"/>
      <c r="AP111" s="63"/>
      <c r="AQ111" s="63"/>
      <c r="AR111" s="63"/>
      <c r="AS111" s="63"/>
      <c r="AT111" s="63"/>
    </row>
    <row r="112" spans="1:46" ht="15.75" hidden="1" customHeight="1" x14ac:dyDescent="0.25">
      <c r="A112" s="63"/>
      <c r="B112" s="63"/>
      <c r="C112" s="63"/>
      <c r="D112" s="63"/>
      <c r="E112" s="63"/>
      <c r="F112" s="63"/>
      <c r="G112" s="175"/>
      <c r="H112" s="179"/>
      <c r="I112" s="63"/>
      <c r="J112" s="63"/>
      <c r="K112" s="63"/>
      <c r="L112" s="63"/>
      <c r="M112" s="63"/>
      <c r="N112" s="63"/>
      <c r="O112" s="63"/>
      <c r="P112" s="63"/>
      <c r="Q112" s="63"/>
      <c r="R112" s="63"/>
      <c r="S112" s="63"/>
      <c r="T112" s="63"/>
      <c r="AA112" s="63"/>
      <c r="AB112" s="63"/>
      <c r="AC112" s="63"/>
      <c r="AD112" s="63"/>
      <c r="AE112" s="63"/>
      <c r="AF112" s="63"/>
      <c r="AG112" s="63"/>
      <c r="AH112" s="63"/>
      <c r="AI112" s="63"/>
      <c r="AJ112" s="63"/>
      <c r="AK112" s="63"/>
      <c r="AL112" s="63"/>
      <c r="AM112" s="63"/>
      <c r="AN112" s="63"/>
      <c r="AO112" s="63"/>
      <c r="AP112" s="63"/>
      <c r="AQ112" s="63"/>
      <c r="AR112" s="63"/>
      <c r="AS112" s="63"/>
      <c r="AT112" s="63"/>
    </row>
    <row r="113" spans="1:46" ht="15.75" hidden="1" customHeight="1" x14ac:dyDescent="0.25">
      <c r="A113" s="63"/>
      <c r="B113" s="63"/>
      <c r="C113" s="63"/>
      <c r="D113" s="63"/>
      <c r="E113" s="63"/>
      <c r="F113" s="63"/>
      <c r="G113" s="175"/>
      <c r="H113" s="179"/>
      <c r="I113" s="63"/>
      <c r="J113" s="63"/>
      <c r="K113" s="63"/>
      <c r="L113" s="63"/>
      <c r="M113" s="63"/>
      <c r="N113" s="63"/>
      <c r="O113" s="63"/>
      <c r="P113" s="63"/>
      <c r="Q113" s="63"/>
      <c r="R113" s="63"/>
      <c r="S113" s="63"/>
      <c r="T113" s="63"/>
      <c r="AA113" s="63"/>
      <c r="AB113" s="63"/>
      <c r="AC113" s="63"/>
      <c r="AD113" s="63"/>
      <c r="AE113" s="63"/>
      <c r="AF113" s="63"/>
      <c r="AG113" s="63"/>
      <c r="AH113" s="63"/>
      <c r="AI113" s="63"/>
      <c r="AJ113" s="63"/>
      <c r="AK113" s="63"/>
      <c r="AL113" s="63"/>
      <c r="AM113" s="63"/>
      <c r="AN113" s="63"/>
      <c r="AO113" s="63"/>
      <c r="AP113" s="63"/>
      <c r="AQ113" s="63"/>
      <c r="AR113" s="63"/>
      <c r="AS113" s="63"/>
      <c r="AT113" s="63"/>
    </row>
    <row r="114" spans="1:46" ht="15.75" hidden="1" customHeight="1" x14ac:dyDescent="0.25">
      <c r="A114" s="63"/>
      <c r="B114" s="63"/>
      <c r="C114" s="63"/>
      <c r="D114" s="63"/>
      <c r="E114" s="63"/>
      <c r="F114" s="63"/>
      <c r="G114" s="175"/>
      <c r="H114" s="179"/>
      <c r="I114" s="63"/>
      <c r="J114" s="63"/>
      <c r="K114" s="63"/>
      <c r="L114" s="63"/>
      <c r="M114" s="63"/>
      <c r="N114" s="63"/>
      <c r="O114" s="63"/>
      <c r="P114" s="63"/>
      <c r="Q114" s="63"/>
      <c r="R114" s="63"/>
      <c r="S114" s="63"/>
      <c r="T114" s="63"/>
      <c r="AA114" s="63"/>
      <c r="AB114" s="63"/>
      <c r="AC114" s="63"/>
      <c r="AD114" s="63"/>
      <c r="AE114" s="63"/>
      <c r="AF114" s="63"/>
      <c r="AG114" s="63"/>
      <c r="AH114" s="63"/>
      <c r="AI114" s="63"/>
      <c r="AJ114" s="63"/>
      <c r="AK114" s="63"/>
      <c r="AL114" s="63"/>
      <c r="AM114" s="63"/>
      <c r="AN114" s="63"/>
      <c r="AO114" s="63"/>
      <c r="AP114" s="63"/>
      <c r="AQ114" s="63"/>
      <c r="AR114" s="63"/>
      <c r="AS114" s="63"/>
      <c r="AT114" s="63"/>
    </row>
    <row r="115" spans="1:46" ht="15.75" hidden="1" customHeight="1" x14ac:dyDescent="0.25">
      <c r="A115" s="63"/>
      <c r="B115" s="63"/>
      <c r="C115" s="63"/>
      <c r="D115" s="63"/>
      <c r="E115" s="63"/>
      <c r="F115" s="63"/>
      <c r="G115" s="175"/>
      <c r="H115" s="179"/>
      <c r="I115" s="63"/>
      <c r="J115" s="63"/>
      <c r="K115" s="63"/>
      <c r="L115" s="63"/>
      <c r="M115" s="63"/>
      <c r="N115" s="63"/>
      <c r="O115" s="63"/>
      <c r="P115" s="63"/>
      <c r="Q115" s="63"/>
      <c r="R115" s="63"/>
      <c r="S115" s="63"/>
      <c r="T115" s="63"/>
      <c r="AA115" s="63"/>
      <c r="AB115" s="63"/>
      <c r="AC115" s="63"/>
      <c r="AD115" s="63"/>
      <c r="AE115" s="63"/>
      <c r="AF115" s="63"/>
      <c r="AG115" s="63"/>
      <c r="AH115" s="63"/>
      <c r="AI115" s="63"/>
      <c r="AJ115" s="63"/>
      <c r="AK115" s="63"/>
      <c r="AL115" s="63"/>
      <c r="AM115" s="63"/>
      <c r="AN115" s="63"/>
      <c r="AO115" s="63"/>
      <c r="AP115" s="63"/>
      <c r="AQ115" s="63"/>
      <c r="AR115" s="63"/>
      <c r="AS115" s="63"/>
      <c r="AT115" s="63"/>
    </row>
    <row r="116" spans="1:46" ht="15.75" hidden="1" customHeight="1" x14ac:dyDescent="0.25">
      <c r="A116" s="63"/>
      <c r="B116" s="63"/>
      <c r="C116" s="63"/>
      <c r="D116" s="63"/>
      <c r="E116" s="63"/>
      <c r="F116" s="63"/>
      <c r="G116" s="175"/>
      <c r="H116" s="179"/>
      <c r="I116" s="63"/>
      <c r="J116" s="63"/>
      <c r="K116" s="63"/>
      <c r="L116" s="63"/>
      <c r="M116" s="63"/>
      <c r="N116" s="63"/>
      <c r="O116" s="63"/>
      <c r="P116" s="63"/>
      <c r="Q116" s="63"/>
      <c r="R116" s="63"/>
      <c r="S116" s="63"/>
      <c r="T116" s="63"/>
      <c r="AA116" s="63"/>
      <c r="AB116" s="63"/>
      <c r="AC116" s="63"/>
      <c r="AD116" s="63"/>
      <c r="AE116" s="63"/>
      <c r="AF116" s="63"/>
      <c r="AG116" s="63"/>
      <c r="AH116" s="63"/>
      <c r="AI116" s="63"/>
      <c r="AJ116" s="63"/>
      <c r="AK116" s="63"/>
      <c r="AL116" s="63"/>
      <c r="AM116" s="63"/>
      <c r="AN116" s="63"/>
      <c r="AO116" s="63"/>
      <c r="AP116" s="63"/>
      <c r="AQ116" s="63"/>
      <c r="AR116" s="63"/>
      <c r="AS116" s="63"/>
      <c r="AT116" s="63"/>
    </row>
    <row r="117" spans="1:46" ht="15.75" hidden="1" customHeight="1" x14ac:dyDescent="0.25">
      <c r="A117" s="63"/>
      <c r="B117" s="63"/>
      <c r="C117" s="63"/>
      <c r="D117" s="63"/>
      <c r="E117" s="63"/>
      <c r="F117" s="63"/>
      <c r="G117" s="175"/>
      <c r="H117" s="179"/>
      <c r="I117" s="63"/>
      <c r="J117" s="63"/>
      <c r="K117" s="63"/>
      <c r="L117" s="63"/>
      <c r="M117" s="63"/>
      <c r="N117" s="63"/>
      <c r="O117" s="63"/>
      <c r="P117" s="63"/>
      <c r="Q117" s="63"/>
      <c r="R117" s="63"/>
      <c r="S117" s="63"/>
      <c r="T117" s="63"/>
      <c r="AA117" s="63"/>
      <c r="AB117" s="63"/>
      <c r="AC117" s="63"/>
      <c r="AD117" s="63"/>
      <c r="AE117" s="63"/>
      <c r="AF117" s="63"/>
      <c r="AG117" s="63"/>
      <c r="AH117" s="63"/>
      <c r="AI117" s="63"/>
      <c r="AJ117" s="63"/>
      <c r="AK117" s="63"/>
      <c r="AL117" s="63"/>
      <c r="AM117" s="63"/>
      <c r="AN117" s="63"/>
      <c r="AO117" s="63"/>
      <c r="AP117" s="63"/>
      <c r="AQ117" s="63"/>
      <c r="AR117" s="63"/>
      <c r="AS117" s="63"/>
      <c r="AT117" s="63"/>
    </row>
    <row r="118" spans="1:46" ht="15.75" hidden="1" customHeight="1" x14ac:dyDescent="0.25">
      <c r="A118" s="63"/>
      <c r="B118" s="63"/>
      <c r="C118" s="63"/>
      <c r="D118" s="63"/>
      <c r="E118" s="63"/>
      <c r="F118" s="63"/>
      <c r="G118" s="175"/>
      <c r="H118" s="179"/>
      <c r="I118" s="63"/>
      <c r="J118" s="63"/>
      <c r="K118" s="63"/>
      <c r="L118" s="63"/>
      <c r="M118" s="63"/>
      <c r="N118" s="63"/>
      <c r="O118" s="63"/>
      <c r="P118" s="63"/>
      <c r="Q118" s="63"/>
      <c r="R118" s="63"/>
      <c r="S118" s="63"/>
      <c r="T118" s="63"/>
      <c r="AA118" s="63"/>
      <c r="AB118" s="63"/>
      <c r="AC118" s="63"/>
      <c r="AD118" s="63"/>
      <c r="AE118" s="63"/>
      <c r="AF118" s="63"/>
      <c r="AG118" s="63"/>
      <c r="AH118" s="63"/>
      <c r="AI118" s="63"/>
      <c r="AJ118" s="63"/>
      <c r="AK118" s="63"/>
      <c r="AL118" s="63"/>
      <c r="AM118" s="63"/>
      <c r="AN118" s="63"/>
      <c r="AO118" s="63"/>
      <c r="AP118" s="63"/>
      <c r="AQ118" s="63"/>
      <c r="AR118" s="63"/>
      <c r="AS118" s="63"/>
      <c r="AT118" s="63"/>
    </row>
    <row r="119" spans="1:46" ht="15.75" hidden="1" customHeight="1" x14ac:dyDescent="0.25">
      <c r="A119" s="63"/>
      <c r="B119" s="63"/>
      <c r="C119" s="63"/>
      <c r="D119" s="63"/>
      <c r="E119" s="63"/>
      <c r="F119" s="63"/>
      <c r="G119" s="175"/>
      <c r="H119" s="179"/>
      <c r="I119" s="63"/>
      <c r="J119" s="63"/>
      <c r="K119" s="63"/>
      <c r="L119" s="63"/>
      <c r="M119" s="63"/>
      <c r="N119" s="63"/>
      <c r="O119" s="63"/>
      <c r="P119" s="63"/>
      <c r="Q119" s="63"/>
      <c r="R119" s="63"/>
      <c r="S119" s="63"/>
      <c r="T119" s="63"/>
      <c r="AA119" s="63"/>
      <c r="AB119" s="63"/>
      <c r="AC119" s="63"/>
      <c r="AD119" s="63"/>
      <c r="AE119" s="63"/>
      <c r="AF119" s="63"/>
      <c r="AG119" s="63"/>
      <c r="AH119" s="63"/>
      <c r="AI119" s="63"/>
      <c r="AJ119" s="63"/>
      <c r="AK119" s="63"/>
      <c r="AL119" s="63"/>
      <c r="AM119" s="63"/>
      <c r="AN119" s="63"/>
      <c r="AO119" s="63"/>
      <c r="AP119" s="63"/>
      <c r="AQ119" s="63"/>
      <c r="AR119" s="63"/>
      <c r="AS119" s="63"/>
      <c r="AT119" s="63"/>
    </row>
    <row r="120" spans="1:46" ht="15.75" hidden="1" customHeight="1" x14ac:dyDescent="0.25">
      <c r="A120" s="63"/>
      <c r="B120" s="63"/>
      <c r="C120" s="63"/>
      <c r="D120" s="63"/>
      <c r="E120" s="63"/>
      <c r="F120" s="63"/>
      <c r="G120" s="175"/>
      <c r="H120" s="179"/>
      <c r="I120" s="63"/>
      <c r="J120" s="63"/>
      <c r="K120" s="63"/>
      <c r="L120" s="63"/>
      <c r="M120" s="63"/>
      <c r="N120" s="63"/>
      <c r="O120" s="63"/>
      <c r="P120" s="63"/>
      <c r="Q120" s="63"/>
      <c r="R120" s="63"/>
      <c r="S120" s="63"/>
      <c r="T120" s="63"/>
      <c r="AA120" s="63"/>
      <c r="AB120" s="63"/>
      <c r="AC120" s="63"/>
      <c r="AD120" s="63"/>
      <c r="AE120" s="63"/>
      <c r="AF120" s="63"/>
      <c r="AG120" s="63"/>
      <c r="AH120" s="63"/>
      <c r="AI120" s="63"/>
      <c r="AJ120" s="63"/>
      <c r="AK120" s="63"/>
      <c r="AL120" s="63"/>
      <c r="AM120" s="63"/>
      <c r="AN120" s="63"/>
      <c r="AO120" s="63"/>
      <c r="AP120" s="63"/>
      <c r="AQ120" s="63"/>
      <c r="AR120" s="63"/>
      <c r="AS120" s="63"/>
      <c r="AT120" s="63"/>
    </row>
    <row r="121" spans="1:46" ht="15.75" hidden="1" customHeight="1" x14ac:dyDescent="0.25">
      <c r="A121" s="63"/>
      <c r="B121" s="63"/>
      <c r="C121" s="63"/>
      <c r="D121" s="63"/>
      <c r="E121" s="63"/>
      <c r="F121" s="63"/>
      <c r="G121" s="175"/>
      <c r="H121" s="179"/>
      <c r="I121" s="63"/>
      <c r="J121" s="63"/>
      <c r="K121" s="63"/>
      <c r="L121" s="63"/>
      <c r="M121" s="63"/>
      <c r="N121" s="63"/>
      <c r="O121" s="63"/>
      <c r="P121" s="63"/>
      <c r="Q121" s="63"/>
      <c r="R121" s="63"/>
      <c r="S121" s="63"/>
      <c r="T121" s="63"/>
      <c r="AA121" s="63"/>
      <c r="AB121" s="63"/>
      <c r="AC121" s="63"/>
      <c r="AD121" s="63"/>
      <c r="AE121" s="63"/>
      <c r="AF121" s="63"/>
      <c r="AG121" s="63"/>
      <c r="AH121" s="63"/>
      <c r="AI121" s="63"/>
      <c r="AJ121" s="63"/>
      <c r="AK121" s="63"/>
      <c r="AL121" s="63"/>
      <c r="AM121" s="63"/>
      <c r="AN121" s="63"/>
      <c r="AO121" s="63"/>
      <c r="AP121" s="63"/>
      <c r="AQ121" s="63"/>
      <c r="AR121" s="63"/>
      <c r="AS121" s="63"/>
      <c r="AT121" s="63"/>
    </row>
    <row r="122" spans="1:46" ht="15.75" hidden="1" customHeight="1" x14ac:dyDescent="0.25">
      <c r="A122" s="63"/>
      <c r="B122" s="63"/>
      <c r="C122" s="63"/>
      <c r="D122" s="63"/>
      <c r="E122" s="63"/>
      <c r="F122" s="63"/>
      <c r="G122" s="175"/>
      <c r="H122" s="179"/>
      <c r="I122" s="63"/>
      <c r="J122" s="63"/>
      <c r="K122" s="63"/>
      <c r="L122" s="63"/>
      <c r="M122" s="63"/>
      <c r="N122" s="63"/>
      <c r="O122" s="63"/>
      <c r="P122" s="63"/>
      <c r="Q122" s="63"/>
      <c r="R122" s="63"/>
      <c r="S122" s="63"/>
      <c r="T122" s="63"/>
      <c r="AA122" s="63"/>
      <c r="AB122" s="63"/>
      <c r="AC122" s="63"/>
      <c r="AD122" s="63"/>
      <c r="AE122" s="63"/>
      <c r="AF122" s="63"/>
      <c r="AG122" s="63"/>
      <c r="AH122" s="63"/>
      <c r="AI122" s="63"/>
      <c r="AJ122" s="63"/>
      <c r="AK122" s="63"/>
      <c r="AL122" s="63"/>
      <c r="AM122" s="63"/>
      <c r="AN122" s="63"/>
      <c r="AO122" s="63"/>
      <c r="AP122" s="63"/>
      <c r="AQ122" s="63"/>
      <c r="AR122" s="63"/>
      <c r="AS122" s="63"/>
      <c r="AT122" s="63"/>
    </row>
    <row r="123" spans="1:46" ht="15.75" hidden="1" customHeight="1" x14ac:dyDescent="0.25">
      <c r="A123" s="63"/>
      <c r="B123" s="63"/>
      <c r="C123" s="63"/>
      <c r="D123" s="63"/>
      <c r="E123" s="63"/>
      <c r="F123" s="63"/>
      <c r="G123" s="175"/>
      <c r="H123" s="179"/>
      <c r="I123" s="63"/>
      <c r="J123" s="63"/>
      <c r="K123" s="63"/>
      <c r="L123" s="63"/>
      <c r="M123" s="63"/>
      <c r="N123" s="63"/>
      <c r="O123" s="63"/>
      <c r="P123" s="63"/>
      <c r="Q123" s="63"/>
      <c r="R123" s="63"/>
      <c r="S123" s="63"/>
      <c r="T123" s="63"/>
      <c r="AA123" s="63"/>
      <c r="AB123" s="63"/>
      <c r="AC123" s="63"/>
      <c r="AD123" s="63"/>
      <c r="AE123" s="63"/>
      <c r="AF123" s="63"/>
      <c r="AG123" s="63"/>
      <c r="AH123" s="63"/>
      <c r="AI123" s="63"/>
      <c r="AJ123" s="63"/>
      <c r="AK123" s="63"/>
      <c r="AL123" s="63"/>
      <c r="AM123" s="63"/>
      <c r="AN123" s="63"/>
      <c r="AO123" s="63"/>
      <c r="AP123" s="63"/>
      <c r="AQ123" s="63"/>
      <c r="AR123" s="63"/>
      <c r="AS123" s="63"/>
      <c r="AT123" s="63"/>
    </row>
    <row r="124" spans="1:46" ht="15.75" hidden="1" customHeight="1" x14ac:dyDescent="0.25">
      <c r="A124" s="63"/>
      <c r="B124" s="63"/>
      <c r="C124" s="63"/>
      <c r="D124" s="63"/>
      <c r="E124" s="63"/>
      <c r="F124" s="63"/>
      <c r="G124" s="175"/>
      <c r="H124" s="179"/>
      <c r="I124" s="63"/>
      <c r="J124" s="63"/>
      <c r="K124" s="63"/>
      <c r="L124" s="63"/>
      <c r="M124" s="63"/>
      <c r="N124" s="63"/>
      <c r="O124" s="63"/>
      <c r="P124" s="63"/>
      <c r="Q124" s="63"/>
      <c r="R124" s="63"/>
      <c r="S124" s="63"/>
      <c r="T124" s="63"/>
      <c r="AA124" s="63"/>
      <c r="AB124" s="63"/>
      <c r="AC124" s="63"/>
      <c r="AD124" s="63"/>
      <c r="AE124" s="63"/>
      <c r="AF124" s="63"/>
      <c r="AG124" s="63"/>
      <c r="AH124" s="63"/>
      <c r="AI124" s="63"/>
      <c r="AJ124" s="63"/>
      <c r="AK124" s="63"/>
      <c r="AL124" s="63"/>
      <c r="AM124" s="63"/>
      <c r="AN124" s="63"/>
      <c r="AO124" s="63"/>
      <c r="AP124" s="63"/>
      <c r="AQ124" s="63"/>
      <c r="AR124" s="63"/>
      <c r="AS124" s="63"/>
      <c r="AT124" s="63"/>
    </row>
    <row r="125" spans="1:46" ht="15.75" hidden="1" customHeight="1" x14ac:dyDescent="0.25">
      <c r="A125" s="63"/>
      <c r="B125" s="63"/>
      <c r="C125" s="63"/>
      <c r="D125" s="63"/>
      <c r="E125" s="63"/>
      <c r="F125" s="63"/>
      <c r="G125" s="175"/>
      <c r="H125" s="179"/>
      <c r="I125" s="63"/>
      <c r="J125" s="63"/>
      <c r="K125" s="63"/>
      <c r="L125" s="63"/>
      <c r="M125" s="63"/>
      <c r="N125" s="63"/>
      <c r="O125" s="63"/>
      <c r="P125" s="63"/>
      <c r="Q125" s="63"/>
      <c r="R125" s="63"/>
      <c r="S125" s="63"/>
      <c r="T125" s="63"/>
      <c r="AA125" s="63"/>
      <c r="AB125" s="63"/>
      <c r="AC125" s="63"/>
      <c r="AD125" s="63"/>
      <c r="AE125" s="63"/>
      <c r="AF125" s="63"/>
      <c r="AG125" s="63"/>
      <c r="AH125" s="63"/>
      <c r="AI125" s="63"/>
      <c r="AJ125" s="63"/>
      <c r="AK125" s="63"/>
      <c r="AL125" s="63"/>
      <c r="AM125" s="63"/>
      <c r="AN125" s="63"/>
      <c r="AO125" s="63"/>
      <c r="AP125" s="63"/>
      <c r="AQ125" s="63"/>
      <c r="AR125" s="63"/>
      <c r="AS125" s="63"/>
      <c r="AT125" s="63"/>
    </row>
    <row r="126" spans="1:46" ht="15.75" hidden="1" customHeight="1" x14ac:dyDescent="0.25">
      <c r="A126" s="63"/>
      <c r="B126" s="63"/>
      <c r="C126" s="63"/>
      <c r="D126" s="63"/>
      <c r="E126" s="63"/>
      <c r="F126" s="63"/>
      <c r="G126" s="175"/>
      <c r="H126" s="179"/>
      <c r="I126" s="63"/>
      <c r="J126" s="63"/>
      <c r="K126" s="63"/>
      <c r="L126" s="63"/>
      <c r="M126" s="63"/>
      <c r="N126" s="63"/>
      <c r="O126" s="63"/>
      <c r="P126" s="63"/>
      <c r="Q126" s="63"/>
      <c r="R126" s="63"/>
      <c r="S126" s="63"/>
      <c r="T126" s="63"/>
      <c r="AA126" s="63"/>
      <c r="AB126" s="63"/>
      <c r="AC126" s="63"/>
      <c r="AD126" s="63"/>
      <c r="AE126" s="63"/>
      <c r="AF126" s="63"/>
      <c r="AG126" s="63"/>
      <c r="AH126" s="63"/>
      <c r="AI126" s="63"/>
      <c r="AJ126" s="63"/>
      <c r="AK126" s="63"/>
      <c r="AL126" s="63"/>
      <c r="AM126" s="63"/>
      <c r="AN126" s="63"/>
      <c r="AO126" s="63"/>
      <c r="AP126" s="63"/>
      <c r="AQ126" s="63"/>
      <c r="AR126" s="63"/>
      <c r="AS126" s="63"/>
      <c r="AT126" s="63"/>
    </row>
    <row r="127" spans="1:46" ht="15.75" hidden="1" customHeight="1" x14ac:dyDescent="0.25">
      <c r="A127" s="63"/>
      <c r="B127" s="63"/>
      <c r="C127" s="63"/>
      <c r="D127" s="63"/>
      <c r="E127" s="63"/>
      <c r="F127" s="63"/>
      <c r="G127" s="175"/>
      <c r="H127" s="179"/>
      <c r="I127" s="63"/>
      <c r="J127" s="63"/>
      <c r="K127" s="63"/>
      <c r="L127" s="63"/>
      <c r="M127" s="63"/>
      <c r="N127" s="63"/>
      <c r="O127" s="63"/>
      <c r="P127" s="63"/>
      <c r="Q127" s="63"/>
      <c r="R127" s="63"/>
      <c r="S127" s="63"/>
      <c r="T127" s="63"/>
      <c r="AA127" s="63"/>
      <c r="AB127" s="63"/>
      <c r="AC127" s="63"/>
      <c r="AD127" s="63"/>
      <c r="AE127" s="63"/>
      <c r="AF127" s="63"/>
      <c r="AG127" s="63"/>
      <c r="AH127" s="63"/>
      <c r="AI127" s="63"/>
      <c r="AJ127" s="63"/>
      <c r="AK127" s="63"/>
      <c r="AL127" s="63"/>
      <c r="AM127" s="63"/>
      <c r="AN127" s="63"/>
      <c r="AO127" s="63"/>
      <c r="AP127" s="63"/>
      <c r="AQ127" s="63"/>
      <c r="AR127" s="63"/>
      <c r="AS127" s="63"/>
      <c r="AT127" s="63"/>
    </row>
    <row r="128" spans="1:46" ht="15.75" hidden="1" customHeight="1" x14ac:dyDescent="0.25">
      <c r="A128" s="63"/>
      <c r="B128" s="63"/>
      <c r="C128" s="63"/>
      <c r="D128" s="63"/>
      <c r="E128" s="63"/>
      <c r="F128" s="63"/>
      <c r="G128" s="175"/>
      <c r="H128" s="179"/>
      <c r="I128" s="63"/>
      <c r="J128" s="63"/>
      <c r="K128" s="63"/>
      <c r="L128" s="63"/>
      <c r="M128" s="63"/>
      <c r="N128" s="63"/>
      <c r="O128" s="63"/>
      <c r="P128" s="63"/>
      <c r="Q128" s="63"/>
      <c r="R128" s="63"/>
      <c r="S128" s="63"/>
      <c r="T128" s="63"/>
      <c r="AA128" s="63"/>
      <c r="AB128" s="63"/>
      <c r="AC128" s="63"/>
      <c r="AD128" s="63"/>
      <c r="AE128" s="63"/>
      <c r="AF128" s="63"/>
      <c r="AG128" s="63"/>
      <c r="AH128" s="63"/>
      <c r="AI128" s="63"/>
      <c r="AJ128" s="63"/>
      <c r="AK128" s="63"/>
      <c r="AL128" s="63"/>
      <c r="AM128" s="63"/>
      <c r="AN128" s="63"/>
      <c r="AO128" s="63"/>
      <c r="AP128" s="63"/>
      <c r="AQ128" s="63"/>
      <c r="AR128" s="63"/>
      <c r="AS128" s="63"/>
      <c r="AT128" s="63"/>
    </row>
    <row r="129" spans="1:46" ht="15.75" hidden="1" customHeight="1" x14ac:dyDescent="0.25">
      <c r="A129" s="63"/>
      <c r="B129" s="63"/>
      <c r="C129" s="63"/>
      <c r="D129" s="63"/>
      <c r="E129" s="63"/>
      <c r="F129" s="63"/>
      <c r="G129" s="175"/>
      <c r="H129" s="179"/>
      <c r="I129" s="63"/>
      <c r="J129" s="63"/>
      <c r="K129" s="63"/>
      <c r="L129" s="63"/>
      <c r="M129" s="63"/>
      <c r="N129" s="63"/>
      <c r="O129" s="63"/>
      <c r="P129" s="63"/>
      <c r="Q129" s="63"/>
      <c r="R129" s="63"/>
      <c r="S129" s="63"/>
      <c r="T129" s="63"/>
      <c r="AA129" s="63"/>
      <c r="AB129" s="63"/>
      <c r="AC129" s="63"/>
      <c r="AD129" s="63"/>
      <c r="AE129" s="63"/>
      <c r="AF129" s="63"/>
      <c r="AG129" s="63"/>
      <c r="AH129" s="63"/>
      <c r="AI129" s="63"/>
      <c r="AJ129" s="63"/>
      <c r="AK129" s="63"/>
      <c r="AL129" s="63"/>
      <c r="AM129" s="63"/>
      <c r="AN129" s="63"/>
      <c r="AO129" s="63"/>
      <c r="AP129" s="63"/>
      <c r="AQ129" s="63"/>
      <c r="AR129" s="63"/>
      <c r="AS129" s="63"/>
      <c r="AT129" s="63"/>
    </row>
    <row r="130" spans="1:46" ht="15.75" hidden="1" customHeight="1" x14ac:dyDescent="0.25">
      <c r="A130" s="63"/>
      <c r="B130" s="63"/>
      <c r="C130" s="63"/>
      <c r="D130" s="63"/>
      <c r="E130" s="63"/>
      <c r="F130" s="63"/>
      <c r="G130" s="175"/>
      <c r="H130" s="179"/>
      <c r="I130" s="63"/>
      <c r="J130" s="63"/>
      <c r="K130" s="63"/>
      <c r="L130" s="63"/>
      <c r="M130" s="63"/>
      <c r="N130" s="63"/>
      <c r="O130" s="63"/>
      <c r="P130" s="63"/>
      <c r="Q130" s="63"/>
      <c r="R130" s="63"/>
      <c r="S130" s="63"/>
      <c r="T130" s="63"/>
      <c r="AA130" s="63"/>
      <c r="AB130" s="63"/>
      <c r="AC130" s="63"/>
      <c r="AD130" s="63"/>
      <c r="AE130" s="63"/>
      <c r="AF130" s="63"/>
      <c r="AG130" s="63"/>
      <c r="AH130" s="63"/>
      <c r="AI130" s="63"/>
      <c r="AJ130" s="63"/>
      <c r="AK130" s="63"/>
      <c r="AL130" s="63"/>
      <c r="AM130" s="63"/>
      <c r="AN130" s="63"/>
      <c r="AO130" s="63"/>
      <c r="AP130" s="63"/>
      <c r="AQ130" s="63"/>
      <c r="AR130" s="63"/>
      <c r="AS130" s="63"/>
      <c r="AT130" s="63"/>
    </row>
    <row r="131" spans="1:46" ht="15.75" hidden="1" customHeight="1" x14ac:dyDescent="0.25">
      <c r="A131" s="63"/>
      <c r="B131" s="63"/>
      <c r="C131" s="63"/>
      <c r="D131" s="63"/>
      <c r="E131" s="63"/>
      <c r="F131" s="63"/>
      <c r="G131" s="175"/>
      <c r="H131" s="179"/>
      <c r="I131" s="63"/>
      <c r="J131" s="63"/>
      <c r="K131" s="63"/>
      <c r="L131" s="63"/>
      <c r="M131" s="63"/>
      <c r="N131" s="63"/>
      <c r="O131" s="63"/>
      <c r="P131" s="63"/>
      <c r="Q131" s="63"/>
      <c r="R131" s="63"/>
      <c r="S131" s="63"/>
      <c r="T131" s="63"/>
      <c r="AA131" s="63"/>
      <c r="AB131" s="63"/>
      <c r="AC131" s="63"/>
      <c r="AD131" s="63"/>
      <c r="AE131" s="63"/>
      <c r="AF131" s="63"/>
      <c r="AG131" s="63"/>
      <c r="AH131" s="63"/>
      <c r="AI131" s="63"/>
      <c r="AJ131" s="63"/>
      <c r="AK131" s="63"/>
      <c r="AL131" s="63"/>
      <c r="AM131" s="63"/>
      <c r="AN131" s="63"/>
      <c r="AO131" s="63"/>
      <c r="AP131" s="63"/>
      <c r="AQ131" s="63"/>
      <c r="AR131" s="63"/>
      <c r="AS131" s="63"/>
      <c r="AT131" s="63"/>
    </row>
    <row r="132" spans="1:46" ht="15.75" hidden="1" customHeight="1" x14ac:dyDescent="0.25">
      <c r="A132" s="63"/>
      <c r="B132" s="63"/>
      <c r="C132" s="63"/>
      <c r="D132" s="63"/>
      <c r="E132" s="63"/>
      <c r="F132" s="63"/>
      <c r="G132" s="175"/>
      <c r="H132" s="179"/>
      <c r="I132" s="63"/>
      <c r="J132" s="63"/>
      <c r="K132" s="63"/>
      <c r="L132" s="63"/>
      <c r="M132" s="63"/>
      <c r="N132" s="63"/>
      <c r="O132" s="63"/>
      <c r="P132" s="63"/>
      <c r="Q132" s="63"/>
      <c r="R132" s="63"/>
      <c r="S132" s="63"/>
      <c r="T132" s="63"/>
      <c r="AA132" s="63"/>
      <c r="AB132" s="63"/>
      <c r="AC132" s="63"/>
      <c r="AD132" s="63"/>
      <c r="AE132" s="63"/>
      <c r="AF132" s="63"/>
      <c r="AG132" s="63"/>
      <c r="AH132" s="63"/>
      <c r="AI132" s="63"/>
      <c r="AJ132" s="63"/>
      <c r="AK132" s="63"/>
      <c r="AL132" s="63"/>
      <c r="AM132" s="63"/>
      <c r="AN132" s="63"/>
      <c r="AO132" s="63"/>
      <c r="AP132" s="63"/>
      <c r="AQ132" s="63"/>
      <c r="AR132" s="63"/>
      <c r="AS132" s="63"/>
      <c r="AT132" s="63"/>
    </row>
    <row r="133" spans="1:46" ht="15.75" hidden="1" customHeight="1" x14ac:dyDescent="0.25">
      <c r="A133" s="63"/>
      <c r="B133" s="63"/>
      <c r="C133" s="63"/>
      <c r="D133" s="63"/>
      <c r="E133" s="63"/>
      <c r="F133" s="63"/>
      <c r="G133" s="175"/>
      <c r="H133" s="179"/>
      <c r="I133" s="63"/>
      <c r="J133" s="63"/>
      <c r="K133" s="63"/>
      <c r="L133" s="63"/>
      <c r="M133" s="63"/>
      <c r="N133" s="63"/>
      <c r="O133" s="63"/>
      <c r="P133" s="63"/>
      <c r="Q133" s="63"/>
      <c r="R133" s="63"/>
      <c r="S133" s="63"/>
      <c r="T133" s="63"/>
      <c r="AA133" s="63"/>
      <c r="AB133" s="63"/>
      <c r="AC133" s="63"/>
      <c r="AD133" s="63"/>
      <c r="AE133" s="63"/>
      <c r="AF133" s="63"/>
      <c r="AG133" s="63"/>
      <c r="AH133" s="63"/>
      <c r="AI133" s="63"/>
      <c r="AJ133" s="63"/>
      <c r="AK133" s="63"/>
      <c r="AL133" s="63"/>
      <c r="AM133" s="63"/>
      <c r="AN133" s="63"/>
      <c r="AO133" s="63"/>
      <c r="AP133" s="63"/>
      <c r="AQ133" s="63"/>
      <c r="AR133" s="63"/>
      <c r="AS133" s="63"/>
      <c r="AT133" s="63"/>
    </row>
    <row r="134" spans="1:46" ht="15.75" hidden="1" customHeight="1" x14ac:dyDescent="0.25">
      <c r="A134" s="63"/>
      <c r="B134" s="63"/>
      <c r="C134" s="63"/>
      <c r="D134" s="63"/>
      <c r="E134" s="63"/>
      <c r="F134" s="63"/>
      <c r="G134" s="175"/>
      <c r="H134" s="179"/>
      <c r="I134" s="63"/>
      <c r="J134" s="63"/>
      <c r="K134" s="63"/>
      <c r="L134" s="63"/>
      <c r="M134" s="63"/>
      <c r="N134" s="63"/>
      <c r="O134" s="63"/>
      <c r="P134" s="63"/>
      <c r="Q134" s="63"/>
      <c r="R134" s="63"/>
      <c r="S134" s="63"/>
      <c r="T134" s="63"/>
      <c r="AA134" s="63"/>
      <c r="AB134" s="63"/>
      <c r="AC134" s="63"/>
      <c r="AD134" s="63"/>
      <c r="AE134" s="63"/>
      <c r="AF134" s="63"/>
      <c r="AG134" s="63"/>
      <c r="AH134" s="63"/>
      <c r="AI134" s="63"/>
      <c r="AJ134" s="63"/>
      <c r="AK134" s="63"/>
      <c r="AL134" s="63"/>
      <c r="AM134" s="63"/>
      <c r="AN134" s="63"/>
      <c r="AO134" s="63"/>
      <c r="AP134" s="63"/>
      <c r="AQ134" s="63"/>
      <c r="AR134" s="63"/>
      <c r="AS134" s="63"/>
      <c r="AT134" s="63"/>
    </row>
    <row r="135" spans="1:46" ht="15.75" hidden="1" customHeight="1" x14ac:dyDescent="0.25">
      <c r="A135" s="63"/>
      <c r="B135" s="63"/>
      <c r="C135" s="63"/>
      <c r="D135" s="63"/>
      <c r="E135" s="63"/>
      <c r="F135" s="63"/>
      <c r="G135" s="175"/>
      <c r="H135" s="179"/>
      <c r="I135" s="63"/>
      <c r="J135" s="63"/>
      <c r="K135" s="63"/>
      <c r="L135" s="63"/>
      <c r="M135" s="63"/>
      <c r="N135" s="63"/>
      <c r="O135" s="63"/>
      <c r="P135" s="63"/>
      <c r="Q135" s="63"/>
      <c r="R135" s="63"/>
      <c r="S135" s="63"/>
      <c r="T135" s="63"/>
      <c r="AA135" s="63"/>
      <c r="AB135" s="63"/>
      <c r="AC135" s="63"/>
      <c r="AD135" s="63"/>
      <c r="AE135" s="63"/>
      <c r="AF135" s="63"/>
      <c r="AG135" s="63"/>
      <c r="AH135" s="63"/>
      <c r="AI135" s="63"/>
      <c r="AJ135" s="63"/>
      <c r="AK135" s="63"/>
      <c r="AL135" s="63"/>
      <c r="AM135" s="63"/>
      <c r="AN135" s="63"/>
      <c r="AO135" s="63"/>
      <c r="AP135" s="63"/>
      <c r="AQ135" s="63"/>
      <c r="AR135" s="63"/>
      <c r="AS135" s="63"/>
      <c r="AT135" s="63"/>
    </row>
    <row r="136" spans="1:46" ht="15.75" hidden="1" customHeight="1" x14ac:dyDescent="0.25">
      <c r="A136" s="63"/>
      <c r="B136" s="63"/>
      <c r="C136" s="63"/>
      <c r="D136" s="63"/>
      <c r="E136" s="63"/>
      <c r="F136" s="63"/>
      <c r="G136" s="175"/>
      <c r="H136" s="179"/>
      <c r="I136" s="63"/>
      <c r="J136" s="63"/>
      <c r="K136" s="63"/>
      <c r="L136" s="63"/>
      <c r="M136" s="63"/>
      <c r="N136" s="63"/>
      <c r="O136" s="63"/>
      <c r="P136" s="63"/>
      <c r="Q136" s="63"/>
      <c r="R136" s="63"/>
      <c r="S136" s="63"/>
      <c r="T136" s="63"/>
      <c r="AA136" s="63"/>
      <c r="AB136" s="63"/>
      <c r="AC136" s="63"/>
      <c r="AD136" s="63"/>
      <c r="AE136" s="63"/>
      <c r="AF136" s="63"/>
      <c r="AG136" s="63"/>
      <c r="AH136" s="63"/>
      <c r="AI136" s="63"/>
      <c r="AJ136" s="63"/>
      <c r="AK136" s="63"/>
      <c r="AL136" s="63"/>
      <c r="AM136" s="63"/>
      <c r="AN136" s="63"/>
      <c r="AO136" s="63"/>
      <c r="AP136" s="63"/>
      <c r="AQ136" s="63"/>
      <c r="AR136" s="63"/>
      <c r="AS136" s="63"/>
      <c r="AT136" s="63"/>
    </row>
    <row r="137" spans="1:46" ht="15.75" hidden="1" customHeight="1" x14ac:dyDescent="0.25">
      <c r="A137" s="63"/>
      <c r="B137" s="63"/>
      <c r="C137" s="63"/>
      <c r="D137" s="63"/>
      <c r="E137" s="63"/>
      <c r="F137" s="63"/>
      <c r="G137" s="175"/>
      <c r="H137" s="179"/>
      <c r="I137" s="63"/>
      <c r="J137" s="63"/>
      <c r="K137" s="63"/>
      <c r="L137" s="63"/>
      <c r="M137" s="63"/>
      <c r="N137" s="63"/>
      <c r="O137" s="63"/>
      <c r="P137" s="63"/>
      <c r="Q137" s="63"/>
      <c r="R137" s="63"/>
      <c r="S137" s="63"/>
      <c r="T137" s="63"/>
      <c r="AA137" s="63"/>
      <c r="AB137" s="63"/>
      <c r="AC137" s="63"/>
      <c r="AD137" s="63"/>
      <c r="AE137" s="63"/>
      <c r="AF137" s="63"/>
      <c r="AG137" s="63"/>
      <c r="AH137" s="63"/>
      <c r="AI137" s="63"/>
      <c r="AJ137" s="63"/>
      <c r="AK137" s="63"/>
      <c r="AL137" s="63"/>
      <c r="AM137" s="63"/>
      <c r="AN137" s="63"/>
      <c r="AO137" s="63"/>
      <c r="AP137" s="63"/>
      <c r="AQ137" s="63"/>
      <c r="AR137" s="63"/>
      <c r="AS137" s="63"/>
      <c r="AT137" s="63"/>
    </row>
    <row r="138" spans="1:46" ht="15.75" hidden="1" customHeight="1" x14ac:dyDescent="0.25">
      <c r="A138" s="63"/>
      <c r="B138" s="63"/>
      <c r="C138" s="63"/>
      <c r="D138" s="63"/>
      <c r="E138" s="63"/>
      <c r="F138" s="63"/>
      <c r="G138" s="175"/>
      <c r="H138" s="179"/>
      <c r="I138" s="63"/>
      <c r="J138" s="63"/>
      <c r="K138" s="63"/>
      <c r="L138" s="63"/>
      <c r="M138" s="63"/>
      <c r="N138" s="63"/>
      <c r="O138" s="63"/>
      <c r="P138" s="63"/>
      <c r="Q138" s="63"/>
      <c r="R138" s="63"/>
      <c r="S138" s="63"/>
      <c r="T138" s="63"/>
      <c r="AA138" s="63"/>
      <c r="AB138" s="63"/>
      <c r="AC138" s="63"/>
      <c r="AD138" s="63"/>
      <c r="AE138" s="63"/>
      <c r="AF138" s="63"/>
      <c r="AG138" s="63"/>
      <c r="AH138" s="63"/>
      <c r="AI138" s="63"/>
      <c r="AJ138" s="63"/>
      <c r="AK138" s="63"/>
      <c r="AL138" s="63"/>
      <c r="AM138" s="63"/>
      <c r="AN138" s="63"/>
      <c r="AO138" s="63"/>
      <c r="AP138" s="63"/>
      <c r="AQ138" s="63"/>
      <c r="AR138" s="63"/>
      <c r="AS138" s="63"/>
      <c r="AT138" s="63"/>
    </row>
    <row r="139" spans="1:46" ht="15.75" hidden="1" customHeight="1" x14ac:dyDescent="0.25">
      <c r="A139" s="63"/>
      <c r="B139" s="63"/>
      <c r="C139" s="63"/>
      <c r="D139" s="63"/>
      <c r="E139" s="63"/>
      <c r="F139" s="63"/>
      <c r="G139" s="175"/>
      <c r="H139" s="179"/>
      <c r="I139" s="63"/>
      <c r="J139" s="63"/>
      <c r="K139" s="63"/>
      <c r="L139" s="63"/>
      <c r="M139" s="63"/>
      <c r="N139" s="63"/>
      <c r="O139" s="63"/>
      <c r="P139" s="63"/>
      <c r="Q139" s="63"/>
      <c r="R139" s="63"/>
      <c r="S139" s="63"/>
      <c r="T139" s="63"/>
      <c r="AA139" s="63"/>
      <c r="AB139" s="63"/>
      <c r="AC139" s="63"/>
      <c r="AD139" s="63"/>
      <c r="AE139" s="63"/>
      <c r="AF139" s="63"/>
      <c r="AG139" s="63"/>
      <c r="AH139" s="63"/>
      <c r="AI139" s="63"/>
      <c r="AJ139" s="63"/>
      <c r="AK139" s="63"/>
      <c r="AL139" s="63"/>
      <c r="AM139" s="63"/>
      <c r="AN139" s="63"/>
      <c r="AO139" s="63"/>
      <c r="AP139" s="63"/>
      <c r="AQ139" s="63"/>
      <c r="AR139" s="63"/>
      <c r="AS139" s="63"/>
      <c r="AT139" s="63"/>
    </row>
    <row r="140" spans="1:46" ht="15.75" hidden="1" customHeight="1" x14ac:dyDescent="0.25">
      <c r="A140" s="63"/>
      <c r="B140" s="63"/>
      <c r="C140" s="63"/>
      <c r="D140" s="63"/>
      <c r="E140" s="63"/>
      <c r="F140" s="63"/>
      <c r="G140" s="175"/>
      <c r="H140" s="179"/>
      <c r="I140" s="63"/>
      <c r="J140" s="63"/>
      <c r="K140" s="63"/>
      <c r="L140" s="63"/>
      <c r="M140" s="63"/>
      <c r="N140" s="63"/>
      <c r="O140" s="63"/>
      <c r="P140" s="63"/>
      <c r="Q140" s="63"/>
      <c r="R140" s="63"/>
      <c r="S140" s="63"/>
      <c r="T140" s="63"/>
      <c r="AA140" s="63"/>
      <c r="AB140" s="63"/>
      <c r="AC140" s="63"/>
      <c r="AD140" s="63"/>
      <c r="AE140" s="63"/>
      <c r="AF140" s="63"/>
      <c r="AG140" s="63"/>
      <c r="AH140" s="63"/>
      <c r="AI140" s="63"/>
      <c r="AJ140" s="63"/>
      <c r="AK140" s="63"/>
      <c r="AL140" s="63"/>
      <c r="AM140" s="63"/>
      <c r="AN140" s="63"/>
      <c r="AO140" s="63"/>
      <c r="AP140" s="63"/>
      <c r="AQ140" s="63"/>
      <c r="AR140" s="63"/>
      <c r="AS140" s="63"/>
      <c r="AT140" s="63"/>
    </row>
    <row r="141" spans="1:46" ht="15.75" hidden="1" customHeight="1" x14ac:dyDescent="0.25">
      <c r="A141" s="63"/>
      <c r="B141" s="63"/>
      <c r="C141" s="63"/>
      <c r="D141" s="63"/>
      <c r="E141" s="63"/>
      <c r="F141" s="63"/>
      <c r="G141" s="175"/>
      <c r="H141" s="179"/>
      <c r="I141" s="63"/>
      <c r="J141" s="63"/>
      <c r="K141" s="63"/>
      <c r="L141" s="63"/>
      <c r="M141" s="63"/>
      <c r="N141" s="63"/>
      <c r="O141" s="63"/>
      <c r="P141" s="63"/>
      <c r="Q141" s="63"/>
      <c r="R141" s="63"/>
      <c r="S141" s="63"/>
      <c r="T141" s="63"/>
      <c r="AA141" s="63"/>
      <c r="AB141" s="63"/>
      <c r="AC141" s="63"/>
      <c r="AD141" s="63"/>
      <c r="AE141" s="63"/>
      <c r="AF141" s="63"/>
      <c r="AG141" s="63"/>
      <c r="AH141" s="63"/>
      <c r="AI141" s="63"/>
      <c r="AJ141" s="63"/>
      <c r="AK141" s="63"/>
      <c r="AL141" s="63"/>
      <c r="AM141" s="63"/>
      <c r="AN141" s="63"/>
      <c r="AO141" s="63"/>
      <c r="AP141" s="63"/>
      <c r="AQ141" s="63"/>
      <c r="AR141" s="63"/>
      <c r="AS141" s="63"/>
      <c r="AT141" s="63"/>
    </row>
    <row r="142" spans="1:46" ht="15.75" hidden="1" customHeight="1" x14ac:dyDescent="0.25">
      <c r="A142" s="63"/>
      <c r="B142" s="63"/>
      <c r="C142" s="63"/>
      <c r="D142" s="63"/>
      <c r="E142" s="63"/>
      <c r="F142" s="63"/>
      <c r="G142" s="175"/>
      <c r="H142" s="179"/>
      <c r="I142" s="63"/>
      <c r="J142" s="63"/>
      <c r="K142" s="63"/>
      <c r="L142" s="63"/>
      <c r="M142" s="63"/>
      <c r="N142" s="63"/>
      <c r="O142" s="63"/>
      <c r="P142" s="63"/>
      <c r="Q142" s="63"/>
      <c r="R142" s="63"/>
      <c r="S142" s="63"/>
      <c r="T142" s="63"/>
      <c r="AA142" s="63"/>
      <c r="AB142" s="63"/>
      <c r="AC142" s="63"/>
      <c r="AD142" s="63"/>
      <c r="AE142" s="63"/>
      <c r="AF142" s="63"/>
      <c r="AG142" s="63"/>
      <c r="AH142" s="63"/>
      <c r="AI142" s="63"/>
      <c r="AJ142" s="63"/>
      <c r="AK142" s="63"/>
      <c r="AL142" s="63"/>
      <c r="AM142" s="63"/>
      <c r="AN142" s="63"/>
      <c r="AO142" s="63"/>
      <c r="AP142" s="63"/>
      <c r="AQ142" s="63"/>
      <c r="AR142" s="63"/>
      <c r="AS142" s="63"/>
      <c r="AT142" s="63"/>
    </row>
    <row r="143" spans="1:46" ht="15.75" hidden="1" customHeight="1" x14ac:dyDescent="0.25">
      <c r="A143" s="63"/>
      <c r="B143" s="63"/>
      <c r="C143" s="63"/>
      <c r="D143" s="63"/>
      <c r="E143" s="63"/>
      <c r="F143" s="63"/>
      <c r="G143" s="175"/>
      <c r="H143" s="179"/>
      <c r="I143" s="63"/>
      <c r="J143" s="63"/>
      <c r="K143" s="63"/>
      <c r="L143" s="63"/>
      <c r="M143" s="63"/>
      <c r="N143" s="63"/>
      <c r="O143" s="63"/>
      <c r="P143" s="63"/>
      <c r="Q143" s="63"/>
      <c r="R143" s="63"/>
      <c r="S143" s="63"/>
      <c r="T143" s="63"/>
      <c r="AA143" s="63"/>
      <c r="AB143" s="63"/>
      <c r="AC143" s="63"/>
      <c r="AD143" s="63"/>
      <c r="AE143" s="63"/>
      <c r="AF143" s="63"/>
      <c r="AG143" s="63"/>
      <c r="AH143" s="63"/>
      <c r="AI143" s="63"/>
      <c r="AJ143" s="63"/>
      <c r="AK143" s="63"/>
      <c r="AL143" s="63"/>
      <c r="AM143" s="63"/>
      <c r="AN143" s="63"/>
      <c r="AO143" s="63"/>
      <c r="AP143" s="63"/>
      <c r="AQ143" s="63"/>
      <c r="AR143" s="63"/>
      <c r="AS143" s="63"/>
      <c r="AT143" s="63"/>
    </row>
    <row r="144" spans="1:46" ht="15.75" hidden="1" customHeight="1" x14ac:dyDescent="0.25">
      <c r="A144" s="63"/>
      <c r="B144" s="63"/>
      <c r="C144" s="63"/>
      <c r="D144" s="63"/>
      <c r="E144" s="63"/>
      <c r="F144" s="63"/>
      <c r="G144" s="175"/>
      <c r="H144" s="179"/>
      <c r="I144" s="63"/>
      <c r="J144" s="63"/>
      <c r="K144" s="63"/>
      <c r="L144" s="63"/>
      <c r="M144" s="63"/>
      <c r="N144" s="63"/>
      <c r="O144" s="63"/>
      <c r="P144" s="63"/>
      <c r="Q144" s="63"/>
      <c r="R144" s="63"/>
      <c r="S144" s="63"/>
      <c r="T144" s="63"/>
      <c r="AA144" s="63"/>
      <c r="AB144" s="63"/>
      <c r="AC144" s="63"/>
      <c r="AD144" s="63"/>
      <c r="AE144" s="63"/>
      <c r="AF144" s="63"/>
      <c r="AG144" s="63"/>
      <c r="AH144" s="63"/>
      <c r="AI144" s="63"/>
      <c r="AJ144" s="63"/>
      <c r="AK144" s="63"/>
      <c r="AL144" s="63"/>
      <c r="AM144" s="63"/>
      <c r="AN144" s="63"/>
      <c r="AO144" s="63"/>
      <c r="AP144" s="63"/>
      <c r="AQ144" s="63"/>
      <c r="AR144" s="63"/>
      <c r="AS144" s="63"/>
      <c r="AT144" s="63"/>
    </row>
    <row r="145" spans="1:46" ht="15.75" hidden="1" customHeight="1" x14ac:dyDescent="0.25">
      <c r="A145" s="63"/>
      <c r="B145" s="63"/>
      <c r="C145" s="63"/>
      <c r="D145" s="63"/>
      <c r="E145" s="63"/>
      <c r="F145" s="63"/>
      <c r="G145" s="175"/>
      <c r="H145" s="179"/>
      <c r="I145" s="63"/>
      <c r="J145" s="63"/>
      <c r="K145" s="63"/>
      <c r="L145" s="63"/>
      <c r="M145" s="63"/>
      <c r="N145" s="63"/>
      <c r="O145" s="63"/>
      <c r="P145" s="63"/>
      <c r="Q145" s="63"/>
      <c r="R145" s="63"/>
      <c r="S145" s="63"/>
      <c r="T145" s="63"/>
      <c r="AA145" s="63"/>
      <c r="AB145" s="63"/>
      <c r="AC145" s="63"/>
      <c r="AD145" s="63"/>
      <c r="AE145" s="63"/>
      <c r="AF145" s="63"/>
      <c r="AG145" s="63"/>
      <c r="AH145" s="63"/>
      <c r="AI145" s="63"/>
      <c r="AJ145" s="63"/>
      <c r="AK145" s="63"/>
      <c r="AL145" s="63"/>
      <c r="AM145" s="63"/>
      <c r="AN145" s="63"/>
      <c r="AO145" s="63"/>
      <c r="AP145" s="63"/>
      <c r="AQ145" s="63"/>
      <c r="AR145" s="63"/>
      <c r="AS145" s="63"/>
      <c r="AT145" s="63"/>
    </row>
    <row r="146" spans="1:46" ht="15.75" hidden="1" customHeight="1" x14ac:dyDescent="0.25">
      <c r="A146" s="63"/>
      <c r="B146" s="63"/>
      <c r="C146" s="63"/>
      <c r="D146" s="63"/>
      <c r="E146" s="63"/>
      <c r="F146" s="63"/>
      <c r="G146" s="175"/>
      <c r="H146" s="179"/>
      <c r="I146" s="63"/>
      <c r="J146" s="63"/>
      <c r="K146" s="63"/>
      <c r="L146" s="63"/>
      <c r="M146" s="63"/>
      <c r="N146" s="63"/>
      <c r="O146" s="63"/>
      <c r="P146" s="63"/>
      <c r="Q146" s="63"/>
      <c r="R146" s="63"/>
      <c r="S146" s="63"/>
      <c r="T146" s="63"/>
      <c r="AA146" s="63"/>
      <c r="AB146" s="63"/>
      <c r="AC146" s="63"/>
      <c r="AD146" s="63"/>
      <c r="AE146" s="63"/>
      <c r="AF146" s="63"/>
      <c r="AG146" s="63"/>
      <c r="AH146" s="63"/>
      <c r="AI146" s="63"/>
      <c r="AJ146" s="63"/>
      <c r="AK146" s="63"/>
      <c r="AL146" s="63"/>
      <c r="AM146" s="63"/>
      <c r="AN146" s="63"/>
      <c r="AO146" s="63"/>
      <c r="AP146" s="63"/>
      <c r="AQ146" s="63"/>
      <c r="AR146" s="63"/>
      <c r="AS146" s="63"/>
      <c r="AT146" s="63"/>
    </row>
    <row r="147" spans="1:46" ht="15.75" hidden="1" customHeight="1" x14ac:dyDescent="0.25">
      <c r="A147" s="63"/>
      <c r="B147" s="63"/>
      <c r="C147" s="63"/>
      <c r="D147" s="63"/>
      <c r="E147" s="63"/>
      <c r="F147" s="63"/>
      <c r="G147" s="175"/>
      <c r="H147" s="179"/>
      <c r="I147" s="63"/>
      <c r="J147" s="63"/>
      <c r="K147" s="63"/>
      <c r="L147" s="63"/>
      <c r="M147" s="63"/>
      <c r="N147" s="63"/>
      <c r="O147" s="63"/>
      <c r="P147" s="63"/>
      <c r="Q147" s="63"/>
      <c r="R147" s="63"/>
      <c r="S147" s="63"/>
      <c r="T147" s="63"/>
      <c r="AA147" s="63"/>
      <c r="AB147" s="63"/>
      <c r="AC147" s="63"/>
      <c r="AD147" s="63"/>
      <c r="AE147" s="63"/>
      <c r="AF147" s="63"/>
      <c r="AG147" s="63"/>
      <c r="AH147" s="63"/>
      <c r="AI147" s="63"/>
      <c r="AJ147" s="63"/>
      <c r="AK147" s="63"/>
      <c r="AL147" s="63"/>
      <c r="AM147" s="63"/>
      <c r="AN147" s="63"/>
      <c r="AO147" s="63"/>
      <c r="AP147" s="63"/>
      <c r="AQ147" s="63"/>
      <c r="AR147" s="63"/>
      <c r="AS147" s="63"/>
      <c r="AT147" s="63"/>
    </row>
    <row r="148" spans="1:46" ht="15.75" hidden="1" customHeight="1" x14ac:dyDescent="0.25">
      <c r="A148" s="63"/>
      <c r="B148" s="63"/>
      <c r="C148" s="63"/>
      <c r="D148" s="63"/>
      <c r="E148" s="63"/>
      <c r="F148" s="63"/>
      <c r="G148" s="175"/>
      <c r="H148" s="179"/>
      <c r="I148" s="63"/>
      <c r="J148" s="63"/>
      <c r="K148" s="63"/>
      <c r="L148" s="63"/>
      <c r="M148" s="63"/>
      <c r="N148" s="63"/>
      <c r="O148" s="63"/>
      <c r="P148" s="63"/>
      <c r="Q148" s="63"/>
      <c r="R148" s="63"/>
      <c r="S148" s="63"/>
      <c r="T148" s="63"/>
      <c r="AA148" s="63"/>
      <c r="AB148" s="63"/>
      <c r="AC148" s="63"/>
      <c r="AD148" s="63"/>
      <c r="AE148" s="63"/>
      <c r="AF148" s="63"/>
      <c r="AG148" s="63"/>
      <c r="AH148" s="63"/>
      <c r="AI148" s="63"/>
      <c r="AJ148" s="63"/>
      <c r="AK148" s="63"/>
      <c r="AL148" s="63"/>
      <c r="AM148" s="63"/>
      <c r="AN148" s="63"/>
      <c r="AO148" s="63"/>
      <c r="AP148" s="63"/>
      <c r="AQ148" s="63"/>
      <c r="AR148" s="63"/>
      <c r="AS148" s="63"/>
      <c r="AT148" s="63"/>
    </row>
    <row r="149" spans="1:46" ht="15.75" hidden="1" customHeight="1" x14ac:dyDescent="0.25">
      <c r="A149" s="63"/>
      <c r="B149" s="63"/>
      <c r="C149" s="63"/>
      <c r="D149" s="63"/>
      <c r="E149" s="63"/>
      <c r="F149" s="63"/>
      <c r="G149" s="175"/>
      <c r="H149" s="179"/>
      <c r="I149" s="63"/>
      <c r="J149" s="63"/>
      <c r="K149" s="63"/>
      <c r="L149" s="63"/>
      <c r="M149" s="63"/>
      <c r="N149" s="63"/>
      <c r="O149" s="63"/>
      <c r="P149" s="63"/>
      <c r="Q149" s="63"/>
      <c r="R149" s="63"/>
      <c r="S149" s="63"/>
      <c r="T149" s="63"/>
      <c r="AA149" s="63"/>
      <c r="AB149" s="63"/>
      <c r="AC149" s="63"/>
      <c r="AD149" s="63"/>
      <c r="AE149" s="63"/>
      <c r="AF149" s="63"/>
      <c r="AG149" s="63"/>
      <c r="AH149" s="63"/>
      <c r="AI149" s="63"/>
      <c r="AJ149" s="63"/>
      <c r="AK149" s="63"/>
      <c r="AL149" s="63"/>
      <c r="AM149" s="63"/>
      <c r="AN149" s="63"/>
      <c r="AO149" s="63"/>
      <c r="AP149" s="63"/>
      <c r="AQ149" s="63"/>
      <c r="AR149" s="63"/>
      <c r="AS149" s="63"/>
      <c r="AT149" s="63"/>
    </row>
    <row r="150" spans="1:46" ht="15.75" hidden="1" customHeight="1" x14ac:dyDescent="0.25">
      <c r="A150" s="63"/>
      <c r="B150" s="63"/>
      <c r="C150" s="63"/>
      <c r="D150" s="63"/>
      <c r="E150" s="63"/>
      <c r="F150" s="63"/>
      <c r="G150" s="175"/>
      <c r="H150" s="179"/>
      <c r="I150" s="63"/>
      <c r="J150" s="63"/>
      <c r="K150" s="63"/>
      <c r="L150" s="63"/>
      <c r="M150" s="63"/>
      <c r="N150" s="63"/>
      <c r="O150" s="63"/>
      <c r="P150" s="63"/>
      <c r="Q150" s="63"/>
      <c r="R150" s="63"/>
      <c r="S150" s="63"/>
      <c r="T150" s="63"/>
      <c r="AA150" s="63"/>
      <c r="AB150" s="63"/>
      <c r="AC150" s="63"/>
      <c r="AD150" s="63"/>
      <c r="AE150" s="63"/>
      <c r="AF150" s="63"/>
      <c r="AG150" s="63"/>
      <c r="AH150" s="63"/>
      <c r="AI150" s="63"/>
      <c r="AJ150" s="63"/>
      <c r="AK150" s="63"/>
      <c r="AL150" s="63"/>
      <c r="AM150" s="63"/>
      <c r="AN150" s="63"/>
      <c r="AO150" s="63"/>
      <c r="AP150" s="63"/>
      <c r="AQ150" s="63"/>
      <c r="AR150" s="63"/>
      <c r="AS150" s="63"/>
      <c r="AT150" s="63"/>
    </row>
    <row r="151" spans="1:46" ht="15.75" hidden="1" customHeight="1" x14ac:dyDescent="0.25">
      <c r="A151" s="63"/>
      <c r="B151" s="63"/>
      <c r="C151" s="63"/>
      <c r="D151" s="63"/>
      <c r="E151" s="63"/>
      <c r="F151" s="63"/>
      <c r="G151" s="175"/>
      <c r="H151" s="179"/>
      <c r="I151" s="63"/>
      <c r="J151" s="63"/>
      <c r="K151" s="63"/>
      <c r="L151" s="63"/>
      <c r="M151" s="63"/>
      <c r="N151" s="63"/>
      <c r="O151" s="63"/>
      <c r="P151" s="63"/>
      <c r="Q151" s="63"/>
      <c r="R151" s="63"/>
      <c r="S151" s="63"/>
      <c r="T151" s="63"/>
      <c r="AA151" s="63"/>
      <c r="AB151" s="63"/>
      <c r="AC151" s="63"/>
      <c r="AD151" s="63"/>
      <c r="AE151" s="63"/>
      <c r="AF151" s="63"/>
      <c r="AG151" s="63"/>
      <c r="AH151" s="63"/>
      <c r="AI151" s="63"/>
      <c r="AJ151" s="63"/>
      <c r="AK151" s="63"/>
      <c r="AL151" s="63"/>
      <c r="AM151" s="63"/>
      <c r="AN151" s="63"/>
      <c r="AO151" s="63"/>
      <c r="AP151" s="63"/>
      <c r="AQ151" s="63"/>
      <c r="AR151" s="63"/>
      <c r="AS151" s="63"/>
      <c r="AT151" s="63"/>
    </row>
    <row r="152" spans="1:46" ht="15.75" hidden="1" customHeight="1" x14ac:dyDescent="0.25">
      <c r="A152" s="63"/>
      <c r="B152" s="63"/>
      <c r="C152" s="63"/>
      <c r="D152" s="63"/>
      <c r="E152" s="63"/>
      <c r="F152" s="63"/>
      <c r="G152" s="175"/>
      <c r="H152" s="179"/>
      <c r="I152" s="63"/>
      <c r="J152" s="63"/>
      <c r="K152" s="63"/>
      <c r="L152" s="63"/>
      <c r="M152" s="63"/>
      <c r="N152" s="63"/>
      <c r="O152" s="63"/>
      <c r="P152" s="63"/>
      <c r="Q152" s="63"/>
      <c r="R152" s="63"/>
      <c r="S152" s="63"/>
      <c r="T152" s="63"/>
      <c r="AA152" s="63"/>
      <c r="AB152" s="63"/>
      <c r="AC152" s="63"/>
      <c r="AD152" s="63"/>
      <c r="AE152" s="63"/>
      <c r="AF152" s="63"/>
      <c r="AG152" s="63"/>
      <c r="AH152" s="63"/>
      <c r="AI152" s="63"/>
      <c r="AJ152" s="63"/>
      <c r="AK152" s="63"/>
      <c r="AL152" s="63"/>
      <c r="AM152" s="63"/>
      <c r="AN152" s="63"/>
      <c r="AO152" s="63"/>
      <c r="AP152" s="63"/>
      <c r="AQ152" s="63"/>
      <c r="AR152" s="63"/>
      <c r="AS152" s="63"/>
      <c r="AT152" s="63"/>
    </row>
    <row r="153" spans="1:46" ht="15.75" hidden="1" customHeight="1" x14ac:dyDescent="0.25">
      <c r="A153" s="63"/>
      <c r="B153" s="63"/>
      <c r="C153" s="63"/>
      <c r="D153" s="63"/>
      <c r="E153" s="63"/>
      <c r="F153" s="63"/>
      <c r="G153" s="175"/>
      <c r="H153" s="179"/>
      <c r="I153" s="63"/>
      <c r="J153" s="63"/>
      <c r="K153" s="63"/>
      <c r="L153" s="63"/>
      <c r="M153" s="63"/>
      <c r="N153" s="63"/>
      <c r="O153" s="63"/>
      <c r="P153" s="63"/>
      <c r="Q153" s="63"/>
      <c r="R153" s="63"/>
      <c r="S153" s="63"/>
      <c r="T153" s="63"/>
      <c r="AA153" s="63"/>
      <c r="AB153" s="63"/>
      <c r="AC153" s="63"/>
      <c r="AD153" s="63"/>
      <c r="AE153" s="63"/>
      <c r="AF153" s="63"/>
      <c r="AG153" s="63"/>
      <c r="AH153" s="63"/>
      <c r="AI153" s="63"/>
      <c r="AJ153" s="63"/>
      <c r="AK153" s="63"/>
      <c r="AL153" s="63"/>
      <c r="AM153" s="63"/>
      <c r="AN153" s="63"/>
      <c r="AO153" s="63"/>
      <c r="AP153" s="63"/>
      <c r="AQ153" s="63"/>
      <c r="AR153" s="63"/>
      <c r="AS153" s="63"/>
      <c r="AT153" s="63"/>
    </row>
    <row r="154" spans="1:46" ht="15.75" hidden="1" customHeight="1" x14ac:dyDescent="0.25">
      <c r="A154" s="63"/>
      <c r="B154" s="63"/>
      <c r="C154" s="63"/>
      <c r="D154" s="63"/>
      <c r="E154" s="63"/>
      <c r="F154" s="63"/>
      <c r="G154" s="175"/>
      <c r="H154" s="179"/>
      <c r="I154" s="63"/>
      <c r="J154" s="63"/>
      <c r="K154" s="63"/>
      <c r="L154" s="63"/>
      <c r="M154" s="63"/>
      <c r="N154" s="63"/>
      <c r="O154" s="63"/>
      <c r="P154" s="63"/>
      <c r="Q154" s="63"/>
      <c r="R154" s="63"/>
      <c r="S154" s="63"/>
      <c r="T154" s="63"/>
      <c r="AA154" s="63"/>
      <c r="AB154" s="63"/>
      <c r="AC154" s="63"/>
      <c r="AD154" s="63"/>
      <c r="AE154" s="63"/>
      <c r="AF154" s="63"/>
      <c r="AG154" s="63"/>
      <c r="AH154" s="63"/>
      <c r="AI154" s="63"/>
      <c r="AJ154" s="63"/>
      <c r="AK154" s="63"/>
      <c r="AL154" s="63"/>
      <c r="AM154" s="63"/>
      <c r="AN154" s="63"/>
      <c r="AO154" s="63"/>
      <c r="AP154" s="63"/>
      <c r="AQ154" s="63"/>
      <c r="AR154" s="63"/>
      <c r="AS154" s="63"/>
      <c r="AT154" s="63"/>
    </row>
    <row r="155" spans="1:46" ht="15.75" hidden="1" customHeight="1" x14ac:dyDescent="0.25">
      <c r="A155" s="63"/>
      <c r="B155" s="63"/>
      <c r="C155" s="63"/>
      <c r="D155" s="63"/>
      <c r="E155" s="63"/>
      <c r="F155" s="63"/>
      <c r="G155" s="175"/>
      <c r="H155" s="179"/>
      <c r="I155" s="63"/>
      <c r="J155" s="63"/>
      <c r="K155" s="63"/>
      <c r="L155" s="63"/>
      <c r="M155" s="63"/>
      <c r="N155" s="63"/>
      <c r="O155" s="63"/>
      <c r="P155" s="63"/>
      <c r="Q155" s="63"/>
      <c r="R155" s="63"/>
      <c r="S155" s="63"/>
      <c r="T155" s="63"/>
      <c r="AA155" s="63"/>
      <c r="AB155" s="63"/>
      <c r="AC155" s="63"/>
      <c r="AD155" s="63"/>
      <c r="AE155" s="63"/>
      <c r="AF155" s="63"/>
      <c r="AG155" s="63"/>
      <c r="AH155" s="63"/>
      <c r="AI155" s="63"/>
      <c r="AJ155" s="63"/>
      <c r="AK155" s="63"/>
      <c r="AL155" s="63"/>
      <c r="AM155" s="63"/>
      <c r="AN155" s="63"/>
      <c r="AO155" s="63"/>
      <c r="AP155" s="63"/>
      <c r="AQ155" s="63"/>
      <c r="AR155" s="63"/>
      <c r="AS155" s="63"/>
      <c r="AT155" s="63"/>
    </row>
    <row r="156" spans="1:46" ht="15.75" hidden="1" customHeight="1" x14ac:dyDescent="0.25">
      <c r="A156" s="63"/>
      <c r="B156" s="63"/>
      <c r="C156" s="63"/>
      <c r="D156" s="63"/>
      <c r="E156" s="63"/>
      <c r="F156" s="63"/>
      <c r="G156" s="175"/>
      <c r="H156" s="179"/>
      <c r="I156" s="63"/>
      <c r="J156" s="63"/>
      <c r="K156" s="63"/>
      <c r="L156" s="63"/>
      <c r="M156" s="63"/>
      <c r="N156" s="63"/>
      <c r="O156" s="63"/>
      <c r="P156" s="63"/>
      <c r="Q156" s="63"/>
      <c r="R156" s="63"/>
      <c r="S156" s="63"/>
      <c r="T156" s="63"/>
      <c r="AA156" s="63"/>
      <c r="AB156" s="63"/>
      <c r="AC156" s="63"/>
      <c r="AD156" s="63"/>
      <c r="AE156" s="63"/>
      <c r="AF156" s="63"/>
      <c r="AG156" s="63"/>
      <c r="AH156" s="63"/>
      <c r="AI156" s="63"/>
      <c r="AJ156" s="63"/>
      <c r="AK156" s="63"/>
      <c r="AL156" s="63"/>
      <c r="AM156" s="63"/>
      <c r="AN156" s="63"/>
      <c r="AO156" s="63"/>
      <c r="AP156" s="63"/>
      <c r="AQ156" s="63"/>
      <c r="AR156" s="63"/>
      <c r="AS156" s="63"/>
      <c r="AT156" s="63"/>
    </row>
    <row r="157" spans="1:46" ht="15.75" hidden="1" customHeight="1" x14ac:dyDescent="0.25">
      <c r="A157" s="63"/>
      <c r="B157" s="63"/>
      <c r="C157" s="63"/>
      <c r="D157" s="63"/>
      <c r="E157" s="63"/>
      <c r="F157" s="63"/>
      <c r="G157" s="175"/>
      <c r="H157" s="179"/>
      <c r="I157" s="63"/>
      <c r="J157" s="63"/>
      <c r="K157" s="63"/>
      <c r="L157" s="63"/>
      <c r="M157" s="63"/>
      <c r="N157" s="63"/>
      <c r="O157" s="63"/>
      <c r="P157" s="63"/>
      <c r="Q157" s="63"/>
      <c r="R157" s="63"/>
      <c r="S157" s="63"/>
      <c r="T157" s="63"/>
      <c r="AA157" s="63"/>
      <c r="AB157" s="63"/>
      <c r="AC157" s="63"/>
      <c r="AD157" s="63"/>
      <c r="AE157" s="63"/>
      <c r="AF157" s="63"/>
      <c r="AG157" s="63"/>
      <c r="AH157" s="63"/>
      <c r="AI157" s="63"/>
      <c r="AJ157" s="63"/>
      <c r="AK157" s="63"/>
      <c r="AL157" s="63"/>
      <c r="AM157" s="63"/>
      <c r="AN157" s="63"/>
      <c r="AO157" s="63"/>
      <c r="AP157" s="63"/>
      <c r="AQ157" s="63"/>
      <c r="AR157" s="63"/>
      <c r="AS157" s="63"/>
      <c r="AT157" s="63"/>
    </row>
    <row r="158" spans="1:46" ht="15.75" hidden="1" customHeight="1" x14ac:dyDescent="0.25">
      <c r="A158" s="63"/>
      <c r="B158" s="63"/>
      <c r="C158" s="63"/>
      <c r="D158" s="63"/>
      <c r="E158" s="63"/>
      <c r="F158" s="63"/>
      <c r="G158" s="175"/>
      <c r="H158" s="179"/>
      <c r="I158" s="63"/>
      <c r="J158" s="63"/>
      <c r="K158" s="63"/>
      <c r="L158" s="63"/>
      <c r="M158" s="63"/>
      <c r="N158" s="63"/>
      <c r="O158" s="63"/>
      <c r="P158" s="63"/>
      <c r="Q158" s="63"/>
      <c r="R158" s="63"/>
      <c r="S158" s="63"/>
      <c r="T158" s="63"/>
      <c r="AA158" s="63"/>
      <c r="AB158" s="63"/>
      <c r="AC158" s="63"/>
      <c r="AD158" s="63"/>
      <c r="AE158" s="63"/>
      <c r="AF158" s="63"/>
      <c r="AG158" s="63"/>
      <c r="AH158" s="63"/>
      <c r="AI158" s="63"/>
      <c r="AJ158" s="63"/>
      <c r="AK158" s="63"/>
      <c r="AL158" s="63"/>
      <c r="AM158" s="63"/>
      <c r="AN158" s="63"/>
      <c r="AO158" s="63"/>
      <c r="AP158" s="63"/>
      <c r="AQ158" s="63"/>
      <c r="AR158" s="63"/>
      <c r="AS158" s="63"/>
      <c r="AT158" s="63"/>
    </row>
    <row r="159" spans="1:46" ht="15.75" hidden="1" customHeight="1" x14ac:dyDescent="0.25">
      <c r="A159" s="63"/>
      <c r="B159" s="63"/>
      <c r="C159" s="63"/>
      <c r="D159" s="63"/>
      <c r="E159" s="63"/>
      <c r="F159" s="63"/>
      <c r="G159" s="175"/>
      <c r="H159" s="179"/>
      <c r="I159" s="63"/>
      <c r="J159" s="63"/>
      <c r="K159" s="63"/>
      <c r="L159" s="63"/>
      <c r="M159" s="63"/>
      <c r="N159" s="63"/>
      <c r="O159" s="63"/>
      <c r="P159" s="63"/>
      <c r="Q159" s="63"/>
      <c r="R159" s="63"/>
      <c r="S159" s="63"/>
      <c r="T159" s="63"/>
      <c r="AA159" s="63"/>
      <c r="AB159" s="63"/>
      <c r="AC159" s="63"/>
      <c r="AD159" s="63"/>
      <c r="AE159" s="63"/>
      <c r="AF159" s="63"/>
      <c r="AG159" s="63"/>
      <c r="AH159" s="63"/>
      <c r="AI159" s="63"/>
      <c r="AJ159" s="63"/>
      <c r="AK159" s="63"/>
      <c r="AL159" s="63"/>
      <c r="AM159" s="63"/>
      <c r="AN159" s="63"/>
      <c r="AO159" s="63"/>
      <c r="AP159" s="63"/>
      <c r="AQ159" s="63"/>
      <c r="AR159" s="63"/>
      <c r="AS159" s="63"/>
      <c r="AT159" s="63"/>
    </row>
    <row r="160" spans="1:46" ht="15.75" hidden="1" customHeight="1" x14ac:dyDescent="0.25">
      <c r="A160" s="63"/>
      <c r="B160" s="63"/>
      <c r="C160" s="63"/>
      <c r="D160" s="63"/>
      <c r="E160" s="63"/>
      <c r="F160" s="63"/>
      <c r="G160" s="175"/>
      <c r="H160" s="179"/>
      <c r="I160" s="63"/>
      <c r="J160" s="63"/>
      <c r="K160" s="63"/>
      <c r="L160" s="63"/>
      <c r="M160" s="63"/>
      <c r="N160" s="63"/>
      <c r="O160" s="63"/>
      <c r="P160" s="63"/>
      <c r="Q160" s="63"/>
      <c r="R160" s="63"/>
      <c r="S160" s="63"/>
      <c r="T160" s="63"/>
      <c r="AA160" s="63"/>
      <c r="AB160" s="63"/>
      <c r="AC160" s="63"/>
      <c r="AD160" s="63"/>
      <c r="AE160" s="63"/>
      <c r="AF160" s="63"/>
      <c r="AG160" s="63"/>
      <c r="AH160" s="63"/>
      <c r="AI160" s="63"/>
      <c r="AJ160" s="63"/>
      <c r="AK160" s="63"/>
      <c r="AL160" s="63"/>
      <c r="AM160" s="63"/>
      <c r="AN160" s="63"/>
      <c r="AO160" s="63"/>
      <c r="AP160" s="63"/>
      <c r="AQ160" s="63"/>
      <c r="AR160" s="63"/>
      <c r="AS160" s="63"/>
      <c r="AT160" s="63"/>
    </row>
    <row r="161" spans="1:46" ht="15.75" hidden="1" customHeight="1" x14ac:dyDescent="0.25">
      <c r="A161" s="63"/>
      <c r="B161" s="63"/>
      <c r="C161" s="63"/>
      <c r="D161" s="63"/>
      <c r="E161" s="63"/>
      <c r="F161" s="63"/>
      <c r="G161" s="175"/>
      <c r="H161" s="179"/>
      <c r="I161" s="63"/>
      <c r="J161" s="63"/>
      <c r="K161" s="63"/>
      <c r="L161" s="63"/>
      <c r="M161" s="63"/>
      <c r="N161" s="63"/>
      <c r="O161" s="63"/>
      <c r="P161" s="63"/>
      <c r="Q161" s="63"/>
      <c r="R161" s="63"/>
      <c r="S161" s="63"/>
      <c r="T161" s="63"/>
      <c r="AA161" s="63"/>
      <c r="AB161" s="63"/>
      <c r="AC161" s="63"/>
      <c r="AD161" s="63"/>
      <c r="AE161" s="63"/>
      <c r="AF161" s="63"/>
      <c r="AG161" s="63"/>
      <c r="AH161" s="63"/>
      <c r="AI161" s="63"/>
      <c r="AJ161" s="63"/>
      <c r="AK161" s="63"/>
      <c r="AL161" s="63"/>
      <c r="AM161" s="63"/>
      <c r="AN161" s="63"/>
      <c r="AO161" s="63"/>
      <c r="AP161" s="63"/>
      <c r="AQ161" s="63"/>
      <c r="AR161" s="63"/>
      <c r="AS161" s="63"/>
      <c r="AT161" s="63"/>
    </row>
    <row r="162" spans="1:46" ht="15.75" hidden="1" customHeight="1" x14ac:dyDescent="0.25">
      <c r="A162" s="63"/>
      <c r="B162" s="63"/>
      <c r="C162" s="63"/>
      <c r="D162" s="63"/>
      <c r="E162" s="63"/>
      <c r="F162" s="63"/>
      <c r="G162" s="175"/>
      <c r="H162" s="179"/>
      <c r="I162" s="63"/>
      <c r="J162" s="63"/>
      <c r="K162" s="63"/>
      <c r="L162" s="63"/>
      <c r="M162" s="63"/>
      <c r="N162" s="63"/>
      <c r="O162" s="63"/>
      <c r="P162" s="63"/>
      <c r="Q162" s="63"/>
      <c r="R162" s="63"/>
      <c r="S162" s="63"/>
      <c r="T162" s="63"/>
      <c r="AA162" s="63"/>
      <c r="AB162" s="63"/>
      <c r="AC162" s="63"/>
      <c r="AD162" s="63"/>
      <c r="AE162" s="63"/>
      <c r="AF162" s="63"/>
      <c r="AG162" s="63"/>
      <c r="AH162" s="63"/>
      <c r="AI162" s="63"/>
      <c r="AJ162" s="63"/>
      <c r="AK162" s="63"/>
      <c r="AL162" s="63"/>
      <c r="AM162" s="63"/>
      <c r="AN162" s="63"/>
      <c r="AO162" s="63"/>
      <c r="AP162" s="63"/>
      <c r="AQ162" s="63"/>
      <c r="AR162" s="63"/>
      <c r="AS162" s="63"/>
      <c r="AT162" s="63"/>
    </row>
    <row r="163" spans="1:46" ht="15.75" hidden="1" customHeight="1" x14ac:dyDescent="0.25">
      <c r="A163" s="63"/>
      <c r="B163" s="63"/>
      <c r="C163" s="63"/>
      <c r="D163" s="63"/>
      <c r="E163" s="63"/>
      <c r="F163" s="63"/>
      <c r="G163" s="175"/>
      <c r="H163" s="179"/>
      <c r="I163" s="63"/>
      <c r="J163" s="63"/>
      <c r="K163" s="63"/>
      <c r="L163" s="63"/>
      <c r="M163" s="63"/>
      <c r="N163" s="63"/>
      <c r="O163" s="63"/>
      <c r="P163" s="63"/>
      <c r="Q163" s="63"/>
      <c r="R163" s="63"/>
      <c r="S163" s="63"/>
      <c r="T163" s="63"/>
      <c r="AA163" s="63"/>
      <c r="AB163" s="63"/>
      <c r="AC163" s="63"/>
      <c r="AD163" s="63"/>
      <c r="AE163" s="63"/>
      <c r="AF163" s="63"/>
      <c r="AG163" s="63"/>
      <c r="AH163" s="63"/>
      <c r="AI163" s="63"/>
      <c r="AJ163" s="63"/>
      <c r="AK163" s="63"/>
      <c r="AL163" s="63"/>
      <c r="AM163" s="63"/>
      <c r="AN163" s="63"/>
      <c r="AO163" s="63"/>
      <c r="AP163" s="63"/>
      <c r="AQ163" s="63"/>
      <c r="AR163" s="63"/>
      <c r="AS163" s="63"/>
      <c r="AT163" s="63"/>
    </row>
    <row r="164" spans="1:46" ht="15.75" hidden="1" customHeight="1" x14ac:dyDescent="0.25">
      <c r="A164" s="63"/>
      <c r="B164" s="63"/>
      <c r="C164" s="63"/>
      <c r="D164" s="63"/>
      <c r="E164" s="63"/>
      <c r="F164" s="63"/>
      <c r="G164" s="175"/>
      <c r="H164" s="179"/>
      <c r="I164" s="63"/>
      <c r="J164" s="63"/>
      <c r="K164" s="63"/>
      <c r="L164" s="63"/>
      <c r="M164" s="63"/>
      <c r="N164" s="63"/>
      <c r="O164" s="63"/>
      <c r="P164" s="63"/>
      <c r="Q164" s="63"/>
      <c r="R164" s="63"/>
      <c r="S164" s="63"/>
      <c r="T164" s="63"/>
      <c r="AA164" s="63"/>
      <c r="AB164" s="63"/>
      <c r="AC164" s="63"/>
      <c r="AD164" s="63"/>
      <c r="AE164" s="63"/>
      <c r="AF164" s="63"/>
      <c r="AG164" s="63"/>
      <c r="AH164" s="63"/>
      <c r="AI164" s="63"/>
      <c r="AJ164" s="63"/>
      <c r="AK164" s="63"/>
      <c r="AL164" s="63"/>
      <c r="AM164" s="63"/>
      <c r="AN164" s="63"/>
      <c r="AO164" s="63"/>
      <c r="AP164" s="63"/>
      <c r="AQ164" s="63"/>
      <c r="AR164" s="63"/>
      <c r="AS164" s="63"/>
      <c r="AT164" s="63"/>
    </row>
    <row r="165" spans="1:46" ht="15.75" hidden="1" customHeight="1" x14ac:dyDescent="0.25">
      <c r="A165" s="63"/>
      <c r="B165" s="63"/>
      <c r="C165" s="63"/>
      <c r="D165" s="63"/>
      <c r="E165" s="63"/>
      <c r="F165" s="63"/>
      <c r="G165" s="175"/>
      <c r="H165" s="179"/>
      <c r="I165" s="63"/>
      <c r="J165" s="63"/>
      <c r="K165" s="63"/>
      <c r="L165" s="63"/>
      <c r="M165" s="63"/>
      <c r="N165" s="63"/>
      <c r="O165" s="63"/>
      <c r="P165" s="63"/>
      <c r="Q165" s="63"/>
      <c r="R165" s="63"/>
      <c r="S165" s="63"/>
      <c r="T165" s="63"/>
      <c r="AA165" s="63"/>
      <c r="AB165" s="63"/>
      <c r="AC165" s="63"/>
      <c r="AD165" s="63"/>
      <c r="AE165" s="63"/>
      <c r="AF165" s="63"/>
      <c r="AG165" s="63"/>
      <c r="AH165" s="63"/>
      <c r="AI165" s="63"/>
      <c r="AJ165" s="63"/>
      <c r="AK165" s="63"/>
      <c r="AL165" s="63"/>
      <c r="AM165" s="63"/>
      <c r="AN165" s="63"/>
      <c r="AO165" s="63"/>
      <c r="AP165" s="63"/>
      <c r="AQ165" s="63"/>
      <c r="AR165" s="63"/>
      <c r="AS165" s="63"/>
      <c r="AT165" s="63"/>
    </row>
    <row r="166" spans="1:46" ht="15.75" hidden="1" customHeight="1" x14ac:dyDescent="0.25">
      <c r="A166" s="63"/>
      <c r="B166" s="63"/>
      <c r="C166" s="63"/>
      <c r="D166" s="63"/>
      <c r="E166" s="63"/>
      <c r="F166" s="63"/>
      <c r="G166" s="175"/>
      <c r="H166" s="179"/>
      <c r="I166" s="63"/>
      <c r="J166" s="63"/>
      <c r="K166" s="63"/>
      <c r="L166" s="63"/>
      <c r="M166" s="63"/>
      <c r="N166" s="63"/>
      <c r="O166" s="63"/>
      <c r="P166" s="63"/>
      <c r="Q166" s="63"/>
      <c r="R166" s="63"/>
      <c r="S166" s="63"/>
      <c r="T166" s="63"/>
      <c r="AA166" s="63"/>
      <c r="AB166" s="63"/>
      <c r="AC166" s="63"/>
      <c r="AD166" s="63"/>
      <c r="AE166" s="63"/>
      <c r="AF166" s="63"/>
      <c r="AG166" s="63"/>
      <c r="AH166" s="63"/>
      <c r="AI166" s="63"/>
      <c r="AJ166" s="63"/>
      <c r="AK166" s="63"/>
      <c r="AL166" s="63"/>
      <c r="AM166" s="63"/>
      <c r="AN166" s="63"/>
      <c r="AO166" s="63"/>
      <c r="AP166" s="63"/>
      <c r="AQ166" s="63"/>
      <c r="AR166" s="63"/>
      <c r="AS166" s="63"/>
      <c r="AT166" s="63"/>
    </row>
    <row r="167" spans="1:46" ht="15.75" hidden="1" customHeight="1" x14ac:dyDescent="0.25">
      <c r="A167" s="63"/>
      <c r="B167" s="63"/>
      <c r="C167" s="63"/>
      <c r="D167" s="63"/>
      <c r="E167" s="63"/>
      <c r="F167" s="63"/>
      <c r="G167" s="175"/>
      <c r="H167" s="179"/>
      <c r="I167" s="63"/>
      <c r="J167" s="63"/>
      <c r="K167" s="63"/>
      <c r="L167" s="63"/>
      <c r="M167" s="63"/>
      <c r="N167" s="63"/>
      <c r="O167" s="63"/>
      <c r="P167" s="63"/>
      <c r="Q167" s="63"/>
      <c r="R167" s="63"/>
      <c r="S167" s="63"/>
      <c r="T167" s="63"/>
      <c r="AA167" s="63"/>
      <c r="AB167" s="63"/>
      <c r="AC167" s="63"/>
      <c r="AD167" s="63"/>
      <c r="AE167" s="63"/>
      <c r="AF167" s="63"/>
      <c r="AG167" s="63"/>
      <c r="AH167" s="63"/>
      <c r="AI167" s="63"/>
      <c r="AJ167" s="63"/>
      <c r="AK167" s="63"/>
      <c r="AL167" s="63"/>
      <c r="AM167" s="63"/>
      <c r="AN167" s="63"/>
      <c r="AO167" s="63"/>
      <c r="AP167" s="63"/>
      <c r="AQ167" s="63"/>
      <c r="AR167" s="63"/>
      <c r="AS167" s="63"/>
      <c r="AT167" s="63"/>
    </row>
    <row r="168" spans="1:46" ht="15.75" hidden="1" customHeight="1" x14ac:dyDescent="0.25">
      <c r="A168" s="63"/>
      <c r="B168" s="63"/>
      <c r="C168" s="63"/>
      <c r="D168" s="63"/>
      <c r="E168" s="63"/>
      <c r="F168" s="63"/>
      <c r="G168" s="175"/>
      <c r="H168" s="179"/>
      <c r="I168" s="63"/>
      <c r="J168" s="63"/>
      <c r="K168" s="63"/>
      <c r="L168" s="63"/>
      <c r="M168" s="63"/>
      <c r="N168" s="63"/>
      <c r="O168" s="63"/>
      <c r="P168" s="63"/>
      <c r="Q168" s="63"/>
      <c r="R168" s="63"/>
      <c r="S168" s="63"/>
      <c r="T168" s="63"/>
      <c r="AA168" s="63"/>
      <c r="AB168" s="63"/>
      <c r="AC168" s="63"/>
      <c r="AD168" s="63"/>
      <c r="AE168" s="63"/>
      <c r="AF168" s="63"/>
      <c r="AG168" s="63"/>
      <c r="AH168" s="63"/>
      <c r="AI168" s="63"/>
      <c r="AJ168" s="63"/>
      <c r="AK168" s="63"/>
      <c r="AL168" s="63"/>
      <c r="AM168" s="63"/>
      <c r="AN168" s="63"/>
      <c r="AO168" s="63"/>
      <c r="AP168" s="63"/>
      <c r="AQ168" s="63"/>
      <c r="AR168" s="63"/>
      <c r="AS168" s="63"/>
      <c r="AT168" s="63"/>
    </row>
    <row r="169" spans="1:46" ht="15.75" hidden="1" customHeight="1" x14ac:dyDescent="0.25">
      <c r="A169" s="63"/>
      <c r="B169" s="63"/>
      <c r="C169" s="63"/>
      <c r="D169" s="63"/>
      <c r="E169" s="63"/>
      <c r="F169" s="63"/>
      <c r="G169" s="175"/>
      <c r="H169" s="179"/>
      <c r="I169" s="63"/>
      <c r="J169" s="63"/>
      <c r="K169" s="63"/>
      <c r="L169" s="63"/>
      <c r="M169" s="63"/>
      <c r="N169" s="63"/>
      <c r="O169" s="63"/>
      <c r="P169" s="63"/>
      <c r="Q169" s="63"/>
      <c r="R169" s="63"/>
      <c r="S169" s="63"/>
      <c r="T169" s="63"/>
      <c r="AA169" s="63"/>
      <c r="AB169" s="63"/>
      <c r="AC169" s="63"/>
      <c r="AD169" s="63"/>
      <c r="AE169" s="63"/>
      <c r="AF169" s="63"/>
      <c r="AG169" s="63"/>
      <c r="AH169" s="63"/>
      <c r="AI169" s="63"/>
      <c r="AJ169" s="63"/>
      <c r="AK169" s="63"/>
      <c r="AL169" s="63"/>
      <c r="AM169" s="63"/>
      <c r="AN169" s="63"/>
      <c r="AO169" s="63"/>
      <c r="AP169" s="63"/>
      <c r="AQ169" s="63"/>
      <c r="AR169" s="63"/>
      <c r="AS169" s="63"/>
      <c r="AT169" s="63"/>
    </row>
    <row r="170" spans="1:46" ht="15.75" hidden="1" customHeight="1" x14ac:dyDescent="0.25">
      <c r="A170" s="63"/>
      <c r="B170" s="63"/>
      <c r="C170" s="63"/>
      <c r="D170" s="63"/>
      <c r="E170" s="63"/>
      <c r="F170" s="63"/>
      <c r="G170" s="175"/>
      <c r="H170" s="179"/>
      <c r="I170" s="63"/>
      <c r="J170" s="63"/>
      <c r="K170" s="63"/>
      <c r="L170" s="63"/>
      <c r="M170" s="63"/>
      <c r="N170" s="63"/>
      <c r="O170" s="63"/>
      <c r="P170" s="63"/>
      <c r="Q170" s="63"/>
      <c r="R170" s="63"/>
      <c r="S170" s="63"/>
      <c r="T170" s="63"/>
      <c r="AA170" s="63"/>
      <c r="AB170" s="63"/>
      <c r="AC170" s="63"/>
      <c r="AD170" s="63"/>
      <c r="AE170" s="63"/>
      <c r="AF170" s="63"/>
      <c r="AG170" s="63"/>
      <c r="AH170" s="63"/>
      <c r="AI170" s="63"/>
      <c r="AJ170" s="63"/>
      <c r="AK170" s="63"/>
      <c r="AL170" s="63"/>
      <c r="AM170" s="63"/>
      <c r="AN170" s="63"/>
      <c r="AO170" s="63"/>
      <c r="AP170" s="63"/>
      <c r="AQ170" s="63"/>
      <c r="AR170" s="63"/>
      <c r="AS170" s="63"/>
      <c r="AT170" s="63"/>
    </row>
    <row r="171" spans="1:46" ht="15.75" hidden="1" customHeight="1" x14ac:dyDescent="0.25">
      <c r="A171" s="63"/>
      <c r="B171" s="63"/>
      <c r="C171" s="63"/>
      <c r="D171" s="63"/>
      <c r="E171" s="63"/>
      <c r="F171" s="63"/>
      <c r="G171" s="175"/>
      <c r="H171" s="179"/>
      <c r="I171" s="63"/>
      <c r="J171" s="63"/>
      <c r="K171" s="63"/>
      <c r="L171" s="63"/>
      <c r="M171" s="63"/>
      <c r="N171" s="63"/>
      <c r="O171" s="63"/>
      <c r="P171" s="63"/>
      <c r="Q171" s="63"/>
      <c r="R171" s="63"/>
      <c r="S171" s="63"/>
      <c r="T171" s="63"/>
      <c r="AA171" s="63"/>
      <c r="AB171" s="63"/>
      <c r="AC171" s="63"/>
      <c r="AD171" s="63"/>
      <c r="AE171" s="63"/>
      <c r="AF171" s="63"/>
      <c r="AG171" s="63"/>
      <c r="AH171" s="63"/>
      <c r="AI171" s="63"/>
      <c r="AJ171" s="63"/>
      <c r="AK171" s="63"/>
      <c r="AL171" s="63"/>
      <c r="AM171" s="63"/>
      <c r="AN171" s="63"/>
      <c r="AO171" s="63"/>
      <c r="AP171" s="63"/>
      <c r="AQ171" s="63"/>
      <c r="AR171" s="63"/>
      <c r="AS171" s="63"/>
      <c r="AT171" s="63"/>
    </row>
    <row r="172" spans="1:46" ht="15.75" hidden="1" customHeight="1" x14ac:dyDescent="0.25">
      <c r="A172" s="63"/>
      <c r="B172" s="63"/>
      <c r="C172" s="63"/>
      <c r="D172" s="63"/>
      <c r="E172" s="63"/>
      <c r="F172" s="63"/>
      <c r="G172" s="175"/>
      <c r="H172" s="179"/>
      <c r="I172" s="63"/>
      <c r="J172" s="63"/>
      <c r="K172" s="63"/>
      <c r="L172" s="63"/>
      <c r="M172" s="63"/>
      <c r="N172" s="63"/>
      <c r="O172" s="63"/>
      <c r="P172" s="63"/>
      <c r="Q172" s="63"/>
      <c r="R172" s="63"/>
      <c r="S172" s="63"/>
      <c r="T172" s="63"/>
      <c r="AA172" s="63"/>
      <c r="AB172" s="63"/>
      <c r="AC172" s="63"/>
      <c r="AD172" s="63"/>
      <c r="AE172" s="63"/>
      <c r="AF172" s="63"/>
      <c r="AG172" s="63"/>
      <c r="AH172" s="63"/>
      <c r="AI172" s="63"/>
      <c r="AJ172" s="63"/>
      <c r="AK172" s="63"/>
      <c r="AL172" s="63"/>
      <c r="AM172" s="63"/>
      <c r="AN172" s="63"/>
      <c r="AO172" s="63"/>
      <c r="AP172" s="63"/>
      <c r="AQ172" s="63"/>
      <c r="AR172" s="63"/>
      <c r="AS172" s="63"/>
      <c r="AT172" s="63"/>
    </row>
    <row r="173" spans="1:46" ht="15.75" hidden="1" customHeight="1" x14ac:dyDescent="0.25">
      <c r="A173" s="63"/>
      <c r="B173" s="63"/>
      <c r="C173" s="63"/>
      <c r="D173" s="63"/>
      <c r="E173" s="63"/>
      <c r="F173" s="63"/>
      <c r="G173" s="175"/>
      <c r="H173" s="179"/>
      <c r="I173" s="63"/>
      <c r="J173" s="63"/>
      <c r="K173" s="63"/>
      <c r="L173" s="63"/>
      <c r="M173" s="63"/>
      <c r="N173" s="63"/>
      <c r="O173" s="63"/>
      <c r="P173" s="63"/>
      <c r="Q173" s="63"/>
      <c r="R173" s="63"/>
      <c r="S173" s="63"/>
      <c r="T173" s="63"/>
      <c r="AA173" s="63"/>
      <c r="AB173" s="63"/>
      <c r="AC173" s="63"/>
      <c r="AD173" s="63"/>
      <c r="AE173" s="63"/>
      <c r="AF173" s="63"/>
      <c r="AG173" s="63"/>
      <c r="AH173" s="63"/>
      <c r="AI173" s="63"/>
      <c r="AJ173" s="63"/>
      <c r="AK173" s="63"/>
      <c r="AL173" s="63"/>
      <c r="AM173" s="63"/>
      <c r="AN173" s="63"/>
      <c r="AO173" s="63"/>
      <c r="AP173" s="63"/>
      <c r="AQ173" s="63"/>
      <c r="AR173" s="63"/>
      <c r="AS173" s="63"/>
      <c r="AT173" s="63"/>
    </row>
    <row r="174" spans="1:46" ht="15.75" hidden="1" customHeight="1" x14ac:dyDescent="0.25">
      <c r="A174" s="63"/>
      <c r="B174" s="63"/>
      <c r="C174" s="63"/>
      <c r="D174" s="63"/>
      <c r="E174" s="63"/>
      <c r="F174" s="63"/>
      <c r="G174" s="175"/>
      <c r="H174" s="179"/>
      <c r="I174" s="63"/>
      <c r="J174" s="63"/>
      <c r="K174" s="63"/>
      <c r="L174" s="63"/>
      <c r="M174" s="63"/>
      <c r="N174" s="63"/>
      <c r="O174" s="63"/>
      <c r="P174" s="63"/>
      <c r="Q174" s="63"/>
      <c r="R174" s="63"/>
      <c r="S174" s="63"/>
      <c r="T174" s="63"/>
      <c r="AA174" s="63"/>
      <c r="AB174" s="63"/>
      <c r="AC174" s="63"/>
      <c r="AD174" s="63"/>
      <c r="AE174" s="63"/>
      <c r="AF174" s="63"/>
      <c r="AG174" s="63"/>
      <c r="AH174" s="63"/>
      <c r="AI174" s="63"/>
      <c r="AJ174" s="63"/>
      <c r="AK174" s="63"/>
      <c r="AL174" s="63"/>
      <c r="AM174" s="63"/>
      <c r="AN174" s="63"/>
      <c r="AO174" s="63"/>
      <c r="AP174" s="63"/>
      <c r="AQ174" s="63"/>
      <c r="AR174" s="63"/>
      <c r="AS174" s="63"/>
      <c r="AT174" s="63"/>
    </row>
    <row r="175" spans="1:46" ht="15.75" hidden="1" customHeight="1" x14ac:dyDescent="0.25">
      <c r="A175" s="63"/>
      <c r="B175" s="63"/>
      <c r="C175" s="63"/>
      <c r="D175" s="63"/>
      <c r="E175" s="63"/>
      <c r="F175" s="63"/>
      <c r="G175" s="175"/>
      <c r="H175" s="179"/>
      <c r="I175" s="63"/>
      <c r="J175" s="63"/>
      <c r="K175" s="63"/>
      <c r="L175" s="63"/>
      <c r="M175" s="63"/>
      <c r="N175" s="63"/>
      <c r="O175" s="63"/>
      <c r="P175" s="63"/>
      <c r="Q175" s="63"/>
      <c r="R175" s="63"/>
      <c r="S175" s="63"/>
      <c r="T175" s="63"/>
      <c r="AA175" s="63"/>
      <c r="AB175" s="63"/>
      <c r="AC175" s="63"/>
      <c r="AD175" s="63"/>
      <c r="AE175" s="63"/>
      <c r="AF175" s="63"/>
      <c r="AG175" s="63"/>
      <c r="AH175" s="63"/>
      <c r="AI175" s="63"/>
      <c r="AJ175" s="63"/>
      <c r="AK175" s="63"/>
      <c r="AL175" s="63"/>
      <c r="AM175" s="63"/>
      <c r="AN175" s="63"/>
      <c r="AO175" s="63"/>
      <c r="AP175" s="63"/>
      <c r="AQ175" s="63"/>
      <c r="AR175" s="63"/>
      <c r="AS175" s="63"/>
      <c r="AT175" s="63"/>
    </row>
    <row r="176" spans="1:46" ht="15.75" hidden="1" customHeight="1" x14ac:dyDescent="0.25">
      <c r="A176" s="63"/>
      <c r="B176" s="63"/>
      <c r="C176" s="63"/>
      <c r="D176" s="63"/>
      <c r="E176" s="63"/>
      <c r="F176" s="63"/>
      <c r="G176" s="175"/>
      <c r="H176" s="179"/>
      <c r="I176" s="63"/>
      <c r="J176" s="63"/>
      <c r="K176" s="63"/>
      <c r="L176" s="63"/>
      <c r="M176" s="63"/>
      <c r="N176" s="63"/>
      <c r="O176" s="63"/>
      <c r="P176" s="63"/>
      <c r="Q176" s="63"/>
      <c r="R176" s="63"/>
      <c r="S176" s="63"/>
      <c r="T176" s="63"/>
      <c r="AA176" s="63"/>
      <c r="AB176" s="63"/>
      <c r="AC176" s="63"/>
      <c r="AD176" s="63"/>
      <c r="AE176" s="63"/>
      <c r="AF176" s="63"/>
      <c r="AG176" s="63"/>
      <c r="AH176" s="63"/>
      <c r="AI176" s="63"/>
      <c r="AJ176" s="63"/>
      <c r="AK176" s="63"/>
      <c r="AL176" s="63"/>
      <c r="AM176" s="63"/>
      <c r="AN176" s="63"/>
      <c r="AO176" s="63"/>
      <c r="AP176" s="63"/>
      <c r="AQ176" s="63"/>
      <c r="AR176" s="63"/>
      <c r="AS176" s="63"/>
      <c r="AT176" s="63"/>
    </row>
    <row r="177" spans="1:46" ht="15.75" hidden="1" customHeight="1" x14ac:dyDescent="0.25">
      <c r="A177" s="63"/>
      <c r="B177" s="63"/>
      <c r="C177" s="63"/>
      <c r="D177" s="63"/>
      <c r="E177" s="63"/>
      <c r="F177" s="63"/>
      <c r="G177" s="175"/>
      <c r="H177" s="179"/>
      <c r="I177" s="63"/>
      <c r="J177" s="63"/>
      <c r="K177" s="63"/>
      <c r="L177" s="63"/>
      <c r="M177" s="63"/>
      <c r="N177" s="63"/>
      <c r="O177" s="63"/>
      <c r="P177" s="63"/>
      <c r="Q177" s="63"/>
      <c r="R177" s="63"/>
      <c r="S177" s="63"/>
      <c r="T177" s="63"/>
      <c r="AA177" s="63"/>
      <c r="AB177" s="63"/>
      <c r="AC177" s="63"/>
      <c r="AD177" s="63"/>
      <c r="AE177" s="63"/>
      <c r="AF177" s="63"/>
      <c r="AG177" s="63"/>
      <c r="AH177" s="63"/>
      <c r="AI177" s="63"/>
      <c r="AJ177" s="63"/>
      <c r="AK177" s="63"/>
      <c r="AL177" s="63"/>
      <c r="AM177" s="63"/>
      <c r="AN177" s="63"/>
      <c r="AO177" s="63"/>
      <c r="AP177" s="63"/>
      <c r="AQ177" s="63"/>
      <c r="AR177" s="63"/>
      <c r="AS177" s="63"/>
      <c r="AT177" s="63"/>
    </row>
    <row r="178" spans="1:46" ht="15.75" hidden="1" customHeight="1" x14ac:dyDescent="0.25">
      <c r="A178" s="63"/>
      <c r="B178" s="63"/>
      <c r="C178" s="63"/>
      <c r="D178" s="63"/>
      <c r="E178" s="63"/>
      <c r="F178" s="63"/>
      <c r="G178" s="175"/>
      <c r="H178" s="179"/>
      <c r="I178" s="63"/>
      <c r="J178" s="63"/>
      <c r="K178" s="63"/>
      <c r="L178" s="63"/>
      <c r="M178" s="63"/>
      <c r="N178" s="63"/>
      <c r="O178" s="63"/>
      <c r="P178" s="63"/>
      <c r="Q178" s="63"/>
      <c r="R178" s="63"/>
      <c r="S178" s="63"/>
      <c r="T178" s="63"/>
      <c r="AA178" s="63"/>
      <c r="AB178" s="63"/>
      <c r="AC178" s="63"/>
      <c r="AD178" s="63"/>
      <c r="AE178" s="63"/>
      <c r="AF178" s="63"/>
      <c r="AG178" s="63"/>
      <c r="AH178" s="63"/>
      <c r="AI178" s="63"/>
      <c r="AJ178" s="63"/>
      <c r="AK178" s="63"/>
      <c r="AL178" s="63"/>
      <c r="AM178" s="63"/>
      <c r="AN178" s="63"/>
      <c r="AO178" s="63"/>
      <c r="AP178" s="63"/>
      <c r="AQ178" s="63"/>
      <c r="AR178" s="63"/>
      <c r="AS178" s="63"/>
      <c r="AT178" s="63"/>
    </row>
    <row r="179" spans="1:46" ht="15.75" hidden="1" customHeight="1" x14ac:dyDescent="0.25">
      <c r="A179" s="63"/>
      <c r="B179" s="63"/>
      <c r="C179" s="63"/>
      <c r="D179" s="63"/>
      <c r="E179" s="63"/>
      <c r="F179" s="63"/>
      <c r="G179" s="175"/>
      <c r="H179" s="179"/>
      <c r="I179" s="63"/>
      <c r="J179" s="63"/>
      <c r="K179" s="63"/>
      <c r="L179" s="63"/>
      <c r="M179" s="63"/>
      <c r="N179" s="63"/>
      <c r="O179" s="63"/>
      <c r="P179" s="63"/>
      <c r="Q179" s="63"/>
      <c r="R179" s="63"/>
      <c r="S179" s="63"/>
      <c r="T179" s="63"/>
      <c r="AA179" s="63"/>
      <c r="AB179" s="63"/>
      <c r="AC179" s="63"/>
      <c r="AD179" s="63"/>
      <c r="AE179" s="63"/>
      <c r="AF179" s="63"/>
      <c r="AG179" s="63"/>
      <c r="AH179" s="63"/>
      <c r="AI179" s="63"/>
      <c r="AJ179" s="63"/>
      <c r="AK179" s="63"/>
      <c r="AL179" s="63"/>
      <c r="AM179" s="63"/>
      <c r="AN179" s="63"/>
      <c r="AO179" s="63"/>
      <c r="AP179" s="63"/>
      <c r="AQ179" s="63"/>
      <c r="AR179" s="63"/>
      <c r="AS179" s="63"/>
      <c r="AT179" s="63"/>
    </row>
    <row r="180" spans="1:46" ht="15.75" hidden="1" customHeight="1" x14ac:dyDescent="0.25">
      <c r="A180" s="63"/>
      <c r="B180" s="63"/>
      <c r="C180" s="63"/>
      <c r="D180" s="63"/>
      <c r="E180" s="63"/>
      <c r="F180" s="63"/>
      <c r="G180" s="175"/>
      <c r="H180" s="179"/>
      <c r="I180" s="63"/>
      <c r="J180" s="63"/>
      <c r="K180" s="63"/>
      <c r="L180" s="63"/>
      <c r="M180" s="63"/>
      <c r="N180" s="63"/>
      <c r="O180" s="63"/>
      <c r="P180" s="63"/>
      <c r="Q180" s="63"/>
      <c r="R180" s="63"/>
      <c r="S180" s="63"/>
      <c r="T180" s="63"/>
      <c r="AA180" s="63"/>
      <c r="AB180" s="63"/>
      <c r="AC180" s="63"/>
      <c r="AD180" s="63"/>
      <c r="AE180" s="63"/>
      <c r="AF180" s="63"/>
      <c r="AG180" s="63"/>
      <c r="AH180" s="63"/>
      <c r="AI180" s="63"/>
      <c r="AJ180" s="63"/>
      <c r="AK180" s="63"/>
      <c r="AL180" s="63"/>
      <c r="AM180" s="63"/>
      <c r="AN180" s="63"/>
      <c r="AO180" s="63"/>
      <c r="AP180" s="63"/>
      <c r="AQ180" s="63"/>
      <c r="AR180" s="63"/>
      <c r="AS180" s="63"/>
      <c r="AT180" s="63"/>
    </row>
    <row r="181" spans="1:46" ht="15.75" hidden="1" customHeight="1" x14ac:dyDescent="0.25">
      <c r="A181" s="63"/>
      <c r="B181" s="63"/>
      <c r="C181" s="63"/>
      <c r="D181" s="63"/>
      <c r="E181" s="63"/>
      <c r="F181" s="63"/>
      <c r="G181" s="175"/>
      <c r="H181" s="179"/>
      <c r="I181" s="63"/>
      <c r="J181" s="63"/>
      <c r="K181" s="63"/>
      <c r="L181" s="63"/>
      <c r="M181" s="63"/>
      <c r="N181" s="63"/>
      <c r="O181" s="63"/>
      <c r="P181" s="63"/>
      <c r="Q181" s="63"/>
      <c r="R181" s="63"/>
      <c r="S181" s="63"/>
      <c r="T181" s="63"/>
      <c r="AA181" s="63"/>
      <c r="AB181" s="63"/>
      <c r="AC181" s="63"/>
      <c r="AD181" s="63"/>
      <c r="AE181" s="63"/>
      <c r="AF181" s="63"/>
      <c r="AG181" s="63"/>
      <c r="AH181" s="63"/>
      <c r="AI181" s="63"/>
      <c r="AJ181" s="63"/>
      <c r="AK181" s="63"/>
      <c r="AL181" s="63"/>
      <c r="AM181" s="63"/>
      <c r="AN181" s="63"/>
      <c r="AO181" s="63"/>
      <c r="AP181" s="63"/>
      <c r="AQ181" s="63"/>
      <c r="AR181" s="63"/>
      <c r="AS181" s="63"/>
      <c r="AT181" s="63"/>
    </row>
    <row r="182" spans="1:46" ht="15.75" hidden="1" customHeight="1" x14ac:dyDescent="0.25">
      <c r="A182" s="63"/>
      <c r="B182" s="63"/>
      <c r="C182" s="63"/>
      <c r="D182" s="63"/>
      <c r="E182" s="63"/>
      <c r="F182" s="63"/>
      <c r="G182" s="175"/>
      <c r="H182" s="179"/>
      <c r="I182" s="63"/>
      <c r="J182" s="63"/>
      <c r="K182" s="63"/>
      <c r="L182" s="63"/>
      <c r="M182" s="63"/>
      <c r="N182" s="63"/>
      <c r="O182" s="63"/>
      <c r="P182" s="63"/>
      <c r="Q182" s="63"/>
      <c r="R182" s="63"/>
      <c r="S182" s="63"/>
      <c r="T182" s="63"/>
      <c r="AA182" s="63"/>
      <c r="AB182" s="63"/>
      <c r="AC182" s="63"/>
      <c r="AD182" s="63"/>
      <c r="AE182" s="63"/>
      <c r="AF182" s="63"/>
      <c r="AG182" s="63"/>
      <c r="AH182" s="63"/>
      <c r="AI182" s="63"/>
      <c r="AJ182" s="63"/>
      <c r="AK182" s="63"/>
      <c r="AL182" s="63"/>
      <c r="AM182" s="63"/>
      <c r="AN182" s="63"/>
      <c r="AO182" s="63"/>
      <c r="AP182" s="63"/>
      <c r="AQ182" s="63"/>
      <c r="AR182" s="63"/>
      <c r="AS182" s="63"/>
      <c r="AT182" s="63"/>
    </row>
    <row r="183" spans="1:46" s="63" customFormat="1" ht="15.75" hidden="1" customHeight="1" x14ac:dyDescent="0.25">
      <c r="G183" s="175"/>
      <c r="H183" s="179"/>
    </row>
    <row r="184" spans="1:46" s="63" customFormat="1" ht="15.75" hidden="1" customHeight="1" x14ac:dyDescent="0.25">
      <c r="G184" s="175"/>
      <c r="H184" s="179"/>
    </row>
    <row r="185" spans="1:46" s="63" customFormat="1" ht="15.75" hidden="1" customHeight="1" x14ac:dyDescent="0.25">
      <c r="G185" s="175"/>
      <c r="H185" s="179"/>
    </row>
    <row r="186" spans="1:46" s="63" customFormat="1" ht="15.75" hidden="1" customHeight="1" x14ac:dyDescent="0.25">
      <c r="G186" s="175"/>
      <c r="H186" s="179"/>
    </row>
    <row r="187" spans="1:46" s="63" customFormat="1" ht="15.75" hidden="1" customHeight="1" x14ac:dyDescent="0.25">
      <c r="G187" s="175"/>
      <c r="H187" s="179"/>
    </row>
    <row r="188" spans="1:46" s="63" customFormat="1" ht="15.75" hidden="1" customHeight="1" x14ac:dyDescent="0.25">
      <c r="G188" s="175"/>
      <c r="H188" s="179"/>
    </row>
    <row r="189" spans="1:46" s="63" customFormat="1" ht="15.75" hidden="1" customHeight="1" x14ac:dyDescent="0.25">
      <c r="G189" s="175"/>
      <c r="H189" s="179"/>
    </row>
    <row r="190" spans="1:46" s="63" customFormat="1" ht="15.75" hidden="1" customHeight="1" x14ac:dyDescent="0.25">
      <c r="G190" s="175"/>
      <c r="H190" s="179"/>
    </row>
    <row r="191" spans="1:46" s="63" customFormat="1" ht="15.75" hidden="1" customHeight="1" x14ac:dyDescent="0.25">
      <c r="G191" s="175"/>
      <c r="H191" s="179"/>
    </row>
    <row r="192" spans="1:46" s="63" customFormat="1" ht="15.75" hidden="1" customHeight="1" x14ac:dyDescent="0.25">
      <c r="G192" s="175"/>
      <c r="H192" s="179"/>
    </row>
    <row r="193" spans="7:8" s="63" customFormat="1" ht="15.75" hidden="1" customHeight="1" x14ac:dyDescent="0.25">
      <c r="G193" s="175"/>
      <c r="H193" s="179"/>
    </row>
    <row r="194" spans="7:8" s="63" customFormat="1" ht="15.75" hidden="1" customHeight="1" x14ac:dyDescent="0.25">
      <c r="G194" s="175"/>
      <c r="H194" s="179"/>
    </row>
    <row r="195" spans="7:8" s="63" customFormat="1" ht="15.75" hidden="1" customHeight="1" x14ac:dyDescent="0.25">
      <c r="G195" s="175"/>
      <c r="H195" s="179"/>
    </row>
    <row r="196" spans="7:8" s="63" customFormat="1" ht="15.75" hidden="1" customHeight="1" x14ac:dyDescent="0.25">
      <c r="G196" s="175"/>
      <c r="H196" s="179"/>
    </row>
    <row r="197" spans="7:8" s="63" customFormat="1" ht="15.75" hidden="1" customHeight="1" x14ac:dyDescent="0.25">
      <c r="G197" s="175"/>
      <c r="H197" s="179"/>
    </row>
    <row r="198" spans="7:8" s="63" customFormat="1" ht="15.75" hidden="1" customHeight="1" x14ac:dyDescent="0.25">
      <c r="G198" s="175"/>
      <c r="H198" s="179"/>
    </row>
    <row r="199" spans="7:8" s="63" customFormat="1" ht="15.75" hidden="1" customHeight="1" x14ac:dyDescent="0.25">
      <c r="G199" s="175"/>
      <c r="H199" s="179"/>
    </row>
    <row r="200" spans="7:8" s="63" customFormat="1" ht="15.75" hidden="1" customHeight="1" x14ac:dyDescent="0.25">
      <c r="G200" s="175"/>
      <c r="H200" s="179"/>
    </row>
    <row r="201" spans="7:8" s="63" customFormat="1" ht="15.75" hidden="1" customHeight="1" x14ac:dyDescent="0.25">
      <c r="G201" s="175"/>
      <c r="H201" s="179"/>
    </row>
    <row r="202" spans="7:8" s="63" customFormat="1" ht="15.75" hidden="1" customHeight="1" x14ac:dyDescent="0.25">
      <c r="G202" s="175"/>
      <c r="H202" s="179"/>
    </row>
    <row r="203" spans="7:8" s="63" customFormat="1" ht="15.75" hidden="1" customHeight="1" x14ac:dyDescent="0.25">
      <c r="G203" s="175"/>
      <c r="H203" s="179"/>
    </row>
    <row r="204" spans="7:8" s="63" customFormat="1" ht="15.75" hidden="1" customHeight="1" x14ac:dyDescent="0.25">
      <c r="G204" s="175"/>
      <c r="H204" s="179"/>
    </row>
    <row r="205" spans="7:8" s="63" customFormat="1" ht="15.75" hidden="1" customHeight="1" x14ac:dyDescent="0.25">
      <c r="G205" s="175"/>
      <c r="H205" s="179"/>
    </row>
    <row r="206" spans="7:8" s="63" customFormat="1" ht="15.75" hidden="1" customHeight="1" x14ac:dyDescent="0.25">
      <c r="G206" s="175"/>
      <c r="H206" s="179"/>
    </row>
    <row r="207" spans="7:8" s="63" customFormat="1" ht="15.75" hidden="1" customHeight="1" x14ac:dyDescent="0.25">
      <c r="G207" s="175"/>
      <c r="H207" s="179"/>
    </row>
    <row r="208" spans="7:8" s="63" customFormat="1" ht="15.75" hidden="1" customHeight="1" x14ac:dyDescent="0.25">
      <c r="G208" s="175"/>
      <c r="H208" s="179"/>
    </row>
    <row r="209" spans="1:46" s="63" customFormat="1" ht="15.75" hidden="1" customHeight="1" x14ac:dyDescent="0.25">
      <c r="G209" s="175"/>
      <c r="H209" s="179"/>
    </row>
    <row r="210" spans="1:46" s="63" customFormat="1" ht="15.75" hidden="1" customHeight="1" x14ac:dyDescent="0.25">
      <c r="G210" s="175"/>
      <c r="H210" s="179"/>
    </row>
    <row r="211" spans="1:46" s="63" customFormat="1" ht="15.75" hidden="1" customHeight="1" x14ac:dyDescent="0.25">
      <c r="G211" s="175"/>
      <c r="H211" s="179"/>
    </row>
    <row r="212" spans="1:46" s="63" customFormat="1" ht="15.75" hidden="1" customHeight="1" x14ac:dyDescent="0.25">
      <c r="G212" s="175"/>
      <c r="H212" s="179"/>
    </row>
    <row r="213" spans="1:46" s="63" customFormat="1" ht="15.75" hidden="1" customHeight="1" x14ac:dyDescent="0.25">
      <c r="G213" s="175"/>
      <c r="H213" s="179"/>
    </row>
    <row r="214" spans="1:46" s="63" customFormat="1" ht="15.75" hidden="1" customHeight="1" x14ac:dyDescent="0.25">
      <c r="G214" s="175"/>
      <c r="H214" s="179"/>
    </row>
    <row r="215" spans="1:46" s="63" customFormat="1" ht="15.75" hidden="1" customHeight="1" x14ac:dyDescent="0.25">
      <c r="G215" s="175"/>
      <c r="H215" s="179"/>
    </row>
    <row r="216" spans="1:46" s="63" customFormat="1" ht="15.75" hidden="1" customHeight="1" x14ac:dyDescent="0.25">
      <c r="G216" s="175"/>
      <c r="H216" s="179"/>
    </row>
    <row r="217" spans="1:46" s="63" customFormat="1" ht="15.75" hidden="1" customHeight="1" x14ac:dyDescent="0.25">
      <c r="G217" s="175"/>
      <c r="H217" s="179"/>
    </row>
    <row r="218" spans="1:46" s="63" customFormat="1" ht="15.75" hidden="1" customHeight="1" x14ac:dyDescent="0.25">
      <c r="G218" s="175"/>
      <c r="H218" s="179"/>
    </row>
    <row r="219" spans="1:46" s="63" customFormat="1" ht="15.75" hidden="1" customHeight="1" x14ac:dyDescent="0.25">
      <c r="G219" s="175"/>
      <c r="H219" s="179"/>
    </row>
    <row r="220" spans="1:46" s="63" customFormat="1" ht="15.75" hidden="1" customHeight="1" x14ac:dyDescent="0.25">
      <c r="G220" s="175"/>
      <c r="H220" s="179"/>
    </row>
    <row r="221" spans="1:46" s="63" customFormat="1" ht="15.75" hidden="1" customHeight="1" x14ac:dyDescent="0.25">
      <c r="G221" s="175"/>
      <c r="H221" s="179"/>
    </row>
    <row r="222" spans="1:46" s="63" customFormat="1" ht="15.75" hidden="1" customHeight="1" x14ac:dyDescent="0.25">
      <c r="G222" s="175"/>
      <c r="H222" s="179"/>
    </row>
    <row r="223" spans="1:46" s="63" customFormat="1" ht="13.5" hidden="1" customHeight="1" x14ac:dyDescent="0.25">
      <c r="G223" s="175"/>
      <c r="H223" s="179"/>
    </row>
    <row r="224" spans="1:46" hidden="1" x14ac:dyDescent="0.25">
      <c r="A224" s="63"/>
      <c r="B224" s="63"/>
      <c r="C224" s="63"/>
      <c r="D224" s="63"/>
      <c r="E224" s="63"/>
      <c r="F224" s="63"/>
      <c r="G224" s="175"/>
      <c r="H224" s="179"/>
      <c r="I224" s="63"/>
      <c r="J224" s="63"/>
      <c r="K224" s="63"/>
      <c r="L224" s="63"/>
      <c r="M224" s="63"/>
      <c r="N224" s="63"/>
      <c r="O224" s="63"/>
      <c r="P224" s="63"/>
      <c r="Q224" s="63"/>
      <c r="R224" s="63"/>
      <c r="S224" s="63"/>
      <c r="T224" s="63"/>
      <c r="U224" s="63"/>
      <c r="V224" s="63"/>
      <c r="W224" s="63"/>
      <c r="X224" s="63"/>
      <c r="Y224" s="63"/>
      <c r="Z224" s="63"/>
      <c r="AA224" s="63"/>
      <c r="AB224" s="63"/>
      <c r="AC224" s="63"/>
      <c r="AD224" s="63"/>
      <c r="AE224" s="63"/>
      <c r="AF224" s="63"/>
      <c r="AG224" s="63"/>
      <c r="AH224" s="63"/>
      <c r="AI224" s="63"/>
      <c r="AJ224" s="63"/>
      <c r="AK224" s="63"/>
      <c r="AL224" s="63"/>
      <c r="AM224" s="63"/>
      <c r="AN224" s="63"/>
      <c r="AO224" s="63"/>
      <c r="AP224" s="63"/>
      <c r="AQ224" s="63"/>
      <c r="AR224" s="63"/>
      <c r="AS224" s="63"/>
      <c r="AT224" s="63"/>
    </row>
    <row r="225" spans="1:46" ht="17.25" customHeight="1" thickBot="1" x14ac:dyDescent="0.3">
      <c r="A225" s="63"/>
      <c r="B225" s="63"/>
      <c r="C225" s="63"/>
      <c r="D225" s="63"/>
      <c r="E225" s="63"/>
      <c r="F225" s="63"/>
      <c r="G225" s="81" t="s">
        <v>184</v>
      </c>
      <c r="H225" s="180">
        <f>COUNTIF(A:A, "300")</f>
        <v>2</v>
      </c>
      <c r="I225" s="63"/>
      <c r="J225" s="63"/>
      <c r="K225" s="63"/>
      <c r="L225" s="63"/>
      <c r="M225" s="63"/>
      <c r="N225" s="63"/>
      <c r="O225" s="63"/>
      <c r="P225" s="63"/>
      <c r="Q225" s="63"/>
      <c r="R225" s="63"/>
      <c r="S225" s="63"/>
      <c r="T225" s="63"/>
      <c r="U225" s="63"/>
      <c r="V225" s="63"/>
      <c r="W225" s="63"/>
      <c r="X225" s="63"/>
      <c r="Y225" s="63"/>
      <c r="Z225" s="63"/>
      <c r="AA225" s="63"/>
      <c r="AB225" s="63"/>
      <c r="AC225" s="63"/>
      <c r="AD225" s="63"/>
      <c r="AE225" s="63"/>
      <c r="AF225" s="63"/>
      <c r="AG225" s="63"/>
      <c r="AH225" s="63"/>
      <c r="AI225" s="63"/>
      <c r="AJ225" s="63"/>
      <c r="AK225" s="63"/>
      <c r="AL225" s="63"/>
      <c r="AM225" s="63"/>
      <c r="AN225" s="63"/>
      <c r="AO225" s="63"/>
      <c r="AP225" s="63"/>
      <c r="AQ225" s="63"/>
      <c r="AR225" s="63"/>
      <c r="AS225" s="63"/>
      <c r="AT225" s="63"/>
    </row>
    <row r="226" spans="1:46" x14ac:dyDescent="0.25">
      <c r="A226" s="63"/>
      <c r="B226" s="63"/>
      <c r="C226" s="63"/>
      <c r="D226" s="63"/>
      <c r="E226" s="63"/>
      <c r="F226" s="63"/>
      <c r="G226" s="63"/>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c r="AE226" s="63"/>
      <c r="AF226" s="63"/>
      <c r="AG226" s="63"/>
      <c r="AH226" s="63"/>
      <c r="AI226" s="63"/>
      <c r="AJ226" s="63"/>
      <c r="AK226" s="63"/>
      <c r="AL226" s="63"/>
      <c r="AM226" s="63"/>
      <c r="AN226" s="63"/>
      <c r="AO226" s="63"/>
      <c r="AP226" s="63"/>
      <c r="AQ226" s="63"/>
      <c r="AR226" s="63"/>
      <c r="AS226" s="63"/>
      <c r="AT226" s="63"/>
    </row>
    <row r="227" spans="1:46" x14ac:dyDescent="0.25">
      <c r="A227" s="63"/>
      <c r="B227" s="63"/>
      <c r="C227" s="63"/>
      <c r="D227" s="63"/>
      <c r="E227" s="63"/>
      <c r="F227" s="63"/>
      <c r="G227" s="63"/>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c r="AE227" s="63"/>
      <c r="AF227" s="63"/>
      <c r="AG227" s="63"/>
      <c r="AH227" s="63"/>
      <c r="AI227" s="63"/>
      <c r="AJ227" s="63"/>
      <c r="AK227" s="63"/>
      <c r="AL227" s="63"/>
      <c r="AM227" s="63"/>
      <c r="AN227" s="63"/>
      <c r="AO227" s="63"/>
      <c r="AP227" s="63"/>
      <c r="AQ227" s="63"/>
      <c r="AR227" s="63"/>
      <c r="AS227" s="63"/>
      <c r="AT227" s="63"/>
    </row>
    <row r="228" spans="1:46" hidden="1" x14ac:dyDescent="0.25">
      <c r="A228" s="63"/>
      <c r="B228" s="63"/>
      <c r="C228" s="63"/>
      <c r="D228" s="63"/>
      <c r="E228" s="63"/>
      <c r="F228" s="63"/>
      <c r="G228" s="63"/>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c r="AE228" s="63"/>
      <c r="AF228" s="63"/>
      <c r="AG228" s="63"/>
      <c r="AH228" s="63"/>
      <c r="AI228" s="63"/>
      <c r="AJ228" s="63"/>
      <c r="AK228" s="63"/>
      <c r="AL228" s="63"/>
      <c r="AM228" s="63"/>
      <c r="AN228" s="63"/>
      <c r="AO228" s="63"/>
      <c r="AP228" s="63"/>
      <c r="AQ228" s="63"/>
      <c r="AR228" s="63"/>
      <c r="AS228" s="63"/>
      <c r="AT228" s="63"/>
    </row>
    <row r="229" spans="1:46" hidden="1" x14ac:dyDescent="0.25">
      <c r="A229" s="63"/>
      <c r="B229" s="63"/>
      <c r="C229" s="63"/>
      <c r="D229" s="63"/>
      <c r="E229" s="63"/>
      <c r="F229" s="63"/>
      <c r="G229" s="63"/>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c r="AE229" s="63"/>
      <c r="AF229" s="63"/>
      <c r="AG229" s="63"/>
      <c r="AH229" s="63"/>
      <c r="AI229" s="63"/>
      <c r="AJ229" s="63"/>
      <c r="AK229" s="63"/>
      <c r="AL229" s="63"/>
      <c r="AM229" s="63"/>
      <c r="AN229" s="63"/>
      <c r="AO229" s="63"/>
      <c r="AP229" s="63"/>
      <c r="AQ229" s="63"/>
      <c r="AR229" s="63"/>
      <c r="AS229" s="63"/>
      <c r="AT229" s="63"/>
    </row>
    <row r="230" spans="1:46" hidden="1" x14ac:dyDescent="0.25">
      <c r="A230" s="63"/>
      <c r="B230" s="63"/>
      <c r="C230" s="63"/>
      <c r="D230" s="63"/>
      <c r="E230" s="63"/>
      <c r="F230" s="63"/>
      <c r="G230" s="63"/>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c r="AE230" s="63"/>
      <c r="AF230" s="63"/>
      <c r="AG230" s="63"/>
      <c r="AH230" s="63"/>
      <c r="AI230" s="63"/>
      <c r="AJ230" s="63"/>
      <c r="AK230" s="63"/>
      <c r="AL230" s="63"/>
      <c r="AM230" s="63"/>
      <c r="AN230" s="63"/>
      <c r="AO230" s="63"/>
      <c r="AP230" s="63"/>
      <c r="AQ230" s="63"/>
      <c r="AR230" s="63"/>
      <c r="AS230" s="63"/>
      <c r="AT230" s="63"/>
    </row>
    <row r="231" spans="1:46" s="63" customFormat="1" hidden="1" x14ac:dyDescent="0.25"/>
    <row r="232" spans="1:46" s="63" customFormat="1" hidden="1" x14ac:dyDescent="0.25"/>
    <row r="233" spans="1:46" s="63" customFormat="1" hidden="1" x14ac:dyDescent="0.25"/>
    <row r="235" spans="1:46" ht="40.5" x14ac:dyDescent="0.25">
      <c r="A235" s="56" t="s">
        <v>32</v>
      </c>
      <c r="B235" s="57" t="s">
        <v>0</v>
      </c>
      <c r="C235" s="58" t="s">
        <v>3</v>
      </c>
      <c r="D235" s="58" t="s">
        <v>75</v>
      </c>
      <c r="E235" s="58" t="s">
        <v>4</v>
      </c>
      <c r="F235" s="58" t="s">
        <v>6</v>
      </c>
      <c r="G235" s="58" t="s">
        <v>5</v>
      </c>
      <c r="H235" s="58" t="s">
        <v>7</v>
      </c>
      <c r="I235" s="58" t="s">
        <v>8</v>
      </c>
      <c r="J235" s="58" t="s">
        <v>9</v>
      </c>
      <c r="K235" s="58" t="s">
        <v>10</v>
      </c>
      <c r="L235" s="58" t="s">
        <v>11</v>
      </c>
      <c r="M235" s="58" t="s">
        <v>12</v>
      </c>
      <c r="N235" s="58" t="s">
        <v>13</v>
      </c>
      <c r="O235" s="58" t="s">
        <v>258</v>
      </c>
      <c r="P235" s="55" t="s">
        <v>243</v>
      </c>
      <c r="Q235" s="55" t="s">
        <v>244</v>
      </c>
      <c r="R235" s="55" t="s">
        <v>247</v>
      </c>
      <c r="S235" s="55" t="s">
        <v>263</v>
      </c>
      <c r="T235" s="55" t="s">
        <v>246</v>
      </c>
      <c r="U235" s="55" t="s">
        <v>264</v>
      </c>
      <c r="V235" s="55" t="s">
        <v>245</v>
      </c>
      <c r="W235" s="55" t="s">
        <v>265</v>
      </c>
      <c r="X235" s="55" t="s">
        <v>248</v>
      </c>
      <c r="Y235" s="55" t="s">
        <v>266</v>
      </c>
      <c r="Z235" s="55" t="s">
        <v>21</v>
      </c>
      <c r="AA235" s="55" t="s">
        <v>296</v>
      </c>
      <c r="AB235" s="55" t="s">
        <v>297</v>
      </c>
      <c r="AC235" s="55" t="s">
        <v>299</v>
      </c>
      <c r="AD235" s="55" t="s">
        <v>298</v>
      </c>
      <c r="AE235" s="55" t="s">
        <v>267</v>
      </c>
      <c r="AF235" s="55" t="s">
        <v>269</v>
      </c>
      <c r="AG235" s="55" t="s">
        <v>270</v>
      </c>
      <c r="AH235" s="55" t="s">
        <v>271</v>
      </c>
      <c r="AI235" s="55" t="s">
        <v>272</v>
      </c>
      <c r="AJ235" s="55" t="s">
        <v>268</v>
      </c>
      <c r="AK235" s="55" t="s">
        <v>273</v>
      </c>
      <c r="AL235" s="55" t="s">
        <v>274</v>
      </c>
      <c r="AM235" s="55" t="s">
        <v>257</v>
      </c>
      <c r="AN235" s="55" t="s">
        <v>275</v>
      </c>
      <c r="AO235" s="55" t="s">
        <v>249</v>
      </c>
      <c r="AP235" s="55" t="s">
        <v>276</v>
      </c>
      <c r="AQ235" s="55" t="s">
        <v>250</v>
      </c>
      <c r="AR235" s="55" t="s">
        <v>165</v>
      </c>
    </row>
    <row r="236" spans="1:46" ht="15.75" customHeight="1" x14ac:dyDescent="0.25">
      <c r="A236" s="61">
        <v>30</v>
      </c>
      <c r="B236" s="17"/>
      <c r="C236" s="18" t="s">
        <v>240</v>
      </c>
      <c r="D236" s="17">
        <v>2018</v>
      </c>
      <c r="E236" s="17" t="s">
        <v>44</v>
      </c>
      <c r="F236" s="17" t="s">
        <v>130</v>
      </c>
      <c r="G236" s="17" t="s">
        <v>178</v>
      </c>
      <c r="H236" s="17">
        <v>23.1</v>
      </c>
      <c r="I236" s="17">
        <v>3.1</v>
      </c>
      <c r="J236" s="17">
        <v>20</v>
      </c>
      <c r="K236" s="17" t="s">
        <v>64</v>
      </c>
      <c r="L236" s="17" t="s">
        <v>46</v>
      </c>
      <c r="M236" s="17" t="s">
        <v>67</v>
      </c>
      <c r="N236" s="17" t="s">
        <v>255</v>
      </c>
      <c r="O236" s="17" t="s">
        <v>169</v>
      </c>
      <c r="P236" s="17">
        <v>28</v>
      </c>
      <c r="Q236" s="17">
        <v>6.9</v>
      </c>
      <c r="R236" s="59">
        <v>113</v>
      </c>
      <c r="S236" s="17">
        <v>30.2</v>
      </c>
      <c r="T236" s="17">
        <v>39.1</v>
      </c>
      <c r="U236" s="17">
        <v>9.3000000000000007</v>
      </c>
      <c r="V236" s="17">
        <v>33.200000000000003</v>
      </c>
      <c r="W236" s="17">
        <v>7.4</v>
      </c>
      <c r="X236" s="17"/>
      <c r="Y236" s="17"/>
      <c r="Z236" s="17"/>
      <c r="AA236" s="17"/>
      <c r="AB236" s="17"/>
      <c r="AC236" s="17"/>
      <c r="AD236" s="17"/>
      <c r="AE236" s="17"/>
      <c r="AF236" s="17"/>
      <c r="AG236" s="17"/>
      <c r="AH236" s="17"/>
      <c r="AI236" s="17"/>
      <c r="AJ236" s="17"/>
      <c r="AK236" s="17"/>
      <c r="AL236" s="17"/>
      <c r="AM236" s="17">
        <v>14.6</v>
      </c>
      <c r="AN236" s="59">
        <v>3.5</v>
      </c>
      <c r="AO236" s="59">
        <v>78.900000000000006</v>
      </c>
      <c r="AP236" s="17">
        <v>30</v>
      </c>
      <c r="AQ236" s="17"/>
      <c r="AR236" s="17"/>
      <c r="AS236" s="17"/>
      <c r="AT236" s="17"/>
    </row>
    <row r="237" spans="1:46" ht="16.5" customHeight="1" x14ac:dyDescent="0.25">
      <c r="A237" s="61">
        <v>30</v>
      </c>
      <c r="B237" s="17"/>
      <c r="C237" s="18" t="s">
        <v>240</v>
      </c>
      <c r="D237" s="17">
        <v>2018</v>
      </c>
      <c r="E237" s="17" t="s">
        <v>44</v>
      </c>
      <c r="F237" s="17" t="s">
        <v>130</v>
      </c>
      <c r="G237" s="17" t="s">
        <v>178</v>
      </c>
      <c r="H237" s="17">
        <v>23.1</v>
      </c>
      <c r="I237" s="17">
        <v>3.1</v>
      </c>
      <c r="J237" s="17">
        <v>20</v>
      </c>
      <c r="K237" s="17" t="s">
        <v>256</v>
      </c>
      <c r="L237" s="17" t="s">
        <v>46</v>
      </c>
      <c r="M237" s="17" t="s">
        <v>67</v>
      </c>
      <c r="N237" s="17" t="s">
        <v>255</v>
      </c>
      <c r="O237" s="17" t="s">
        <v>169</v>
      </c>
      <c r="P237" s="17">
        <v>33.200000000000003</v>
      </c>
      <c r="Q237" s="60">
        <v>7.9</v>
      </c>
      <c r="R237" s="59">
        <v>115.9</v>
      </c>
      <c r="S237" s="17">
        <v>27</v>
      </c>
      <c r="T237" s="17">
        <v>42.6</v>
      </c>
      <c r="U237" s="17">
        <v>8.6999999999999993</v>
      </c>
      <c r="V237" s="17">
        <v>34.5</v>
      </c>
      <c r="W237" s="17">
        <v>6.9</v>
      </c>
      <c r="X237" s="17"/>
      <c r="Y237" s="17"/>
      <c r="Z237" s="17"/>
      <c r="AA237" s="17"/>
      <c r="AB237" s="17"/>
      <c r="AC237" s="17"/>
      <c r="AD237" s="17"/>
      <c r="AE237" s="17"/>
      <c r="AF237" s="17"/>
      <c r="AG237" s="17"/>
      <c r="AH237" s="17"/>
      <c r="AI237" s="17"/>
      <c r="AJ237" s="17"/>
      <c r="AK237" s="17"/>
      <c r="AL237" s="17"/>
      <c r="AM237" s="17">
        <v>17.399999999999999</v>
      </c>
      <c r="AN237" s="17">
        <v>4.2</v>
      </c>
      <c r="AO237" s="17">
        <v>79.2</v>
      </c>
      <c r="AP237" s="17">
        <v>26.1</v>
      </c>
      <c r="AQ237" s="17"/>
      <c r="AR237" s="17"/>
      <c r="AS237" s="17"/>
      <c r="AT237" s="17"/>
    </row>
    <row r="238" spans="1:46" ht="14.25" customHeight="1" x14ac:dyDescent="0.25">
      <c r="A238" s="61">
        <v>30</v>
      </c>
      <c r="B238" s="17"/>
      <c r="C238" s="18" t="s">
        <v>240</v>
      </c>
      <c r="D238" s="17">
        <v>2018</v>
      </c>
      <c r="E238" s="17" t="s">
        <v>44</v>
      </c>
      <c r="F238" s="17" t="s">
        <v>130</v>
      </c>
      <c r="G238" s="17" t="s">
        <v>178</v>
      </c>
      <c r="H238" s="17">
        <v>23.1</v>
      </c>
      <c r="I238" s="17">
        <v>3.1</v>
      </c>
      <c r="J238" s="17">
        <v>20</v>
      </c>
      <c r="K238" s="17" t="s">
        <v>64</v>
      </c>
      <c r="L238" s="17" t="s">
        <v>46</v>
      </c>
      <c r="M238" s="17" t="s">
        <v>122</v>
      </c>
      <c r="N238" s="17" t="s">
        <v>255</v>
      </c>
      <c r="O238" s="17" t="s">
        <v>169</v>
      </c>
      <c r="P238" s="17">
        <v>42.4</v>
      </c>
      <c r="Q238" s="17">
        <v>9.6999999999999993</v>
      </c>
      <c r="R238" s="17">
        <v>127.4</v>
      </c>
      <c r="S238" s="17">
        <v>31</v>
      </c>
      <c r="T238" s="17"/>
      <c r="U238" s="17"/>
      <c r="V238" s="17"/>
      <c r="W238" s="17"/>
      <c r="X238" s="17"/>
      <c r="Y238" s="17"/>
      <c r="Z238" s="17"/>
      <c r="AA238" s="17"/>
      <c r="AB238" s="17"/>
      <c r="AC238" s="17"/>
      <c r="AD238" s="17"/>
      <c r="AE238" s="17"/>
      <c r="AF238" s="17"/>
      <c r="AG238" s="17"/>
      <c r="AH238" s="17"/>
      <c r="AI238" s="17"/>
      <c r="AJ238" s="17"/>
      <c r="AK238" s="17"/>
      <c r="AL238" s="17"/>
      <c r="AM238" s="17">
        <v>31.1</v>
      </c>
      <c r="AN238" s="17">
        <v>6.5</v>
      </c>
      <c r="AO238" s="17">
        <v>94.7</v>
      </c>
      <c r="AP238" s="17">
        <v>28</v>
      </c>
      <c r="AQ238" s="17"/>
      <c r="AR238" s="17"/>
      <c r="AS238" s="17"/>
      <c r="AT238" s="17"/>
    </row>
    <row r="239" spans="1:46" x14ac:dyDescent="0.25">
      <c r="A239" s="61">
        <v>120</v>
      </c>
      <c r="B239" s="17"/>
      <c r="C239" s="18" t="s">
        <v>240</v>
      </c>
      <c r="D239" s="17">
        <v>2018</v>
      </c>
      <c r="E239" s="17" t="s">
        <v>44</v>
      </c>
      <c r="F239" s="17" t="s">
        <v>130</v>
      </c>
      <c r="G239" s="17" t="s">
        <v>178</v>
      </c>
      <c r="H239" s="17">
        <v>23.1</v>
      </c>
      <c r="I239" s="17">
        <v>3.1</v>
      </c>
      <c r="J239" s="17">
        <v>20</v>
      </c>
      <c r="K239" s="17" t="s">
        <v>64</v>
      </c>
      <c r="L239" s="17" t="s">
        <v>46</v>
      </c>
      <c r="M239" s="17" t="s">
        <v>67</v>
      </c>
      <c r="N239" s="17" t="s">
        <v>255</v>
      </c>
      <c r="O239" s="17" t="s">
        <v>169</v>
      </c>
      <c r="P239" s="17">
        <v>23.1</v>
      </c>
      <c r="Q239" s="17">
        <v>6.1</v>
      </c>
      <c r="R239" s="17">
        <v>97.3</v>
      </c>
      <c r="S239" s="17">
        <v>24.5</v>
      </c>
      <c r="T239" s="17">
        <v>34.200000000000003</v>
      </c>
      <c r="U239" s="17">
        <v>8.1999999999999993</v>
      </c>
      <c r="V239" s="17">
        <v>29.3</v>
      </c>
      <c r="W239" s="17">
        <v>6.7</v>
      </c>
      <c r="X239" s="17"/>
      <c r="Y239" s="17"/>
      <c r="Z239" s="17"/>
      <c r="AA239" s="17"/>
      <c r="AB239" s="17"/>
      <c r="AC239" s="17"/>
      <c r="AD239" s="17"/>
      <c r="AE239" s="17"/>
      <c r="AF239" s="17"/>
      <c r="AG239" s="17"/>
      <c r="AH239" s="17"/>
      <c r="AI239" s="17"/>
      <c r="AJ239" s="17"/>
      <c r="AK239" s="17"/>
      <c r="AL239" s="17"/>
      <c r="AM239" s="17"/>
      <c r="AN239" s="17"/>
      <c r="AO239" s="17"/>
      <c r="AP239" s="17"/>
      <c r="AQ239" s="17"/>
      <c r="AR239" s="17"/>
      <c r="AS239" s="17"/>
      <c r="AT239" s="17"/>
    </row>
    <row r="240" spans="1:46" x14ac:dyDescent="0.25">
      <c r="A240" s="61">
        <v>120</v>
      </c>
      <c r="B240" s="17"/>
      <c r="C240" s="18" t="s">
        <v>240</v>
      </c>
      <c r="D240" s="17">
        <v>2018</v>
      </c>
      <c r="E240" s="17" t="s">
        <v>44</v>
      </c>
      <c r="F240" s="17" t="s">
        <v>130</v>
      </c>
      <c r="G240" s="17" t="s">
        <v>178</v>
      </c>
      <c r="H240" s="17">
        <v>23.1</v>
      </c>
      <c r="I240" s="17">
        <v>3.1</v>
      </c>
      <c r="J240" s="17">
        <v>20</v>
      </c>
      <c r="K240" s="17" t="s">
        <v>256</v>
      </c>
      <c r="L240" s="17" t="s">
        <v>46</v>
      </c>
      <c r="M240" s="17" t="s">
        <v>67</v>
      </c>
      <c r="N240" s="17" t="s">
        <v>255</v>
      </c>
      <c r="O240" s="17" t="s">
        <v>169</v>
      </c>
      <c r="P240" s="17">
        <v>27.4</v>
      </c>
      <c r="Q240" s="17">
        <v>7.5</v>
      </c>
      <c r="R240" s="17">
        <v>100.5</v>
      </c>
      <c r="S240" s="17">
        <v>22.7</v>
      </c>
      <c r="T240" s="17">
        <v>36.1</v>
      </c>
      <c r="U240" s="17">
        <v>7.5</v>
      </c>
      <c r="V240" s="17">
        <v>30.1</v>
      </c>
      <c r="W240" s="17">
        <v>6.5</v>
      </c>
      <c r="X240" s="17"/>
      <c r="Y240" s="17"/>
      <c r="Z240" s="17"/>
      <c r="AA240" s="17"/>
      <c r="AB240" s="17"/>
      <c r="AC240" s="17"/>
      <c r="AD240" s="17"/>
      <c r="AE240" s="17"/>
      <c r="AF240" s="17"/>
      <c r="AG240" s="17"/>
      <c r="AH240" s="17"/>
      <c r="AI240" s="17"/>
      <c r="AJ240" s="17"/>
      <c r="AK240" s="17"/>
      <c r="AL240" s="17"/>
      <c r="AM240" s="17"/>
      <c r="AN240" s="17"/>
      <c r="AO240" s="17"/>
      <c r="AP240" s="17"/>
      <c r="AQ240" s="17"/>
      <c r="AR240" s="17"/>
      <c r="AS240" s="17"/>
      <c r="AT240" s="17"/>
    </row>
    <row r="241" spans="1:46" x14ac:dyDescent="0.25">
      <c r="A241" s="61">
        <v>60</v>
      </c>
      <c r="B241" s="17"/>
      <c r="C241" s="18" t="s">
        <v>55</v>
      </c>
      <c r="D241" s="17">
        <v>2010</v>
      </c>
      <c r="E241" s="17" t="s">
        <v>40</v>
      </c>
      <c r="F241" s="17" t="s">
        <v>102</v>
      </c>
      <c r="G241" s="17" t="s">
        <v>178</v>
      </c>
      <c r="H241" s="17">
        <v>23.6</v>
      </c>
      <c r="I241" s="17">
        <v>4.2</v>
      </c>
      <c r="J241" s="17">
        <v>100</v>
      </c>
      <c r="K241" s="17" t="s">
        <v>93</v>
      </c>
      <c r="L241" s="17" t="s">
        <v>66</v>
      </c>
      <c r="M241" s="17" t="s">
        <v>67</v>
      </c>
      <c r="N241" s="17" t="s">
        <v>59</v>
      </c>
      <c r="O241" s="17" t="s">
        <v>169</v>
      </c>
      <c r="P241" s="17">
        <v>23.4</v>
      </c>
      <c r="Q241" s="17">
        <v>5.4</v>
      </c>
      <c r="R241" s="17">
        <v>117.6</v>
      </c>
      <c r="S241" s="17">
        <v>23.1</v>
      </c>
      <c r="T241" s="17"/>
      <c r="U241" s="17"/>
      <c r="V241" s="17"/>
      <c r="W241" s="17"/>
      <c r="X241" s="17"/>
      <c r="Y241" s="17"/>
      <c r="Z241" s="17"/>
      <c r="AA241" s="17"/>
      <c r="AB241" s="17"/>
      <c r="AC241" s="17"/>
      <c r="AD241" s="17"/>
      <c r="AE241" s="17"/>
      <c r="AF241" s="17">
        <v>48.1</v>
      </c>
      <c r="AG241" s="17">
        <v>9.5</v>
      </c>
      <c r="AH241" s="17">
        <v>95.3</v>
      </c>
      <c r="AI241" s="17">
        <v>12.9</v>
      </c>
      <c r="AJ241" s="17"/>
      <c r="AK241" s="17"/>
      <c r="AL241" s="17"/>
      <c r="AM241" s="17">
        <v>173.8</v>
      </c>
      <c r="AN241" s="17">
        <v>36.9</v>
      </c>
      <c r="AO241" s="17">
        <v>356.9</v>
      </c>
      <c r="AP241" s="17">
        <v>61</v>
      </c>
      <c r="AQ241" s="17"/>
      <c r="AR241" s="17"/>
      <c r="AS241" s="17"/>
      <c r="AT241" s="17"/>
    </row>
    <row r="242" spans="1:46" x14ac:dyDescent="0.25">
      <c r="A242" s="61">
        <v>60</v>
      </c>
      <c r="B242" s="17"/>
      <c r="C242" s="18" t="s">
        <v>55</v>
      </c>
      <c r="D242" s="17">
        <v>2010</v>
      </c>
      <c r="E242" s="17" t="s">
        <v>40</v>
      </c>
      <c r="F242" s="17" t="s">
        <v>102</v>
      </c>
      <c r="G242" s="17" t="s">
        <v>178</v>
      </c>
      <c r="H242" s="17">
        <v>23.6</v>
      </c>
      <c r="I242" s="17">
        <v>4.2</v>
      </c>
      <c r="J242" s="17">
        <v>100</v>
      </c>
      <c r="K242" s="17" t="s">
        <v>92</v>
      </c>
      <c r="L242" s="17" t="s">
        <v>66</v>
      </c>
      <c r="M242" s="17" t="s">
        <v>67</v>
      </c>
      <c r="N242" s="17" t="s">
        <v>59</v>
      </c>
      <c r="O242" s="17" t="s">
        <v>169</v>
      </c>
      <c r="P242" s="17">
        <v>23.2</v>
      </c>
      <c r="Q242" s="17">
        <v>5</v>
      </c>
      <c r="R242" s="17">
        <v>115.4</v>
      </c>
      <c r="S242" s="17">
        <v>22</v>
      </c>
      <c r="T242" s="17"/>
      <c r="U242" s="17"/>
      <c r="V242" s="17"/>
      <c r="W242" s="17"/>
      <c r="X242" s="17"/>
      <c r="Y242" s="17"/>
      <c r="Z242" s="17"/>
      <c r="AA242" s="17"/>
      <c r="AB242" s="17"/>
      <c r="AC242" s="17"/>
      <c r="AD242" s="17"/>
      <c r="AE242" s="17"/>
      <c r="AF242" s="17">
        <v>42.2</v>
      </c>
      <c r="AG242" s="17">
        <v>8.1999999999999993</v>
      </c>
      <c r="AH242" s="17">
        <v>82.6</v>
      </c>
      <c r="AI242" s="17">
        <v>10.3</v>
      </c>
      <c r="AJ242" s="17"/>
      <c r="AK242" s="17"/>
      <c r="AL242" s="17"/>
      <c r="AM242" s="17">
        <v>150.30000000000001</v>
      </c>
      <c r="AN242" s="17">
        <v>28.7</v>
      </c>
      <c r="AO242" s="17">
        <v>302.5</v>
      </c>
      <c r="AP242" s="17">
        <v>50.4</v>
      </c>
      <c r="AQ242" s="17"/>
      <c r="AR242" s="17"/>
      <c r="AS242" s="17"/>
      <c r="AT242" s="17"/>
    </row>
    <row r="243" spans="1:46" x14ac:dyDescent="0.25">
      <c r="A243" s="61">
        <v>60</v>
      </c>
      <c r="B243" s="17"/>
      <c r="C243" s="18" t="s">
        <v>55</v>
      </c>
      <c r="D243" s="17">
        <v>2010</v>
      </c>
      <c r="E243" s="17" t="s">
        <v>40</v>
      </c>
      <c r="F243" s="17" t="s">
        <v>102</v>
      </c>
      <c r="G243" s="17" t="s">
        <v>178</v>
      </c>
      <c r="H243" s="17">
        <v>23.6</v>
      </c>
      <c r="I243" s="17">
        <v>4.2</v>
      </c>
      <c r="J243" s="17">
        <v>100</v>
      </c>
      <c r="K243" s="17" t="s">
        <v>93</v>
      </c>
      <c r="L243" s="17" t="s">
        <v>66</v>
      </c>
      <c r="M243" s="17" t="s">
        <v>122</v>
      </c>
      <c r="N243" s="17" t="s">
        <v>59</v>
      </c>
      <c r="O243" s="17" t="s">
        <v>169</v>
      </c>
      <c r="P243" s="17">
        <v>49.3</v>
      </c>
      <c r="Q243" s="17">
        <v>8</v>
      </c>
      <c r="R243" s="17">
        <v>215</v>
      </c>
      <c r="S243" s="17">
        <v>41.9</v>
      </c>
      <c r="T243" s="17"/>
      <c r="U243" s="17"/>
      <c r="V243" s="17"/>
      <c r="W243" s="17"/>
      <c r="X243" s="17"/>
      <c r="Y243" s="17"/>
      <c r="Z243" s="17"/>
      <c r="AA243" s="17"/>
      <c r="AB243" s="17"/>
      <c r="AC243" s="17"/>
      <c r="AD243" s="17"/>
      <c r="AE243" s="17"/>
      <c r="AF243" s="17">
        <v>93.7</v>
      </c>
      <c r="AG243" s="17">
        <v>14.4</v>
      </c>
      <c r="AH243" s="17">
        <v>170.2</v>
      </c>
      <c r="AI243" s="17">
        <v>17.600000000000001</v>
      </c>
      <c r="AJ243" s="17"/>
      <c r="AK243" s="17"/>
      <c r="AL243" s="17"/>
      <c r="AM243" s="17">
        <v>169.1</v>
      </c>
      <c r="AN243" s="17">
        <v>33.200000000000003</v>
      </c>
      <c r="AO243" s="17">
        <v>341.5</v>
      </c>
      <c r="AP243" s="17">
        <v>58.9</v>
      </c>
      <c r="AQ243" s="17"/>
      <c r="AR243" s="17"/>
      <c r="AS243" s="17"/>
      <c r="AT243" s="17"/>
    </row>
    <row r="244" spans="1:46" x14ac:dyDescent="0.25">
      <c r="A244" s="61">
        <v>60</v>
      </c>
      <c r="B244" s="17"/>
      <c r="C244" s="18" t="s">
        <v>55</v>
      </c>
      <c r="D244" s="17">
        <v>2010</v>
      </c>
      <c r="E244" s="17" t="s">
        <v>40</v>
      </c>
      <c r="F244" s="17" t="s">
        <v>102</v>
      </c>
      <c r="G244" s="17" t="s">
        <v>178</v>
      </c>
      <c r="H244" s="17">
        <v>23.6</v>
      </c>
      <c r="I244" s="17">
        <v>4.2</v>
      </c>
      <c r="J244" s="17">
        <v>100</v>
      </c>
      <c r="K244" s="17" t="s">
        <v>92</v>
      </c>
      <c r="L244" s="17" t="s">
        <v>66</v>
      </c>
      <c r="M244" s="17" t="s">
        <v>122</v>
      </c>
      <c r="N244" s="17" t="s">
        <v>59</v>
      </c>
      <c r="O244" s="17" t="s">
        <v>169</v>
      </c>
      <c r="P244" s="17">
        <v>49.6</v>
      </c>
      <c r="Q244" s="17">
        <v>9.1999999999999993</v>
      </c>
      <c r="R244" s="17">
        <v>208.4</v>
      </c>
      <c r="S244" s="17">
        <v>36.700000000000003</v>
      </c>
      <c r="T244" s="17"/>
      <c r="U244" s="17"/>
      <c r="V244" s="17"/>
      <c r="W244" s="17"/>
      <c r="X244" s="17"/>
      <c r="Y244" s="17"/>
      <c r="Z244" s="17"/>
      <c r="AA244" s="17"/>
      <c r="AB244" s="17"/>
      <c r="AC244" s="17"/>
      <c r="AD244" s="17"/>
      <c r="AE244" s="17"/>
      <c r="AF244" s="17">
        <v>83.2</v>
      </c>
      <c r="AG244" s="17">
        <v>13.2</v>
      </c>
      <c r="AH244" s="17">
        <v>148.69999999999999</v>
      </c>
      <c r="AI244" s="17">
        <v>16.8</v>
      </c>
      <c r="AJ244" s="17"/>
      <c r="AK244" s="17"/>
      <c r="AL244" s="17"/>
      <c r="AM244" s="17">
        <v>142.5</v>
      </c>
      <c r="AN244" s="17">
        <v>30.1</v>
      </c>
      <c r="AO244" s="17">
        <v>289.39999999999998</v>
      </c>
      <c r="AP244" s="17">
        <v>45.6</v>
      </c>
      <c r="AQ244" s="17"/>
      <c r="AR244" s="17"/>
      <c r="AS244" s="17"/>
      <c r="AT244" s="17"/>
    </row>
    <row r="245" spans="1:46" x14ac:dyDescent="0.25">
      <c r="A245" s="61">
        <v>60</v>
      </c>
      <c r="B245" s="61" t="s">
        <v>262</v>
      </c>
      <c r="C245" s="18" t="s">
        <v>259</v>
      </c>
      <c r="D245" s="17">
        <v>1994</v>
      </c>
      <c r="E245" s="17" t="s">
        <v>260</v>
      </c>
      <c r="F245" s="17" t="s">
        <v>60</v>
      </c>
      <c r="G245" s="17" t="s">
        <v>261</v>
      </c>
      <c r="H245" s="17">
        <v>21.2</v>
      </c>
      <c r="I245" s="17">
        <v>1.9</v>
      </c>
      <c r="J245" s="17">
        <v>10</v>
      </c>
      <c r="K245" s="17"/>
      <c r="L245" s="17" t="s">
        <v>66</v>
      </c>
      <c r="M245" s="17" t="s">
        <v>67</v>
      </c>
      <c r="N245" s="17" t="s">
        <v>58</v>
      </c>
      <c r="O245" s="17" t="s">
        <v>169</v>
      </c>
      <c r="P245" s="17">
        <v>33.5</v>
      </c>
      <c r="Q245" s="59">
        <v>6</v>
      </c>
      <c r="R245" s="17">
        <v>75.2</v>
      </c>
      <c r="S245" s="17">
        <v>11.7</v>
      </c>
      <c r="T245" s="17"/>
      <c r="U245" s="17"/>
      <c r="V245" s="17"/>
      <c r="W245" s="17"/>
      <c r="X245" s="59"/>
      <c r="Y245" s="17"/>
      <c r="Z245" s="17"/>
      <c r="AA245" s="17"/>
      <c r="AB245" s="17"/>
      <c r="AC245" s="17"/>
      <c r="AD245" s="17"/>
      <c r="AE245" s="17"/>
      <c r="AF245" s="17">
        <v>123.5</v>
      </c>
      <c r="AG245" s="17">
        <v>18.3</v>
      </c>
      <c r="AH245" s="17">
        <v>217.6</v>
      </c>
      <c r="AI245" s="17">
        <v>22.1</v>
      </c>
      <c r="AJ245" s="17"/>
      <c r="AK245" s="17"/>
      <c r="AL245" s="17"/>
      <c r="AM245" s="17">
        <v>154.69999999999999</v>
      </c>
      <c r="AN245" s="17">
        <v>30.6</v>
      </c>
      <c r="AO245" s="59">
        <v>314.60000000000002</v>
      </c>
      <c r="AP245" s="17">
        <v>53.2</v>
      </c>
      <c r="AQ245" s="59"/>
      <c r="AR245" s="59"/>
      <c r="AS245" s="17"/>
      <c r="AT245" s="17"/>
    </row>
    <row r="246" spans="1:46" x14ac:dyDescent="0.25">
      <c r="A246" s="61">
        <v>60</v>
      </c>
      <c r="B246" s="61" t="s">
        <v>262</v>
      </c>
      <c r="C246" s="18" t="s">
        <v>259</v>
      </c>
      <c r="D246" s="17">
        <v>1994</v>
      </c>
      <c r="E246" s="17" t="s">
        <v>44</v>
      </c>
      <c r="F246" s="17" t="s">
        <v>44</v>
      </c>
      <c r="G246" s="17" t="s">
        <v>178</v>
      </c>
      <c r="H246" s="17">
        <v>22.2</v>
      </c>
      <c r="I246" s="17">
        <v>2.2999999999999998</v>
      </c>
      <c r="J246" s="17">
        <v>10</v>
      </c>
      <c r="K246" s="17"/>
      <c r="L246" s="17" t="s">
        <v>66</v>
      </c>
      <c r="M246" s="17" t="s">
        <v>67</v>
      </c>
      <c r="N246" s="17" t="s">
        <v>58</v>
      </c>
      <c r="O246" s="17" t="s">
        <v>169</v>
      </c>
      <c r="P246" s="17">
        <v>30.1</v>
      </c>
      <c r="Q246" s="59">
        <v>5.4</v>
      </c>
      <c r="R246" s="17">
        <v>61.7</v>
      </c>
      <c r="S246" s="17">
        <v>9.9</v>
      </c>
      <c r="T246" s="17"/>
      <c r="U246" s="17"/>
      <c r="V246" s="17"/>
      <c r="W246" s="59"/>
      <c r="X246" s="59"/>
      <c r="Y246" s="17"/>
      <c r="Z246" s="17"/>
      <c r="AA246" s="17"/>
      <c r="AB246" s="17"/>
      <c r="AC246" s="17"/>
      <c r="AD246" s="17"/>
      <c r="AE246" s="17"/>
      <c r="AF246" s="17">
        <v>112.8</v>
      </c>
      <c r="AG246" s="17">
        <v>15.7</v>
      </c>
      <c r="AH246" s="17">
        <v>193.8</v>
      </c>
      <c r="AI246" s="17">
        <v>19.5</v>
      </c>
      <c r="AJ246" s="17"/>
      <c r="AK246" s="17"/>
      <c r="AL246" s="17"/>
      <c r="AM246" s="17">
        <v>131.1</v>
      </c>
      <c r="AN246" s="17">
        <v>25.4</v>
      </c>
      <c r="AO246" s="17">
        <v>268.89999999999998</v>
      </c>
      <c r="AP246" s="17">
        <v>42.3</v>
      </c>
      <c r="AQ246" s="59"/>
      <c r="AR246" s="59"/>
      <c r="AS246" s="17"/>
      <c r="AT246" s="17"/>
    </row>
    <row r="247" spans="1:46" x14ac:dyDescent="0.25">
      <c r="A247" s="61">
        <v>180</v>
      </c>
      <c r="B247" s="61" t="s">
        <v>262</v>
      </c>
      <c r="C247" s="18" t="s">
        <v>259</v>
      </c>
      <c r="D247" s="17">
        <v>1994</v>
      </c>
      <c r="E247" s="17" t="s">
        <v>260</v>
      </c>
      <c r="F247" s="17" t="s">
        <v>60</v>
      </c>
      <c r="G247" s="17" t="s">
        <v>261</v>
      </c>
      <c r="H247" s="17">
        <v>21.2</v>
      </c>
      <c r="I247" s="17">
        <v>1.9</v>
      </c>
      <c r="J247" s="17">
        <v>10</v>
      </c>
      <c r="K247" s="17"/>
      <c r="L247" s="17" t="s">
        <v>66</v>
      </c>
      <c r="M247" s="17" t="s">
        <v>67</v>
      </c>
      <c r="N247" s="17" t="s">
        <v>58</v>
      </c>
      <c r="O247" s="17" t="s">
        <v>169</v>
      </c>
      <c r="P247" s="17">
        <v>30.6</v>
      </c>
      <c r="Q247" s="62">
        <v>5.3</v>
      </c>
      <c r="R247" s="62">
        <v>63</v>
      </c>
      <c r="S247" s="17">
        <v>10.3</v>
      </c>
      <c r="T247" s="17"/>
      <c r="U247" s="17"/>
      <c r="V247" s="17"/>
      <c r="W247" s="17"/>
      <c r="X247" s="17"/>
      <c r="Y247" s="17"/>
      <c r="Z247" s="17"/>
      <c r="AA247" s="17"/>
      <c r="AB247" s="17"/>
      <c r="AC247" s="17"/>
      <c r="AD247" s="17"/>
      <c r="AE247" s="17"/>
      <c r="AF247" s="17"/>
      <c r="AG247" s="17"/>
      <c r="AH247" s="17"/>
      <c r="AI247" s="17"/>
      <c r="AJ247" s="17"/>
      <c r="AK247" s="17"/>
      <c r="AL247" s="17"/>
      <c r="AM247" s="17"/>
      <c r="AN247" s="17"/>
      <c r="AO247" s="17"/>
      <c r="AP247" s="17"/>
      <c r="AQ247" s="17"/>
      <c r="AR247" s="17"/>
      <c r="AS247" s="17"/>
      <c r="AT247" s="17"/>
    </row>
    <row r="248" spans="1:46" ht="21.75" customHeight="1" x14ac:dyDescent="0.25">
      <c r="A248" s="61">
        <v>180</v>
      </c>
      <c r="B248" s="61" t="s">
        <v>262</v>
      </c>
      <c r="C248" s="18" t="s">
        <v>259</v>
      </c>
      <c r="D248" s="17">
        <v>1994</v>
      </c>
      <c r="E248" s="17" t="s">
        <v>44</v>
      </c>
      <c r="F248" s="17" t="s">
        <v>44</v>
      </c>
      <c r="G248" s="17" t="s">
        <v>178</v>
      </c>
      <c r="H248" s="17">
        <v>22.2</v>
      </c>
      <c r="I248" s="17">
        <v>2.2999999999999998</v>
      </c>
      <c r="J248" s="17">
        <v>10</v>
      </c>
      <c r="K248" s="17"/>
      <c r="L248" s="17" t="s">
        <v>66</v>
      </c>
      <c r="M248" s="17" t="s">
        <v>67</v>
      </c>
      <c r="N248" s="17" t="s">
        <v>58</v>
      </c>
      <c r="O248" s="17" t="s">
        <v>169</v>
      </c>
      <c r="P248" s="17">
        <v>27.3</v>
      </c>
      <c r="Q248" s="62">
        <v>5.0999999999999996</v>
      </c>
      <c r="R248" s="62">
        <v>56.3</v>
      </c>
      <c r="S248" s="17">
        <v>9</v>
      </c>
      <c r="T248" s="17"/>
      <c r="U248" s="17"/>
      <c r="V248" s="17"/>
      <c r="W248" s="17"/>
      <c r="X248" s="17"/>
      <c r="Y248" s="17"/>
      <c r="Z248" s="17"/>
      <c r="AA248" s="17"/>
      <c r="AB248" s="17"/>
      <c r="AC248" s="17"/>
      <c r="AD248" s="17"/>
      <c r="AE248" s="17"/>
      <c r="AF248" s="17"/>
      <c r="AG248" s="17"/>
      <c r="AH248" s="17"/>
      <c r="AI248" s="17"/>
      <c r="AJ248" s="17"/>
      <c r="AK248" s="17"/>
      <c r="AL248" s="17"/>
      <c r="AM248" s="17"/>
      <c r="AN248" s="17"/>
      <c r="AO248" s="17"/>
      <c r="AP248" s="17"/>
      <c r="AQ248" s="17"/>
      <c r="AR248" s="17"/>
      <c r="AS248" s="17"/>
      <c r="AT248" s="17"/>
    </row>
    <row r="249" spans="1:46" x14ac:dyDescent="0.25">
      <c r="A249" s="61">
        <v>300</v>
      </c>
      <c r="B249" s="61" t="s">
        <v>262</v>
      </c>
      <c r="C249" s="18" t="s">
        <v>259</v>
      </c>
      <c r="D249" s="17">
        <v>1994</v>
      </c>
      <c r="E249" s="17" t="s">
        <v>260</v>
      </c>
      <c r="F249" s="17" t="s">
        <v>60</v>
      </c>
      <c r="G249" s="17" t="s">
        <v>261</v>
      </c>
      <c r="H249" s="17">
        <v>21.2</v>
      </c>
      <c r="I249" s="17">
        <v>1.9</v>
      </c>
      <c r="J249" s="17">
        <v>10</v>
      </c>
      <c r="K249" s="17"/>
      <c r="L249" s="17" t="s">
        <v>66</v>
      </c>
      <c r="M249" s="17" t="s">
        <v>67</v>
      </c>
      <c r="N249" s="17" t="s">
        <v>58</v>
      </c>
      <c r="O249" s="17" t="s">
        <v>169</v>
      </c>
      <c r="P249" s="17">
        <v>26.2</v>
      </c>
      <c r="Q249" s="62">
        <v>4.8</v>
      </c>
      <c r="R249" s="62">
        <v>54.9</v>
      </c>
      <c r="S249" s="17">
        <v>8.6999999999999993</v>
      </c>
      <c r="T249" s="17"/>
      <c r="U249" s="17"/>
      <c r="V249" s="17"/>
      <c r="W249" s="17"/>
      <c r="X249" s="17"/>
      <c r="Y249" s="17"/>
      <c r="Z249" s="17"/>
      <c r="AA249" s="17"/>
      <c r="AB249" s="17"/>
      <c r="AC249" s="17"/>
      <c r="AD249" s="17"/>
      <c r="AE249" s="17"/>
      <c r="AF249" s="17"/>
      <c r="AG249" s="17"/>
      <c r="AH249" s="17"/>
      <c r="AI249" s="17"/>
      <c r="AJ249" s="17"/>
      <c r="AK249" s="17"/>
      <c r="AL249" s="17"/>
      <c r="AM249" s="17"/>
      <c r="AN249" s="17"/>
      <c r="AO249" s="17"/>
      <c r="AP249" s="17"/>
      <c r="AQ249" s="17"/>
      <c r="AR249" s="17"/>
      <c r="AS249" s="17"/>
      <c r="AT249" s="17"/>
    </row>
    <row r="250" spans="1:46" x14ac:dyDescent="0.25">
      <c r="A250" s="61">
        <v>300</v>
      </c>
      <c r="B250" s="61" t="s">
        <v>262</v>
      </c>
      <c r="C250" s="18" t="s">
        <v>259</v>
      </c>
      <c r="D250" s="17">
        <v>1994</v>
      </c>
      <c r="E250" s="17" t="s">
        <v>44</v>
      </c>
      <c r="F250" s="17" t="s">
        <v>44</v>
      </c>
      <c r="G250" s="17" t="s">
        <v>178</v>
      </c>
      <c r="H250" s="17">
        <v>22.2</v>
      </c>
      <c r="I250" s="17">
        <v>2.2999999999999998</v>
      </c>
      <c r="J250" s="17">
        <v>10</v>
      </c>
      <c r="K250" s="17"/>
      <c r="L250" s="17" t="s">
        <v>66</v>
      </c>
      <c r="M250" s="17" t="s">
        <v>67</v>
      </c>
      <c r="N250" s="17" t="s">
        <v>58</v>
      </c>
      <c r="O250" s="17" t="s">
        <v>169</v>
      </c>
      <c r="P250" s="17">
        <v>23.8</v>
      </c>
      <c r="Q250" s="62">
        <v>4.3</v>
      </c>
      <c r="R250" s="62">
        <v>49.5</v>
      </c>
      <c r="S250" s="17">
        <v>7.6</v>
      </c>
      <c r="T250" s="17"/>
      <c r="U250" s="17"/>
      <c r="V250" s="17"/>
      <c r="W250" s="17"/>
      <c r="X250" s="17"/>
      <c r="Y250" s="17"/>
      <c r="Z250" s="17"/>
      <c r="AA250" s="17"/>
      <c r="AB250" s="17"/>
      <c r="AC250" s="17"/>
      <c r="AD250" s="17"/>
      <c r="AE250" s="17"/>
      <c r="AF250" s="17"/>
      <c r="AG250" s="17"/>
      <c r="AH250" s="17"/>
      <c r="AI250" s="17"/>
      <c r="AJ250" s="17"/>
      <c r="AK250" s="17"/>
      <c r="AL250" s="17"/>
      <c r="AM250" s="17"/>
      <c r="AN250" s="17"/>
      <c r="AO250" s="17"/>
      <c r="AP250" s="17"/>
      <c r="AQ250" s="17"/>
      <c r="AR250" s="17"/>
      <c r="AS250" s="17"/>
      <c r="AT250" s="17"/>
    </row>
    <row r="251" spans="1:46" ht="24.75" customHeight="1" x14ac:dyDescent="0.25">
      <c r="A251" s="61">
        <v>60</v>
      </c>
      <c r="B251" s="25" t="s">
        <v>300</v>
      </c>
      <c r="C251" s="18" t="s">
        <v>294</v>
      </c>
      <c r="D251" s="17">
        <v>2024</v>
      </c>
      <c r="E251" s="17" t="s">
        <v>37</v>
      </c>
      <c r="F251" s="17" t="s">
        <v>102</v>
      </c>
      <c r="G251" s="17" t="s">
        <v>178</v>
      </c>
      <c r="H251" s="17">
        <v>27.8</v>
      </c>
      <c r="I251" s="17">
        <v>5.3</v>
      </c>
      <c r="J251" s="17">
        <v>25</v>
      </c>
      <c r="K251" s="17" t="s">
        <v>64</v>
      </c>
      <c r="L251" s="17" t="s">
        <v>66</v>
      </c>
      <c r="M251" s="17" t="s">
        <v>67</v>
      </c>
      <c r="N251" s="17" t="s">
        <v>295</v>
      </c>
      <c r="O251" s="17" t="s">
        <v>169</v>
      </c>
      <c r="P251" s="17"/>
      <c r="Q251" s="17"/>
      <c r="R251" s="17"/>
      <c r="S251" s="17"/>
      <c r="T251" s="17">
        <v>39.299999999999997</v>
      </c>
      <c r="U251" s="17">
        <v>5.5</v>
      </c>
      <c r="V251" s="17">
        <v>32.5</v>
      </c>
      <c r="W251" s="17">
        <v>6.8</v>
      </c>
      <c r="X251" s="17"/>
      <c r="Y251" s="17"/>
      <c r="Z251" s="17"/>
      <c r="AA251" s="17">
        <v>0.44</v>
      </c>
      <c r="AB251" s="17">
        <v>8.0000000000000002E-3</v>
      </c>
      <c r="AC251" s="17">
        <v>0.36</v>
      </c>
      <c r="AD251" s="17">
        <v>6.0000000000000001E-3</v>
      </c>
      <c r="AE251" s="17"/>
      <c r="AF251" s="17"/>
      <c r="AG251" s="17"/>
      <c r="AH251" s="17"/>
      <c r="AI251" s="17"/>
      <c r="AJ251" s="17"/>
      <c r="AK251" s="17"/>
      <c r="AL251" s="17"/>
      <c r="AM251" s="17"/>
      <c r="AN251" s="17"/>
      <c r="AO251" s="17"/>
      <c r="AP251" s="17"/>
      <c r="AQ251" s="17"/>
      <c r="AR251" s="17"/>
      <c r="AS251" s="17"/>
      <c r="AT251" s="17"/>
    </row>
    <row r="252" spans="1:46" ht="27.75" customHeight="1" x14ac:dyDescent="0.25">
      <c r="A252" s="61">
        <v>60</v>
      </c>
      <c r="B252" s="25" t="s">
        <v>300</v>
      </c>
      <c r="C252" s="18" t="s">
        <v>294</v>
      </c>
      <c r="D252" s="17">
        <v>2024</v>
      </c>
      <c r="E252" s="17" t="s">
        <v>37</v>
      </c>
      <c r="F252" s="17" t="s">
        <v>102</v>
      </c>
      <c r="G252" s="17" t="s">
        <v>178</v>
      </c>
      <c r="H252" s="17">
        <v>27.8</v>
      </c>
      <c r="I252" s="17">
        <v>5.3</v>
      </c>
      <c r="J252" s="17">
        <v>25</v>
      </c>
      <c r="K252" s="17" t="s">
        <v>256</v>
      </c>
      <c r="L252" s="17" t="s">
        <v>66</v>
      </c>
      <c r="M252" s="17" t="s">
        <v>67</v>
      </c>
      <c r="N252" s="17" t="s">
        <v>295</v>
      </c>
      <c r="O252" s="17" t="s">
        <v>169</v>
      </c>
      <c r="P252" s="17"/>
      <c r="Q252" s="62"/>
      <c r="R252" s="17"/>
      <c r="S252" s="62"/>
      <c r="T252" s="17">
        <v>39.700000000000003</v>
      </c>
      <c r="U252" s="62">
        <v>6.3</v>
      </c>
      <c r="V252" s="17">
        <v>31.5</v>
      </c>
      <c r="W252" s="62">
        <v>5</v>
      </c>
      <c r="X252" s="17"/>
      <c r="Y252" s="17"/>
      <c r="Z252" s="17"/>
      <c r="AA252" s="17">
        <v>0.44</v>
      </c>
      <c r="AB252" s="17">
        <v>8.0000000000000002E-3</v>
      </c>
      <c r="AC252" s="17">
        <v>0.35</v>
      </c>
      <c r="AD252" s="17">
        <v>6.0000000000000001E-3</v>
      </c>
      <c r="AE252" s="17"/>
      <c r="AF252" s="17"/>
      <c r="AG252" s="17"/>
      <c r="AH252" s="17"/>
      <c r="AI252" s="17"/>
      <c r="AJ252" s="17"/>
      <c r="AK252" s="17"/>
      <c r="AL252" s="17"/>
      <c r="AM252" s="17"/>
      <c r="AN252" s="17"/>
      <c r="AO252" s="17"/>
      <c r="AP252" s="17"/>
      <c r="AQ252" s="17"/>
      <c r="AR252" s="17"/>
      <c r="AS252" s="17"/>
      <c r="AT252" s="17"/>
    </row>
    <row r="253" spans="1:46" ht="27" customHeight="1" x14ac:dyDescent="0.25">
      <c r="A253" s="61">
        <v>150</v>
      </c>
      <c r="B253" s="25" t="s">
        <v>300</v>
      </c>
      <c r="C253" s="18" t="s">
        <v>294</v>
      </c>
      <c r="D253" s="17">
        <v>2024</v>
      </c>
      <c r="E253" s="17" t="s">
        <v>37</v>
      </c>
      <c r="F253" s="17" t="s">
        <v>102</v>
      </c>
      <c r="G253" s="17" t="s">
        <v>178</v>
      </c>
      <c r="H253" s="17">
        <v>27.8</v>
      </c>
      <c r="I253" s="17">
        <v>5.3</v>
      </c>
      <c r="J253" s="17">
        <v>25</v>
      </c>
      <c r="K253" s="17" t="s">
        <v>64</v>
      </c>
      <c r="L253" s="17" t="s">
        <v>66</v>
      </c>
      <c r="M253" s="17" t="s">
        <v>67</v>
      </c>
      <c r="N253" s="17" t="s">
        <v>295</v>
      </c>
      <c r="O253" s="17" t="s">
        <v>169</v>
      </c>
      <c r="P253" s="61"/>
      <c r="Q253" s="61"/>
      <c r="R253" s="61"/>
      <c r="S253" s="17"/>
      <c r="T253" s="17">
        <v>29.8</v>
      </c>
      <c r="U253" s="17">
        <v>3.8</v>
      </c>
      <c r="V253" s="17">
        <v>23.3</v>
      </c>
      <c r="W253" s="17">
        <v>4</v>
      </c>
      <c r="X253" s="61"/>
      <c r="Y253" s="61"/>
      <c r="Z253" s="61"/>
      <c r="AA253" s="61">
        <v>0.33</v>
      </c>
      <c r="AB253" s="61">
        <v>6.0000000000000001E-3</v>
      </c>
      <c r="AC253" s="61">
        <v>0.34</v>
      </c>
      <c r="AD253" s="61">
        <v>5.0000000000000001E-3</v>
      </c>
      <c r="AE253" s="61"/>
      <c r="AF253" s="61"/>
      <c r="AG253" s="61"/>
      <c r="AH253" s="61"/>
      <c r="AI253" s="61"/>
      <c r="AJ253" s="61"/>
      <c r="AK253" s="17"/>
      <c r="AL253" s="17"/>
      <c r="AM253" s="17"/>
      <c r="AN253" s="17"/>
      <c r="AO253" s="17"/>
      <c r="AP253" s="17"/>
      <c r="AQ253" s="17"/>
      <c r="AR253" s="17"/>
      <c r="AS253" s="17"/>
      <c r="AT253" s="17"/>
    </row>
    <row r="254" spans="1:46" ht="30" customHeight="1" x14ac:dyDescent="0.25">
      <c r="A254" s="61">
        <v>150</v>
      </c>
      <c r="B254" s="25" t="s">
        <v>300</v>
      </c>
      <c r="C254" s="18" t="s">
        <v>294</v>
      </c>
      <c r="D254" s="17">
        <v>2024</v>
      </c>
      <c r="E254" s="17" t="s">
        <v>37</v>
      </c>
      <c r="F254" s="17" t="s">
        <v>102</v>
      </c>
      <c r="G254" s="17" t="s">
        <v>178</v>
      </c>
      <c r="H254" s="17">
        <v>27.8</v>
      </c>
      <c r="I254" s="17">
        <v>5.3</v>
      </c>
      <c r="J254" s="17">
        <v>25</v>
      </c>
      <c r="K254" s="17" t="s">
        <v>256</v>
      </c>
      <c r="L254" s="17" t="s">
        <v>66</v>
      </c>
      <c r="M254" s="17" t="s">
        <v>67</v>
      </c>
      <c r="N254" s="17" t="s">
        <v>295</v>
      </c>
      <c r="O254" s="17" t="s">
        <v>169</v>
      </c>
      <c r="P254" s="17"/>
      <c r="Q254" s="17"/>
      <c r="R254" s="17"/>
      <c r="S254" s="17"/>
      <c r="T254" s="17">
        <v>30.5</v>
      </c>
      <c r="U254" s="17">
        <v>4</v>
      </c>
      <c r="V254" s="17">
        <v>23.8</v>
      </c>
      <c r="W254" s="17">
        <v>3.6</v>
      </c>
      <c r="X254" s="17"/>
      <c r="Y254" s="17"/>
      <c r="Z254" s="17"/>
      <c r="AA254" s="17"/>
      <c r="AB254" s="17"/>
      <c r="AC254" s="17"/>
      <c r="AD254" s="17"/>
      <c r="AE254" s="17"/>
      <c r="AF254" s="17"/>
      <c r="AG254" s="17"/>
      <c r="AH254" s="17"/>
      <c r="AI254" s="17"/>
      <c r="AJ254" s="17"/>
      <c r="AK254" s="17"/>
      <c r="AL254" s="17"/>
      <c r="AM254" s="17"/>
      <c r="AN254" s="17"/>
      <c r="AO254" s="17"/>
      <c r="AP254" s="17"/>
      <c r="AQ254" s="17"/>
      <c r="AR254" s="17"/>
      <c r="AS254" s="17"/>
      <c r="AT254" s="17"/>
    </row>
    <row r="255" spans="1:46" x14ac:dyDescent="0.25">
      <c r="A255" s="61">
        <v>30</v>
      </c>
      <c r="B255" s="17"/>
      <c r="C255" s="18" t="s">
        <v>33</v>
      </c>
      <c r="D255" s="17"/>
      <c r="E255" s="17" t="s">
        <v>37</v>
      </c>
      <c r="F255" s="17" t="s">
        <v>102</v>
      </c>
      <c r="G255" s="17" t="s">
        <v>71</v>
      </c>
      <c r="H255" s="17">
        <v>23.2</v>
      </c>
      <c r="I255" s="17">
        <v>2.7</v>
      </c>
      <c r="J255" s="17">
        <v>15</v>
      </c>
      <c r="K255" s="17" t="s">
        <v>92</v>
      </c>
      <c r="L255" s="17" t="s">
        <v>66</v>
      </c>
      <c r="M255" s="17" t="s">
        <v>67</v>
      </c>
      <c r="N255" s="17" t="s">
        <v>59</v>
      </c>
      <c r="O255" s="17" t="s">
        <v>169</v>
      </c>
      <c r="P255" s="17">
        <v>17</v>
      </c>
      <c r="Q255" s="17">
        <v>3.9</v>
      </c>
      <c r="R255" s="17">
        <v>113.4</v>
      </c>
      <c r="S255" s="17">
        <v>15.9</v>
      </c>
      <c r="T255" s="17"/>
      <c r="U255" s="17"/>
      <c r="V255" s="17"/>
      <c r="W255" s="17"/>
      <c r="X255" s="17">
        <v>0.19</v>
      </c>
      <c r="Y255" s="17">
        <v>0.04</v>
      </c>
      <c r="Z255" s="17"/>
      <c r="AA255" s="17"/>
      <c r="AB255" s="17"/>
      <c r="AC255" s="17"/>
      <c r="AD255" s="17"/>
      <c r="AE255" s="17"/>
      <c r="AF255" s="17"/>
      <c r="AG255" s="17"/>
      <c r="AH255" s="17"/>
      <c r="AI255" s="17"/>
      <c r="AJ255" s="17"/>
      <c r="AK255" s="17"/>
      <c r="AL255" s="17"/>
      <c r="AM255" s="17"/>
      <c r="AN255" s="17"/>
      <c r="AO255" s="17"/>
      <c r="AP255" s="17"/>
      <c r="AQ255" s="17"/>
      <c r="AR255" s="17"/>
      <c r="AS255" s="17"/>
      <c r="AT255" s="17"/>
    </row>
    <row r="256" spans="1:46" x14ac:dyDescent="0.25">
      <c r="A256" s="61">
        <v>60</v>
      </c>
      <c r="B256" s="17"/>
      <c r="C256" s="18" t="s">
        <v>33</v>
      </c>
      <c r="D256" s="17"/>
      <c r="E256" s="17" t="s">
        <v>37</v>
      </c>
      <c r="F256" s="17" t="s">
        <v>102</v>
      </c>
      <c r="G256" s="17" t="s">
        <v>71</v>
      </c>
      <c r="H256" s="17">
        <v>23.2</v>
      </c>
      <c r="I256" s="17">
        <v>2.7</v>
      </c>
      <c r="J256" s="17">
        <v>15</v>
      </c>
      <c r="K256" s="17" t="s">
        <v>93</v>
      </c>
      <c r="L256" s="17" t="s">
        <v>66</v>
      </c>
      <c r="M256" s="17" t="s">
        <v>67</v>
      </c>
      <c r="N256" s="17" t="s">
        <v>59</v>
      </c>
      <c r="O256" s="17" t="s">
        <v>169</v>
      </c>
      <c r="P256" s="17" t="s">
        <v>321</v>
      </c>
      <c r="Q256" s="17">
        <v>3.9</v>
      </c>
      <c r="R256" s="91">
        <v>98.8</v>
      </c>
      <c r="S256" s="17">
        <v>13.3</v>
      </c>
      <c r="T256" s="17"/>
      <c r="U256" s="17"/>
      <c r="V256" s="17"/>
      <c r="W256" s="17"/>
      <c r="X256" s="17">
        <v>0.16</v>
      </c>
      <c r="Y256" s="17">
        <v>0.04</v>
      </c>
      <c r="Z256" s="17"/>
      <c r="AA256" s="17"/>
      <c r="AB256" s="17"/>
      <c r="AC256" s="17"/>
      <c r="AD256" s="17"/>
      <c r="AE256" s="17"/>
      <c r="AF256" s="17"/>
      <c r="AG256" s="17"/>
      <c r="AH256" s="17"/>
      <c r="AI256" s="17"/>
      <c r="AJ256" s="17"/>
      <c r="AK256" s="17"/>
      <c r="AL256" s="17"/>
      <c r="AM256" s="17"/>
      <c r="AN256" s="17"/>
      <c r="AO256" s="17"/>
      <c r="AP256" s="17"/>
      <c r="AQ256" s="17"/>
      <c r="AR256" s="17"/>
      <c r="AS256" s="17"/>
      <c r="AT256" s="17"/>
    </row>
    <row r="257" spans="1:46" x14ac:dyDescent="0.25">
      <c r="A257" s="61">
        <v>30</v>
      </c>
      <c r="B257" s="17"/>
      <c r="C257" s="18" t="s">
        <v>33</v>
      </c>
      <c r="D257" s="17"/>
      <c r="E257" s="17" t="s">
        <v>37</v>
      </c>
      <c r="F257" s="17" t="s">
        <v>102</v>
      </c>
      <c r="G257" s="17" t="s">
        <v>72</v>
      </c>
      <c r="H257" s="17">
        <v>23.9</v>
      </c>
      <c r="I257" s="17">
        <v>4.2</v>
      </c>
      <c r="J257" s="17">
        <v>14</v>
      </c>
      <c r="K257" s="17" t="s">
        <v>92</v>
      </c>
      <c r="L257" s="17" t="s">
        <v>66</v>
      </c>
      <c r="M257" s="17" t="s">
        <v>67</v>
      </c>
      <c r="N257" s="17" t="s">
        <v>59</v>
      </c>
      <c r="O257" s="17" t="s">
        <v>169</v>
      </c>
      <c r="P257" s="17">
        <v>31</v>
      </c>
      <c r="Q257" s="17">
        <v>8.3000000000000007</v>
      </c>
      <c r="R257" s="17">
        <v>140.1</v>
      </c>
      <c r="S257" s="17">
        <v>12.9</v>
      </c>
      <c r="T257" s="17"/>
      <c r="U257" s="17"/>
      <c r="V257" s="17"/>
      <c r="W257" s="17"/>
      <c r="X257" s="17">
        <v>0.3</v>
      </c>
      <c r="Y257" s="17">
        <v>0.08</v>
      </c>
      <c r="Z257" s="17"/>
      <c r="AA257" s="17"/>
      <c r="AB257" s="17"/>
      <c r="AC257" s="17"/>
      <c r="AD257" s="17"/>
      <c r="AE257" s="17"/>
      <c r="AF257" s="17"/>
      <c r="AG257" s="17"/>
      <c r="AH257" s="17"/>
      <c r="AI257" s="17"/>
      <c r="AJ257" s="17"/>
      <c r="AK257" s="17"/>
      <c r="AL257" s="17"/>
      <c r="AM257" s="17"/>
      <c r="AN257" s="17"/>
      <c r="AO257" s="17"/>
      <c r="AP257" s="17"/>
      <c r="AQ257" s="17"/>
      <c r="AR257" s="17"/>
      <c r="AS257" s="17"/>
      <c r="AT257" s="17"/>
    </row>
    <row r="258" spans="1:46" x14ac:dyDescent="0.25">
      <c r="A258" s="61">
        <v>60</v>
      </c>
      <c r="B258" s="17"/>
      <c r="C258" s="18" t="s">
        <v>33</v>
      </c>
      <c r="D258" s="17"/>
      <c r="E258" s="17" t="s">
        <v>37</v>
      </c>
      <c r="F258" s="17" t="s">
        <v>102</v>
      </c>
      <c r="G258" s="17" t="s">
        <v>72</v>
      </c>
      <c r="H258" s="17">
        <v>23.9</v>
      </c>
      <c r="I258" s="17">
        <v>4.2</v>
      </c>
      <c r="J258" s="17">
        <v>14</v>
      </c>
      <c r="K258" s="17" t="s">
        <v>93</v>
      </c>
      <c r="L258" s="17" t="s">
        <v>66</v>
      </c>
      <c r="M258" s="17" t="s">
        <v>67</v>
      </c>
      <c r="N258" s="17" t="s">
        <v>59</v>
      </c>
      <c r="O258" s="17" t="s">
        <v>169</v>
      </c>
      <c r="P258" s="17">
        <v>21.8</v>
      </c>
      <c r="Q258" s="17">
        <v>5.8</v>
      </c>
      <c r="R258" s="17">
        <v>125</v>
      </c>
      <c r="S258" s="17">
        <v>11.3</v>
      </c>
      <c r="T258" s="17"/>
      <c r="U258" s="17"/>
      <c r="V258" s="17"/>
      <c r="W258" s="17"/>
      <c r="X258" s="17">
        <v>0.21</v>
      </c>
      <c r="Y258" s="17">
        <v>0.05</v>
      </c>
      <c r="Z258" s="17"/>
      <c r="AA258" s="17"/>
      <c r="AB258" s="17"/>
      <c r="AC258" s="17"/>
      <c r="AD258" s="17"/>
      <c r="AE258" s="17"/>
      <c r="AF258" s="17"/>
      <c r="AG258" s="17"/>
      <c r="AH258" s="17"/>
      <c r="AI258" s="17"/>
      <c r="AJ258" s="17"/>
      <c r="AK258" s="17"/>
      <c r="AL258" s="17"/>
      <c r="AM258" s="17"/>
      <c r="AN258" s="17"/>
      <c r="AO258" s="17"/>
      <c r="AP258" s="17"/>
      <c r="AQ258" s="17"/>
      <c r="AR258" s="17"/>
      <c r="AS258" s="17"/>
      <c r="AT258" s="17"/>
    </row>
    <row r="259" spans="1:46" x14ac:dyDescent="0.25">
      <c r="A259" s="61">
        <v>30</v>
      </c>
      <c r="B259" s="17"/>
      <c r="C259" s="18" t="s">
        <v>33</v>
      </c>
      <c r="D259" s="17"/>
      <c r="E259" s="17" t="s">
        <v>37</v>
      </c>
      <c r="F259" s="17" t="s">
        <v>102</v>
      </c>
      <c r="G259" s="17" t="s">
        <v>73</v>
      </c>
      <c r="H259" s="17">
        <v>25.2</v>
      </c>
      <c r="I259" s="17">
        <v>2.8</v>
      </c>
      <c r="J259" s="17">
        <v>14</v>
      </c>
      <c r="K259" s="17" t="s">
        <v>92</v>
      </c>
      <c r="L259" s="17" t="s">
        <v>66</v>
      </c>
      <c r="M259" s="17" t="s">
        <v>67</v>
      </c>
      <c r="N259" s="17" t="s">
        <v>59</v>
      </c>
      <c r="O259" s="17" t="s">
        <v>169</v>
      </c>
      <c r="P259" s="17">
        <v>35.5</v>
      </c>
      <c r="Q259" s="17">
        <v>7.4</v>
      </c>
      <c r="R259" s="17">
        <v>155.80000000000001</v>
      </c>
      <c r="S259" s="17">
        <v>15.5</v>
      </c>
      <c r="T259" s="17"/>
      <c r="U259" s="17"/>
      <c r="V259" s="17"/>
      <c r="W259" s="17"/>
      <c r="X259" s="17">
        <v>0.34</v>
      </c>
      <c r="Y259" s="17">
        <v>0.06</v>
      </c>
      <c r="Z259" s="17"/>
      <c r="AA259" s="17"/>
      <c r="AB259" s="17"/>
      <c r="AC259" s="17"/>
      <c r="AD259" s="17"/>
      <c r="AE259" s="17"/>
      <c r="AF259" s="17"/>
      <c r="AG259" s="17"/>
      <c r="AH259" s="17"/>
      <c r="AI259" s="17"/>
      <c r="AJ259" s="17"/>
      <c r="AK259" s="17"/>
      <c r="AL259" s="17"/>
      <c r="AM259" s="17"/>
      <c r="AN259" s="17"/>
      <c r="AO259" s="17"/>
      <c r="AP259" s="17"/>
      <c r="AQ259" s="17"/>
      <c r="AR259" s="17"/>
      <c r="AS259" s="17"/>
      <c r="AT259" s="17"/>
    </row>
    <row r="260" spans="1:46" x14ac:dyDescent="0.25">
      <c r="A260" s="61">
        <v>60</v>
      </c>
      <c r="B260" s="17"/>
      <c r="C260" s="18" t="s">
        <v>33</v>
      </c>
      <c r="D260" s="17"/>
      <c r="E260" s="17" t="s">
        <v>37</v>
      </c>
      <c r="F260" s="17" t="s">
        <v>102</v>
      </c>
      <c r="G260" s="17" t="s">
        <v>73</v>
      </c>
      <c r="H260" s="17">
        <v>25.2</v>
      </c>
      <c r="I260" s="17">
        <v>2.8</v>
      </c>
      <c r="J260" s="17">
        <v>14</v>
      </c>
      <c r="K260" s="17" t="s">
        <v>93</v>
      </c>
      <c r="L260" s="17" t="s">
        <v>66</v>
      </c>
      <c r="M260" s="17" t="s">
        <v>67</v>
      </c>
      <c r="N260" s="17" t="s">
        <v>59</v>
      </c>
      <c r="O260" s="17" t="s">
        <v>169</v>
      </c>
      <c r="P260" s="17">
        <v>29</v>
      </c>
      <c r="Q260" s="17">
        <v>7.3</v>
      </c>
      <c r="R260" s="17">
        <v>129.69999999999999</v>
      </c>
      <c r="S260" s="17">
        <v>14.2</v>
      </c>
      <c r="T260" s="17"/>
      <c r="U260" s="17"/>
      <c r="V260" s="17"/>
      <c r="W260" s="17"/>
      <c r="X260" s="17">
        <v>0.28000000000000003</v>
      </c>
      <c r="Y260" s="17">
        <v>0.06</v>
      </c>
      <c r="Z260" s="17"/>
      <c r="AA260" s="17"/>
      <c r="AB260" s="17"/>
      <c r="AC260" s="17"/>
      <c r="AD260" s="17"/>
      <c r="AE260" s="17"/>
      <c r="AF260" s="17"/>
      <c r="AG260" s="17"/>
      <c r="AH260" s="17"/>
      <c r="AI260" s="17"/>
      <c r="AJ260" s="17"/>
      <c r="AK260" s="17"/>
      <c r="AL260" s="17"/>
      <c r="AM260" s="17"/>
      <c r="AN260" s="17"/>
      <c r="AO260" s="17"/>
      <c r="AP260" s="17"/>
      <c r="AQ260" s="17"/>
      <c r="AR260" s="17"/>
      <c r="AS260" s="17"/>
      <c r="AT260" s="17"/>
    </row>
    <row r="261" spans="1:46" x14ac:dyDescent="0.25">
      <c r="A261" s="61">
        <v>30</v>
      </c>
      <c r="B261" t="s">
        <v>322</v>
      </c>
      <c r="C261" s="92" t="s">
        <v>241</v>
      </c>
      <c r="D261" s="17">
        <v>1997</v>
      </c>
      <c r="E261" s="17" t="s">
        <v>37</v>
      </c>
      <c r="F261" s="17" t="s">
        <v>60</v>
      </c>
      <c r="G261" s="17" t="s">
        <v>178</v>
      </c>
      <c r="H261" s="17">
        <v>20</v>
      </c>
      <c r="I261" s="17">
        <v>1.3</v>
      </c>
      <c r="J261" s="17">
        <v>31</v>
      </c>
      <c r="K261" s="17" t="s">
        <v>92</v>
      </c>
      <c r="L261" s="17" t="s">
        <v>86</v>
      </c>
      <c r="M261" s="17" t="s">
        <v>67</v>
      </c>
      <c r="N261" s="17" t="s">
        <v>323</v>
      </c>
      <c r="O261" s="17" t="s">
        <v>169</v>
      </c>
      <c r="P261" s="17">
        <v>30.2</v>
      </c>
      <c r="Q261" s="17">
        <v>5.6</v>
      </c>
      <c r="R261" s="17">
        <v>59.5</v>
      </c>
      <c r="S261" s="17">
        <v>12.7</v>
      </c>
      <c r="T261" s="17">
        <v>23.2</v>
      </c>
      <c r="U261" s="17">
        <v>6.1</v>
      </c>
      <c r="V261" s="17">
        <v>25.5</v>
      </c>
      <c r="W261" s="17">
        <v>4.5999999999999996</v>
      </c>
      <c r="X261" s="17"/>
      <c r="Y261" s="17"/>
      <c r="Z261" s="17"/>
      <c r="AA261" s="17"/>
      <c r="AB261" s="17"/>
      <c r="AC261" s="17"/>
      <c r="AD261" s="17"/>
      <c r="AE261" s="17"/>
      <c r="AF261" s="17"/>
      <c r="AG261" s="17"/>
      <c r="AH261" s="17"/>
      <c r="AI261" s="17"/>
      <c r="AJ261" s="17"/>
      <c r="AK261" s="17"/>
      <c r="AL261" s="17"/>
      <c r="AM261" s="17"/>
      <c r="AN261" s="17"/>
      <c r="AO261" s="17"/>
      <c r="AP261" s="17"/>
      <c r="AQ261" s="17"/>
      <c r="AR261" s="17"/>
      <c r="AS261" s="17"/>
      <c r="AT261" s="17"/>
    </row>
    <row r="262" spans="1:46" x14ac:dyDescent="0.25">
      <c r="A262" s="61">
        <v>30</v>
      </c>
      <c r="B262" t="s">
        <v>322</v>
      </c>
      <c r="C262" s="92" t="s">
        <v>241</v>
      </c>
      <c r="D262" s="17">
        <v>1997</v>
      </c>
      <c r="E262" s="17" t="s">
        <v>37</v>
      </c>
      <c r="F262" s="17" t="s">
        <v>60</v>
      </c>
      <c r="G262" s="17" t="s">
        <v>178</v>
      </c>
      <c r="H262" s="17">
        <v>20</v>
      </c>
      <c r="I262" s="17">
        <v>1.3</v>
      </c>
      <c r="J262" s="17">
        <v>31</v>
      </c>
      <c r="K262" s="17" t="s">
        <v>93</v>
      </c>
      <c r="L262" s="17" t="s">
        <v>86</v>
      </c>
      <c r="M262" s="17" t="s">
        <v>67</v>
      </c>
      <c r="N262" s="17" t="s">
        <v>323</v>
      </c>
      <c r="O262" s="17" t="s">
        <v>169</v>
      </c>
      <c r="P262" s="17">
        <v>32.4</v>
      </c>
      <c r="Q262" s="17">
        <v>4.7</v>
      </c>
      <c r="R262" s="17">
        <v>64.8</v>
      </c>
      <c r="S262" s="17">
        <v>11.7</v>
      </c>
      <c r="T262" s="17">
        <v>24.9</v>
      </c>
      <c r="U262" s="17">
        <v>5.6</v>
      </c>
      <c r="V262" s="17">
        <v>26</v>
      </c>
      <c r="W262" s="17">
        <v>4.5</v>
      </c>
      <c r="X262" s="17"/>
      <c r="Y262" s="17"/>
      <c r="Z262" s="17"/>
      <c r="AA262" s="17"/>
      <c r="AB262" s="17"/>
      <c r="AC262" s="17"/>
      <c r="AD262" s="17"/>
      <c r="AE262" s="17"/>
      <c r="AF262" s="17"/>
      <c r="AG262" s="17"/>
      <c r="AH262" s="17"/>
      <c r="AI262" s="17"/>
      <c r="AJ262" s="17"/>
      <c r="AK262" s="17"/>
      <c r="AL262" s="17"/>
      <c r="AM262" s="17"/>
      <c r="AN262" s="17"/>
      <c r="AO262" s="17"/>
      <c r="AP262" s="17"/>
      <c r="AQ262" s="17"/>
      <c r="AR262" s="17"/>
      <c r="AS262" s="17"/>
      <c r="AT262" s="17"/>
    </row>
    <row r="263" spans="1:46" x14ac:dyDescent="0.25">
      <c r="A263" s="61">
        <v>180</v>
      </c>
      <c r="B263" t="s">
        <v>322</v>
      </c>
      <c r="C263" s="92" t="s">
        <v>241</v>
      </c>
      <c r="D263" s="17">
        <v>1997</v>
      </c>
      <c r="E263" s="17" t="s">
        <v>37</v>
      </c>
      <c r="F263" s="17" t="s">
        <v>60</v>
      </c>
      <c r="G263" s="17" t="s">
        <v>178</v>
      </c>
      <c r="H263" s="17">
        <v>20</v>
      </c>
      <c r="I263" s="17">
        <v>1.3</v>
      </c>
      <c r="J263" s="17">
        <v>31</v>
      </c>
      <c r="K263" s="17" t="s">
        <v>92</v>
      </c>
      <c r="L263" s="17" t="s">
        <v>86</v>
      </c>
      <c r="M263" s="17" t="s">
        <v>67</v>
      </c>
      <c r="N263" s="17" t="s">
        <v>323</v>
      </c>
      <c r="O263" s="17" t="s">
        <v>169</v>
      </c>
      <c r="P263" s="17">
        <v>14.4</v>
      </c>
      <c r="Q263" s="17">
        <v>4.5</v>
      </c>
      <c r="R263" s="17">
        <v>25.1</v>
      </c>
      <c r="S263" s="17">
        <v>8.6999999999999993</v>
      </c>
      <c r="T263" s="17">
        <v>12.1</v>
      </c>
      <c r="U263" s="17">
        <v>3.8</v>
      </c>
      <c r="V263" s="17">
        <v>14.9</v>
      </c>
      <c r="W263" s="17">
        <v>2.2000000000000002</v>
      </c>
      <c r="X263" s="17"/>
      <c r="Y263" s="17"/>
      <c r="Z263" s="17"/>
      <c r="AA263" s="17"/>
      <c r="AB263" s="17"/>
      <c r="AC263" s="17"/>
      <c r="AD263" s="17"/>
      <c r="AE263" s="17"/>
      <c r="AF263" s="17"/>
      <c r="AG263" s="17"/>
      <c r="AH263" s="17"/>
      <c r="AI263" s="17"/>
      <c r="AJ263" s="17"/>
      <c r="AK263" s="17"/>
      <c r="AL263" s="17"/>
      <c r="AM263" s="17"/>
      <c r="AN263" s="17"/>
      <c r="AO263" s="17"/>
      <c r="AP263" s="17"/>
      <c r="AQ263" s="17"/>
      <c r="AR263" s="17"/>
      <c r="AS263" s="17"/>
      <c r="AT263" s="17"/>
    </row>
    <row r="264" spans="1:46" x14ac:dyDescent="0.25">
      <c r="A264" s="61">
        <v>180</v>
      </c>
      <c r="B264" t="s">
        <v>322</v>
      </c>
      <c r="C264" s="92" t="s">
        <v>241</v>
      </c>
      <c r="D264" s="17">
        <v>1997</v>
      </c>
      <c r="E264" s="17" t="s">
        <v>37</v>
      </c>
      <c r="F264" s="17" t="s">
        <v>60</v>
      </c>
      <c r="G264" s="17" t="s">
        <v>178</v>
      </c>
      <c r="H264" s="17">
        <v>20</v>
      </c>
      <c r="I264" s="17">
        <v>1.3</v>
      </c>
      <c r="J264" s="17">
        <v>31</v>
      </c>
      <c r="K264" s="17" t="s">
        <v>93</v>
      </c>
      <c r="L264" s="17" t="s">
        <v>86</v>
      </c>
      <c r="M264" s="17" t="s">
        <v>67</v>
      </c>
      <c r="N264" s="17" t="s">
        <v>323</v>
      </c>
      <c r="O264" s="17" t="s">
        <v>169</v>
      </c>
      <c r="P264" s="17">
        <v>13.8</v>
      </c>
      <c r="Q264" s="17">
        <v>3</v>
      </c>
      <c r="R264" s="17">
        <v>24.2</v>
      </c>
      <c r="S264" s="17">
        <v>5.5</v>
      </c>
      <c r="T264" s="17">
        <v>20</v>
      </c>
      <c r="U264" s="17">
        <v>3</v>
      </c>
      <c r="V264" s="17">
        <v>15.3</v>
      </c>
      <c r="W264" s="17">
        <v>2.4</v>
      </c>
      <c r="X264" s="17"/>
      <c r="Y264" s="17"/>
      <c r="Z264" s="17"/>
      <c r="AA264" s="17"/>
      <c r="AB264" s="17"/>
      <c r="AC264" s="17"/>
      <c r="AD264" s="17"/>
      <c r="AE264" s="17"/>
      <c r="AF264" s="17"/>
      <c r="AG264" s="17"/>
      <c r="AH264" s="17"/>
      <c r="AI264" s="17"/>
      <c r="AJ264" s="17"/>
      <c r="AK264" s="17"/>
      <c r="AL264" s="17"/>
      <c r="AM264" s="17"/>
      <c r="AN264" s="17"/>
      <c r="AO264" s="17"/>
      <c r="AP264" s="17"/>
      <c r="AQ264" s="17"/>
      <c r="AR264" s="17"/>
      <c r="AS264" s="17"/>
      <c r="AT264" s="17"/>
    </row>
    <row r="265" spans="1:46" x14ac:dyDescent="0.25">
      <c r="A265" s="61">
        <v>30</v>
      </c>
      <c r="B265" t="s">
        <v>322</v>
      </c>
      <c r="C265" s="92" t="s">
        <v>241</v>
      </c>
      <c r="D265" s="17">
        <v>1997</v>
      </c>
      <c r="E265" s="17" t="s">
        <v>37</v>
      </c>
      <c r="F265" s="17" t="s">
        <v>60</v>
      </c>
      <c r="G265" s="17" t="s">
        <v>178</v>
      </c>
      <c r="H265" s="17">
        <v>20</v>
      </c>
      <c r="I265" s="17">
        <v>1.3</v>
      </c>
      <c r="J265" s="17">
        <v>31</v>
      </c>
      <c r="K265" s="17" t="s">
        <v>92</v>
      </c>
      <c r="L265" s="17" t="s">
        <v>66</v>
      </c>
      <c r="M265" s="17" t="s">
        <v>67</v>
      </c>
      <c r="N265" s="17" t="s">
        <v>323</v>
      </c>
      <c r="O265" s="17" t="s">
        <v>169</v>
      </c>
      <c r="P265" s="17">
        <v>38.6</v>
      </c>
      <c r="Q265" s="17">
        <v>5.4</v>
      </c>
      <c r="R265" s="17">
        <v>74</v>
      </c>
      <c r="S265" s="17">
        <v>24.5</v>
      </c>
      <c r="T265" s="17">
        <v>30.2</v>
      </c>
      <c r="U265" s="17">
        <v>8.1</v>
      </c>
      <c r="V265" s="17">
        <v>29</v>
      </c>
      <c r="W265" s="17">
        <v>3.3</v>
      </c>
      <c r="X265" s="17"/>
      <c r="Y265" s="17"/>
      <c r="Z265" s="17"/>
      <c r="AA265" s="17"/>
      <c r="AB265" s="17"/>
      <c r="AC265" s="17"/>
      <c r="AD265" s="17"/>
      <c r="AE265" s="17"/>
      <c r="AF265" s="17"/>
      <c r="AG265" s="17"/>
      <c r="AH265" s="17"/>
      <c r="AI265" s="17"/>
      <c r="AJ265" s="17"/>
      <c r="AK265" s="17"/>
      <c r="AL265" s="17"/>
      <c r="AM265" s="17"/>
      <c r="AN265" s="17"/>
      <c r="AO265" s="17"/>
      <c r="AP265" s="17"/>
      <c r="AQ265" s="17"/>
      <c r="AR265" s="17"/>
      <c r="AS265" s="17"/>
      <c r="AT265" s="17"/>
    </row>
    <row r="266" spans="1:46" x14ac:dyDescent="0.25">
      <c r="A266" s="61">
        <v>30</v>
      </c>
      <c r="B266" t="s">
        <v>322</v>
      </c>
      <c r="C266" s="92" t="s">
        <v>241</v>
      </c>
      <c r="D266" s="17">
        <v>1997</v>
      </c>
      <c r="E266" s="17" t="s">
        <v>37</v>
      </c>
      <c r="F266" s="17" t="s">
        <v>60</v>
      </c>
      <c r="G266" s="17" t="s">
        <v>178</v>
      </c>
      <c r="H266" s="17">
        <v>20</v>
      </c>
      <c r="I266" s="17">
        <v>1.1000000000000001</v>
      </c>
      <c r="J266" s="17">
        <v>11</v>
      </c>
      <c r="K266" s="17" t="s">
        <v>93</v>
      </c>
      <c r="L266" s="17" t="s">
        <v>66</v>
      </c>
      <c r="M266" s="17" t="s">
        <v>67</v>
      </c>
      <c r="N266" s="17" t="s">
        <v>323</v>
      </c>
      <c r="O266" s="17" t="s">
        <v>169</v>
      </c>
      <c r="P266" s="17">
        <v>41.3</v>
      </c>
      <c r="Q266" s="17">
        <v>6.5</v>
      </c>
      <c r="R266" s="17">
        <v>76</v>
      </c>
      <c r="S266" s="17">
        <v>28.2</v>
      </c>
      <c r="T266" s="17">
        <v>31.4</v>
      </c>
      <c r="U266" s="17">
        <v>6</v>
      </c>
      <c r="V266" s="17">
        <v>31.4</v>
      </c>
      <c r="W266" s="17">
        <v>6</v>
      </c>
      <c r="X266" s="17"/>
      <c r="Y266" s="17"/>
      <c r="Z266" s="17"/>
      <c r="AA266" s="17"/>
      <c r="AB266" s="17"/>
      <c r="AC266" s="17"/>
      <c r="AD266" s="17"/>
      <c r="AE266" s="17"/>
      <c r="AF266" s="17"/>
      <c r="AG266" s="17"/>
      <c r="AH266" s="17"/>
      <c r="AI266" s="17"/>
      <c r="AJ266" s="17"/>
      <c r="AK266" s="17"/>
      <c r="AL266" s="17"/>
      <c r="AM266" s="17"/>
      <c r="AN266" s="17"/>
      <c r="AO266" s="17"/>
      <c r="AP266" s="17"/>
      <c r="AQ266" s="17"/>
      <c r="AR266" s="17"/>
      <c r="AS266" s="17"/>
      <c r="AT266" s="17"/>
    </row>
    <row r="267" spans="1:46" x14ac:dyDescent="0.25">
      <c r="A267" s="61">
        <v>180</v>
      </c>
      <c r="B267" t="s">
        <v>322</v>
      </c>
      <c r="C267" s="92" t="s">
        <v>241</v>
      </c>
      <c r="D267" s="17">
        <v>1997</v>
      </c>
      <c r="E267" s="17" t="s">
        <v>37</v>
      </c>
      <c r="F267" s="17" t="s">
        <v>60</v>
      </c>
      <c r="G267" s="17" t="s">
        <v>178</v>
      </c>
      <c r="H267" s="17">
        <v>20</v>
      </c>
      <c r="I267" s="17">
        <v>1.1000000000000001</v>
      </c>
      <c r="J267" s="17">
        <v>11</v>
      </c>
      <c r="K267" s="17" t="s">
        <v>92</v>
      </c>
      <c r="L267" s="17" t="s">
        <v>66</v>
      </c>
      <c r="M267" s="17" t="s">
        <v>67</v>
      </c>
      <c r="N267" s="17" t="s">
        <v>323</v>
      </c>
      <c r="O267" s="17" t="s">
        <v>169</v>
      </c>
      <c r="P267" s="17">
        <v>18.2</v>
      </c>
      <c r="Q267" s="17">
        <v>3.9</v>
      </c>
      <c r="R267" s="17">
        <v>27.5</v>
      </c>
      <c r="S267" s="17">
        <v>13</v>
      </c>
      <c r="T267" s="17">
        <v>15.2</v>
      </c>
      <c r="U267" s="17">
        <v>4.2</v>
      </c>
      <c r="V267" s="17">
        <v>18.8</v>
      </c>
      <c r="W267" s="17">
        <v>3.9</v>
      </c>
      <c r="X267" s="17"/>
      <c r="Y267" s="17"/>
      <c r="Z267" s="17"/>
      <c r="AA267" s="17"/>
      <c r="AB267" s="17"/>
      <c r="AC267" s="17"/>
      <c r="AD267" s="17"/>
      <c r="AE267" s="17"/>
      <c r="AF267" s="17"/>
      <c r="AG267" s="17"/>
      <c r="AH267" s="17"/>
      <c r="AI267" s="17"/>
      <c r="AJ267" s="17"/>
      <c r="AK267" s="17"/>
      <c r="AL267" s="17"/>
      <c r="AM267" s="17"/>
      <c r="AN267" s="17"/>
      <c r="AO267" s="17"/>
      <c r="AP267" s="17"/>
      <c r="AQ267" s="17"/>
      <c r="AR267" s="17"/>
      <c r="AS267" s="17"/>
      <c r="AT267" s="17"/>
    </row>
    <row r="268" spans="1:46" x14ac:dyDescent="0.25">
      <c r="A268" s="61">
        <v>180</v>
      </c>
      <c r="B268" t="s">
        <v>322</v>
      </c>
      <c r="C268" s="92" t="s">
        <v>241</v>
      </c>
      <c r="D268" s="17">
        <v>1997</v>
      </c>
      <c r="E268" s="17" t="s">
        <v>37</v>
      </c>
      <c r="F268" s="17" t="s">
        <v>60</v>
      </c>
      <c r="G268" s="17" t="s">
        <v>178</v>
      </c>
      <c r="H268" s="17">
        <v>20</v>
      </c>
      <c r="I268" s="17">
        <v>1.1000000000000001</v>
      </c>
      <c r="J268" s="17">
        <v>11</v>
      </c>
      <c r="K268" s="17" t="s">
        <v>93</v>
      </c>
      <c r="L268" s="17" t="s">
        <v>66</v>
      </c>
      <c r="M268" s="17" t="s">
        <v>67</v>
      </c>
      <c r="N268" s="17" t="s">
        <v>323</v>
      </c>
      <c r="O268" s="17" t="s">
        <v>169</v>
      </c>
      <c r="P268" s="17">
        <v>17.100000000000001</v>
      </c>
      <c r="Q268" s="17">
        <v>4.0999999999999996</v>
      </c>
      <c r="R268" s="17">
        <v>26</v>
      </c>
      <c r="S268" s="17">
        <v>10.199999999999999</v>
      </c>
      <c r="T268" s="17">
        <v>14.8</v>
      </c>
      <c r="U268" s="17">
        <v>6.4</v>
      </c>
      <c r="V268" s="17">
        <v>19</v>
      </c>
      <c r="W268" s="17">
        <v>5.0999999999999996</v>
      </c>
      <c r="X268" s="17"/>
      <c r="Y268" s="17"/>
      <c r="Z268" s="17"/>
      <c r="AA268" s="17"/>
      <c r="AB268" s="17"/>
      <c r="AC268" s="17"/>
      <c r="AD268" s="17"/>
      <c r="AE268" s="17"/>
      <c r="AF268" s="17"/>
      <c r="AG268" s="17"/>
      <c r="AH268" s="17"/>
      <c r="AI268" s="17"/>
      <c r="AJ268" s="17"/>
      <c r="AK268" s="17"/>
      <c r="AL268" s="17"/>
      <c r="AM268" s="17"/>
      <c r="AN268" s="17"/>
      <c r="AO268" s="17"/>
      <c r="AP268" s="17"/>
      <c r="AQ268" s="17"/>
      <c r="AR268" s="17"/>
      <c r="AS268" s="17"/>
      <c r="AT268" s="17"/>
    </row>
    <row r="269" spans="1:46" x14ac:dyDescent="0.25">
      <c r="A269" s="61">
        <v>30</v>
      </c>
      <c r="B269" s="17" t="s">
        <v>328</v>
      </c>
      <c r="C269" s="18" t="s">
        <v>51</v>
      </c>
      <c r="D269" s="17"/>
      <c r="E269" s="17" t="s">
        <v>44</v>
      </c>
      <c r="F269" s="17" t="s">
        <v>130</v>
      </c>
      <c r="G269" s="17" t="s">
        <v>178</v>
      </c>
      <c r="H269" s="17">
        <v>35.5</v>
      </c>
      <c r="I269" s="17">
        <v>10.5</v>
      </c>
      <c r="J269" s="17">
        <v>10</v>
      </c>
      <c r="K269" s="17" t="s">
        <v>64</v>
      </c>
      <c r="L269" s="17" t="s">
        <v>46</v>
      </c>
      <c r="M269" s="17" t="s">
        <v>67</v>
      </c>
      <c r="N269" s="17" t="s">
        <v>59</v>
      </c>
      <c r="O269" s="17" t="s">
        <v>169</v>
      </c>
      <c r="P269" s="17">
        <v>27.8</v>
      </c>
      <c r="Q269" s="17">
        <v>8.3000000000000007</v>
      </c>
      <c r="R269" s="17">
        <v>98.7</v>
      </c>
      <c r="S269" s="17">
        <v>30.7</v>
      </c>
      <c r="T269" s="17">
        <v>31.9</v>
      </c>
      <c r="U269" s="17">
        <v>8.4</v>
      </c>
      <c r="V269" s="17">
        <v>23.6</v>
      </c>
      <c r="W269" s="17">
        <v>6.8</v>
      </c>
      <c r="X269" s="17"/>
      <c r="Y269" s="17"/>
      <c r="Z269" s="17"/>
      <c r="AA269" s="17"/>
      <c r="AB269" s="17"/>
      <c r="AC269" s="17"/>
      <c r="AD269" s="17"/>
      <c r="AE269" s="17"/>
      <c r="AF269" s="17"/>
      <c r="AG269" s="17"/>
      <c r="AH269" s="17"/>
      <c r="AI269" s="17"/>
      <c r="AJ269" s="17"/>
      <c r="AK269" s="17"/>
      <c r="AL269" s="17"/>
      <c r="AM269" s="17"/>
      <c r="AN269" s="17"/>
      <c r="AO269" s="17"/>
      <c r="AP269" s="17"/>
      <c r="AQ269" s="17"/>
      <c r="AR269" s="17"/>
      <c r="AS269" s="17"/>
      <c r="AT269" s="17"/>
    </row>
    <row r="270" spans="1:46" x14ac:dyDescent="0.25">
      <c r="A270" s="61">
        <v>30</v>
      </c>
      <c r="B270" s="17" t="s">
        <v>328</v>
      </c>
      <c r="C270" s="18" t="s">
        <v>51</v>
      </c>
      <c r="D270" s="17"/>
      <c r="E270" s="17" t="s">
        <v>44</v>
      </c>
      <c r="F270" s="17" t="s">
        <v>130</v>
      </c>
      <c r="G270" s="17" t="s">
        <v>178</v>
      </c>
      <c r="H270" s="17">
        <v>35.5</v>
      </c>
      <c r="I270" s="17">
        <v>10.5</v>
      </c>
      <c r="J270" s="17">
        <v>10</v>
      </c>
      <c r="K270" s="17" t="s">
        <v>256</v>
      </c>
      <c r="L270" s="17" t="s">
        <v>46</v>
      </c>
      <c r="M270" s="17" t="s">
        <v>67</v>
      </c>
      <c r="N270" s="17" t="s">
        <v>59</v>
      </c>
      <c r="O270" s="17" t="s">
        <v>169</v>
      </c>
      <c r="P270" s="17">
        <v>28.4</v>
      </c>
      <c r="Q270" s="17">
        <v>7.4</v>
      </c>
      <c r="R270" s="17">
        <v>97.5</v>
      </c>
      <c r="S270" s="17">
        <v>38.9</v>
      </c>
      <c r="T270" s="17">
        <v>31.9</v>
      </c>
      <c r="U270" s="17">
        <v>8.4</v>
      </c>
      <c r="V270" s="17">
        <v>22.2</v>
      </c>
      <c r="W270" s="17">
        <v>6.6</v>
      </c>
      <c r="X270" s="17"/>
      <c r="Y270" s="17"/>
      <c r="Z270" s="17"/>
      <c r="AA270" s="17"/>
      <c r="AB270" s="17"/>
      <c r="AC270" s="17"/>
      <c r="AD270" s="17"/>
      <c r="AE270" s="17"/>
      <c r="AF270" s="17"/>
      <c r="AG270" s="17"/>
      <c r="AH270" s="17"/>
      <c r="AI270" s="17"/>
      <c r="AJ270" s="17"/>
      <c r="AK270" s="17"/>
      <c r="AL270" s="17"/>
      <c r="AM270" s="17"/>
      <c r="AN270" s="17"/>
      <c r="AO270" s="17"/>
      <c r="AP270" s="17"/>
      <c r="AQ270" s="17"/>
      <c r="AR270" s="17"/>
      <c r="AS270" s="17"/>
      <c r="AT270" s="17"/>
    </row>
    <row r="271" spans="1:46" x14ac:dyDescent="0.25">
      <c r="A271" s="61">
        <v>120</v>
      </c>
      <c r="B271" s="17" t="s">
        <v>341</v>
      </c>
      <c r="C271" s="18" t="s">
        <v>340</v>
      </c>
      <c r="D271" s="17">
        <v>2015</v>
      </c>
      <c r="E271" s="17" t="s">
        <v>40</v>
      </c>
      <c r="F271" s="17" t="s">
        <v>60</v>
      </c>
      <c r="G271" s="17" t="s">
        <v>178</v>
      </c>
      <c r="H271" s="17">
        <v>18</v>
      </c>
      <c r="I271" s="17"/>
      <c r="J271" s="17">
        <v>22</v>
      </c>
      <c r="K271" s="17" t="s">
        <v>64</v>
      </c>
      <c r="L271" s="17" t="s">
        <v>66</v>
      </c>
      <c r="M271" s="17" t="s">
        <v>67</v>
      </c>
      <c r="N271" s="17" t="s">
        <v>59</v>
      </c>
      <c r="O271" s="17" t="s">
        <v>169</v>
      </c>
      <c r="P271" s="17"/>
      <c r="Q271" s="17"/>
      <c r="R271" s="17"/>
      <c r="S271" s="17"/>
      <c r="T271" s="17"/>
      <c r="U271" s="17"/>
      <c r="V271" s="17">
        <v>38.06</v>
      </c>
      <c r="W271" s="17">
        <v>9.42</v>
      </c>
      <c r="X271" s="17"/>
      <c r="Y271" s="17"/>
      <c r="Z271" s="17"/>
      <c r="AA271" s="17"/>
      <c r="AB271" s="17"/>
      <c r="AC271" s="17"/>
      <c r="AD271" s="17"/>
      <c r="AE271" s="17"/>
      <c r="AF271" s="17"/>
      <c r="AG271" s="17"/>
      <c r="AH271" s="17"/>
      <c r="AI271" s="17"/>
      <c r="AJ271" s="17"/>
      <c r="AK271" s="17"/>
      <c r="AL271" s="17"/>
      <c r="AM271" s="17"/>
      <c r="AN271" s="17"/>
      <c r="AO271" s="17"/>
      <c r="AP271" s="17"/>
      <c r="AQ271" s="17"/>
      <c r="AR271" s="17"/>
      <c r="AS271" s="17"/>
      <c r="AT271" s="17"/>
    </row>
    <row r="272" spans="1:46" x14ac:dyDescent="0.25">
      <c r="A272" s="61">
        <v>120</v>
      </c>
      <c r="B272" s="17" t="s">
        <v>341</v>
      </c>
      <c r="C272" s="18" t="s">
        <v>340</v>
      </c>
      <c r="D272" s="17">
        <v>2015</v>
      </c>
      <c r="E272" s="17" t="s">
        <v>40</v>
      </c>
      <c r="F272" s="17" t="s">
        <v>60</v>
      </c>
      <c r="G272" s="17" t="s">
        <v>178</v>
      </c>
      <c r="H272" s="17">
        <v>18</v>
      </c>
      <c r="I272" s="17"/>
      <c r="J272" s="17">
        <v>22</v>
      </c>
      <c r="K272" s="17" t="s">
        <v>256</v>
      </c>
      <c r="L272" s="17" t="s">
        <v>66</v>
      </c>
      <c r="M272" s="17" t="s">
        <v>67</v>
      </c>
      <c r="N272" s="17" t="s">
        <v>59</v>
      </c>
      <c r="O272" s="17" t="s">
        <v>169</v>
      </c>
      <c r="P272" s="17"/>
      <c r="Q272" s="17"/>
      <c r="R272" s="17"/>
      <c r="S272" s="17"/>
      <c r="T272" s="17"/>
      <c r="U272" s="17"/>
      <c r="V272" s="17">
        <v>38.93</v>
      </c>
      <c r="W272" s="17">
        <v>11.58</v>
      </c>
      <c r="X272" s="17"/>
      <c r="Y272" s="17"/>
      <c r="Z272" s="17"/>
      <c r="AA272" s="17"/>
      <c r="AB272" s="17"/>
      <c r="AC272" s="17"/>
      <c r="AD272" s="17"/>
      <c r="AE272" s="17"/>
      <c r="AF272" s="17"/>
      <c r="AG272" s="17"/>
      <c r="AH272" s="17"/>
      <c r="AI272" s="17"/>
      <c r="AJ272" s="17"/>
      <c r="AK272" s="17"/>
      <c r="AL272" s="17"/>
      <c r="AM272" s="17"/>
      <c r="AN272" s="17"/>
      <c r="AO272" s="17"/>
      <c r="AP272" s="17"/>
      <c r="AQ272" s="17"/>
      <c r="AR272" s="17"/>
      <c r="AS272" s="17"/>
      <c r="AT272" s="17"/>
    </row>
    <row r="273" spans="1:46" x14ac:dyDescent="0.25">
      <c r="A273" s="61">
        <v>120</v>
      </c>
      <c r="B273" s="17" t="s">
        <v>341</v>
      </c>
      <c r="C273" s="18" t="s">
        <v>340</v>
      </c>
      <c r="D273" s="17">
        <v>2015</v>
      </c>
      <c r="E273" s="17" t="s">
        <v>40</v>
      </c>
      <c r="F273" s="17" t="s">
        <v>60</v>
      </c>
      <c r="G273" s="17" t="s">
        <v>178</v>
      </c>
      <c r="H273" s="17">
        <v>18</v>
      </c>
      <c r="I273" s="17"/>
      <c r="J273" s="17">
        <v>22</v>
      </c>
      <c r="K273" s="17" t="s">
        <v>64</v>
      </c>
      <c r="L273" s="17" t="s">
        <v>66</v>
      </c>
      <c r="M273" s="17" t="s">
        <v>67</v>
      </c>
      <c r="N273" s="17" t="s">
        <v>59</v>
      </c>
      <c r="O273" s="17" t="s">
        <v>169</v>
      </c>
      <c r="P273" s="17"/>
      <c r="Q273" s="17"/>
      <c r="R273" s="17"/>
      <c r="S273" s="17"/>
      <c r="T273" s="17"/>
      <c r="U273" s="17"/>
      <c r="V273" s="17">
        <v>41.8</v>
      </c>
      <c r="W273" s="17">
        <v>12.01</v>
      </c>
      <c r="X273" s="17"/>
      <c r="Y273" s="17"/>
      <c r="Z273" s="17"/>
      <c r="AA273" s="17"/>
      <c r="AB273" s="17"/>
      <c r="AC273" s="17"/>
      <c r="AD273" s="17"/>
      <c r="AE273" s="17"/>
      <c r="AF273" s="17"/>
      <c r="AG273" s="17"/>
      <c r="AH273" s="17"/>
      <c r="AI273" s="17"/>
      <c r="AJ273" s="17"/>
      <c r="AK273" s="17"/>
      <c r="AL273" s="17"/>
      <c r="AM273" s="17"/>
      <c r="AN273" s="17"/>
      <c r="AO273" s="17"/>
      <c r="AP273" s="17"/>
      <c r="AQ273" s="17"/>
      <c r="AR273" s="17"/>
      <c r="AS273" s="17"/>
      <c r="AT273" s="17"/>
    </row>
    <row r="274" spans="1:46" x14ac:dyDescent="0.25">
      <c r="A274" s="61">
        <v>120</v>
      </c>
      <c r="B274" s="17" t="s">
        <v>341</v>
      </c>
      <c r="C274" s="18" t="s">
        <v>340</v>
      </c>
      <c r="D274" s="17">
        <v>2015</v>
      </c>
      <c r="E274" s="17" t="s">
        <v>40</v>
      </c>
      <c r="F274" s="17" t="s">
        <v>60</v>
      </c>
      <c r="G274" s="17" t="s">
        <v>178</v>
      </c>
      <c r="H274" s="17">
        <v>18</v>
      </c>
      <c r="I274" s="17"/>
      <c r="J274" s="17">
        <v>22</v>
      </c>
      <c r="K274" s="17" t="s">
        <v>256</v>
      </c>
      <c r="L274" s="17" t="s">
        <v>66</v>
      </c>
      <c r="M274" s="17" t="s">
        <v>67</v>
      </c>
      <c r="N274" s="17" t="s">
        <v>59</v>
      </c>
      <c r="O274" s="17" t="s">
        <v>169</v>
      </c>
      <c r="P274" s="17"/>
      <c r="Q274" s="17"/>
      <c r="R274" s="17"/>
      <c r="S274" s="17"/>
      <c r="T274" s="17"/>
      <c r="U274" s="17"/>
      <c r="V274" s="17">
        <v>43.26</v>
      </c>
      <c r="W274" s="17">
        <v>10.06</v>
      </c>
      <c r="X274" s="17"/>
      <c r="Y274" s="17"/>
      <c r="Z274" s="17"/>
      <c r="AA274" s="17"/>
      <c r="AB274" s="17"/>
      <c r="AC274" s="17"/>
      <c r="AD274" s="17"/>
      <c r="AE274" s="17"/>
      <c r="AF274" s="17"/>
      <c r="AG274" s="17"/>
      <c r="AH274" s="17"/>
      <c r="AI274" s="17"/>
      <c r="AJ274" s="17"/>
      <c r="AK274" s="17"/>
      <c r="AL274" s="17"/>
      <c r="AM274" s="17"/>
      <c r="AN274" s="17"/>
      <c r="AO274" s="17"/>
      <c r="AP274" s="17"/>
      <c r="AQ274" s="17"/>
      <c r="AR274" s="17"/>
      <c r="AS274" s="17"/>
      <c r="AT274" s="17"/>
    </row>
    <row r="275" spans="1:46" x14ac:dyDescent="0.25">
      <c r="A275" s="61">
        <v>120</v>
      </c>
      <c r="B275" s="17" t="s">
        <v>341</v>
      </c>
      <c r="C275" s="18" t="s">
        <v>340</v>
      </c>
      <c r="D275" s="17">
        <v>2015</v>
      </c>
      <c r="E275" s="17" t="s">
        <v>40</v>
      </c>
      <c r="F275" s="17" t="s">
        <v>60</v>
      </c>
      <c r="G275" s="17" t="s">
        <v>178</v>
      </c>
      <c r="H275" s="17">
        <v>18</v>
      </c>
      <c r="I275" s="17"/>
      <c r="J275" s="17">
        <v>22</v>
      </c>
      <c r="K275" s="17" t="s">
        <v>64</v>
      </c>
      <c r="L275" s="17" t="s">
        <v>66</v>
      </c>
      <c r="M275" s="17" t="s">
        <v>122</v>
      </c>
      <c r="N275" s="17" t="s">
        <v>59</v>
      </c>
      <c r="O275" s="17" t="s">
        <v>169</v>
      </c>
      <c r="P275" s="17"/>
      <c r="Q275" s="17"/>
      <c r="R275" s="17"/>
      <c r="S275" s="17"/>
      <c r="T275" s="17"/>
      <c r="U275" s="17"/>
      <c r="V275" s="17">
        <v>40.03</v>
      </c>
      <c r="W275" s="17">
        <v>13.15</v>
      </c>
      <c r="X275" s="17"/>
      <c r="Y275" s="17"/>
      <c r="Z275" s="17"/>
      <c r="AA275" s="17"/>
      <c r="AB275" s="17"/>
      <c r="AC275" s="17"/>
      <c r="AD275" s="17"/>
      <c r="AE275" s="17"/>
      <c r="AF275" s="17"/>
      <c r="AG275" s="17"/>
      <c r="AH275" s="17"/>
      <c r="AI275" s="17"/>
      <c r="AJ275" s="17"/>
      <c r="AK275" s="17"/>
      <c r="AL275" s="17"/>
      <c r="AM275" s="17"/>
      <c r="AN275" s="17"/>
      <c r="AO275" s="17"/>
      <c r="AP275" s="17"/>
      <c r="AQ275" s="17"/>
      <c r="AR275" s="17"/>
      <c r="AS275" s="17"/>
      <c r="AT275" s="17"/>
    </row>
    <row r="276" spans="1:46" x14ac:dyDescent="0.25">
      <c r="A276" s="61">
        <v>120</v>
      </c>
      <c r="B276" s="17" t="s">
        <v>341</v>
      </c>
      <c r="C276" s="18" t="s">
        <v>340</v>
      </c>
      <c r="D276" s="17">
        <v>2015</v>
      </c>
      <c r="E276" s="17" t="s">
        <v>40</v>
      </c>
      <c r="F276" s="17" t="s">
        <v>60</v>
      </c>
      <c r="G276" s="17" t="s">
        <v>178</v>
      </c>
      <c r="H276" s="17">
        <v>18</v>
      </c>
      <c r="I276" s="17"/>
      <c r="J276" s="17">
        <v>22</v>
      </c>
      <c r="K276" s="17" t="s">
        <v>256</v>
      </c>
      <c r="L276" s="17" t="s">
        <v>66</v>
      </c>
      <c r="M276" s="17" t="s">
        <v>122</v>
      </c>
      <c r="N276" s="17" t="s">
        <v>59</v>
      </c>
      <c r="O276" s="17" t="s">
        <v>169</v>
      </c>
      <c r="P276" s="17"/>
      <c r="Q276" s="17"/>
      <c r="R276" s="17"/>
      <c r="S276" s="17"/>
      <c r="T276" s="17"/>
      <c r="U276" s="17"/>
      <c r="V276" s="17">
        <v>39.479999999999997</v>
      </c>
      <c r="W276" s="17">
        <v>12.89</v>
      </c>
      <c r="X276" s="17"/>
      <c r="Y276" s="17"/>
      <c r="Z276" s="17"/>
      <c r="AA276" s="17"/>
      <c r="AB276" s="17"/>
      <c r="AC276" s="17"/>
      <c r="AD276" s="17"/>
      <c r="AE276" s="17"/>
      <c r="AF276" s="17"/>
      <c r="AG276" s="17"/>
      <c r="AH276" s="17"/>
      <c r="AI276" s="17"/>
      <c r="AJ276" s="17"/>
      <c r="AK276" s="17"/>
      <c r="AL276" s="17"/>
      <c r="AM276" s="17"/>
      <c r="AN276" s="17"/>
      <c r="AO276" s="17"/>
      <c r="AP276" s="17"/>
      <c r="AQ276" s="17"/>
      <c r="AR276" s="17"/>
      <c r="AS276" s="17"/>
      <c r="AT276" s="17"/>
    </row>
    <row r="277" spans="1:46" x14ac:dyDescent="0.25">
      <c r="A277" s="61">
        <v>120</v>
      </c>
      <c r="B277" s="17" t="s">
        <v>341</v>
      </c>
      <c r="C277" s="18" t="s">
        <v>340</v>
      </c>
      <c r="D277" s="17">
        <v>2015</v>
      </c>
      <c r="E277" s="17" t="s">
        <v>40</v>
      </c>
      <c r="F277" s="17" t="s">
        <v>60</v>
      </c>
      <c r="G277" s="17" t="s">
        <v>178</v>
      </c>
      <c r="H277" s="17">
        <v>18</v>
      </c>
      <c r="I277" s="17"/>
      <c r="J277" s="17">
        <v>22</v>
      </c>
      <c r="K277" s="17" t="s">
        <v>64</v>
      </c>
      <c r="L277" s="17" t="s">
        <v>66</v>
      </c>
      <c r="M277" s="17" t="s">
        <v>122</v>
      </c>
      <c r="N277" s="17" t="s">
        <v>59</v>
      </c>
      <c r="O277" s="17" t="s">
        <v>169</v>
      </c>
      <c r="P277" s="17"/>
      <c r="Q277" s="17"/>
      <c r="R277" s="17"/>
      <c r="S277" s="17"/>
      <c r="T277" s="17"/>
      <c r="U277" s="17"/>
      <c r="V277" s="17">
        <v>41.4</v>
      </c>
      <c r="W277" s="17">
        <v>9.49</v>
      </c>
      <c r="X277" s="17"/>
      <c r="Y277" s="17"/>
      <c r="Z277" s="17"/>
      <c r="AA277" s="17"/>
      <c r="AB277" s="17"/>
      <c r="AC277" s="17"/>
      <c r="AD277" s="17"/>
      <c r="AE277" s="17"/>
      <c r="AF277" s="17"/>
      <c r="AG277" s="17"/>
      <c r="AH277" s="17"/>
      <c r="AI277" s="17"/>
      <c r="AJ277" s="17"/>
      <c r="AK277" s="17"/>
      <c r="AL277" s="17"/>
      <c r="AM277" s="17"/>
      <c r="AN277" s="17"/>
      <c r="AO277" s="17"/>
      <c r="AP277" s="17"/>
      <c r="AQ277" s="17"/>
      <c r="AR277" s="17"/>
      <c r="AS277" s="17"/>
      <c r="AT277" s="17"/>
    </row>
    <row r="278" spans="1:46" x14ac:dyDescent="0.25">
      <c r="A278" s="61">
        <v>120</v>
      </c>
      <c r="B278" s="17" t="s">
        <v>341</v>
      </c>
      <c r="C278" s="18" t="s">
        <v>340</v>
      </c>
      <c r="D278" s="17">
        <v>2015</v>
      </c>
      <c r="E278" s="17" t="s">
        <v>40</v>
      </c>
      <c r="F278" s="17" t="s">
        <v>60</v>
      </c>
      <c r="G278" s="17" t="s">
        <v>178</v>
      </c>
      <c r="H278" s="17">
        <v>18</v>
      </c>
      <c r="I278" s="17"/>
      <c r="J278" s="17">
        <v>22</v>
      </c>
      <c r="K278" s="17" t="s">
        <v>256</v>
      </c>
      <c r="L278" s="17" t="s">
        <v>66</v>
      </c>
      <c r="M278" s="17" t="s">
        <v>122</v>
      </c>
      <c r="N278" s="17" t="s">
        <v>59</v>
      </c>
      <c r="O278" s="17" t="s">
        <v>169</v>
      </c>
      <c r="P278" s="17"/>
      <c r="Q278" s="17"/>
      <c r="R278" s="17"/>
      <c r="S278" s="17"/>
      <c r="T278" s="17"/>
      <c r="U278" s="17"/>
      <c r="V278" s="17">
        <v>39.93</v>
      </c>
      <c r="W278" s="17">
        <v>11.58</v>
      </c>
      <c r="X278" s="17"/>
      <c r="Y278" s="17"/>
      <c r="Z278" s="17"/>
      <c r="AA278" s="17"/>
      <c r="AB278" s="17"/>
      <c r="AC278" s="17"/>
      <c r="AD278" s="17"/>
      <c r="AE278" s="17"/>
      <c r="AF278" s="17"/>
      <c r="AG278" s="17"/>
      <c r="AH278" s="17"/>
      <c r="AI278" s="17"/>
      <c r="AJ278" s="17"/>
      <c r="AK278" s="17"/>
      <c r="AL278" s="17"/>
      <c r="AM278" s="17"/>
      <c r="AN278" s="17"/>
      <c r="AO278" s="17"/>
      <c r="AP278" s="17"/>
      <c r="AQ278" s="17"/>
      <c r="AR278" s="17"/>
      <c r="AS278" s="17"/>
      <c r="AT278" s="17"/>
    </row>
    <row r="279" spans="1:46" x14ac:dyDescent="0.25">
      <c r="A279" s="61">
        <v>120</v>
      </c>
      <c r="B279" t="s">
        <v>354</v>
      </c>
      <c r="C279" s="18" t="s">
        <v>352</v>
      </c>
      <c r="D279" s="17">
        <v>2007</v>
      </c>
      <c r="E279" s="17" t="s">
        <v>44</v>
      </c>
      <c r="F279" s="17" t="s">
        <v>130</v>
      </c>
      <c r="G279" s="17" t="s">
        <v>178</v>
      </c>
      <c r="H279" s="17">
        <v>21</v>
      </c>
      <c r="I279" s="17">
        <v>2</v>
      </c>
      <c r="J279" s="17">
        <v>24</v>
      </c>
      <c r="K279" s="17" t="s">
        <v>355</v>
      </c>
      <c r="L279" s="17" t="s">
        <v>66</v>
      </c>
      <c r="M279" s="17" t="s">
        <v>67</v>
      </c>
      <c r="N279" s="17" t="s">
        <v>58</v>
      </c>
      <c r="O279" s="17" t="s">
        <v>169</v>
      </c>
      <c r="P279" s="17"/>
      <c r="Q279" s="17"/>
      <c r="R279" s="17"/>
      <c r="S279" s="17"/>
      <c r="T279" s="17">
        <v>14.79</v>
      </c>
      <c r="U279" s="17">
        <v>1.56</v>
      </c>
      <c r="V279" s="17">
        <v>14.41</v>
      </c>
      <c r="W279" s="17">
        <v>3.13</v>
      </c>
      <c r="X279" s="17"/>
      <c r="Y279" s="17"/>
      <c r="Z279" s="17"/>
      <c r="AA279" s="17"/>
      <c r="AB279" s="17"/>
      <c r="AC279" s="17"/>
      <c r="AD279" s="17"/>
      <c r="AE279" s="17"/>
      <c r="AF279" s="17"/>
      <c r="AG279" s="17"/>
      <c r="AH279" s="17"/>
      <c r="AI279" s="17"/>
      <c r="AJ279" s="17"/>
      <c r="AK279" s="17"/>
      <c r="AL279" s="17"/>
      <c r="AM279" s="17"/>
      <c r="AN279" s="17"/>
      <c r="AO279" s="17"/>
      <c r="AP279" s="17"/>
      <c r="AQ279" s="17"/>
      <c r="AR279" s="17"/>
      <c r="AS279" s="17"/>
      <c r="AT279" s="17"/>
    </row>
    <row r="280" spans="1:46" x14ac:dyDescent="0.25">
      <c r="A280" s="61">
        <v>120</v>
      </c>
      <c r="B280" t="s">
        <v>354</v>
      </c>
      <c r="C280" s="18" t="s">
        <v>352</v>
      </c>
      <c r="D280" s="17">
        <v>2007</v>
      </c>
      <c r="E280" s="17" t="s">
        <v>44</v>
      </c>
      <c r="F280" s="17" t="s">
        <v>130</v>
      </c>
      <c r="G280" s="17" t="s">
        <v>178</v>
      </c>
      <c r="H280" s="17">
        <v>21</v>
      </c>
      <c r="I280" s="17">
        <v>2</v>
      </c>
      <c r="J280" s="17">
        <v>24</v>
      </c>
      <c r="K280" s="17" t="s">
        <v>356</v>
      </c>
      <c r="L280" s="17" t="s">
        <v>66</v>
      </c>
      <c r="M280" s="17" t="s">
        <v>67</v>
      </c>
      <c r="N280" s="17" t="s">
        <v>58</v>
      </c>
      <c r="O280" s="17" t="s">
        <v>169</v>
      </c>
      <c r="P280" s="17"/>
      <c r="Q280" s="17"/>
      <c r="R280" s="17"/>
      <c r="S280" s="17"/>
      <c r="T280" s="17">
        <v>17.46</v>
      </c>
      <c r="U280" s="17">
        <v>1.59</v>
      </c>
      <c r="V280" s="17">
        <v>16.920000000000002</v>
      </c>
      <c r="W280" s="17">
        <v>2.68</v>
      </c>
      <c r="X280" s="17"/>
      <c r="Y280" s="17"/>
      <c r="Z280" s="17"/>
      <c r="AA280" s="17"/>
      <c r="AB280" s="17"/>
      <c r="AC280" s="17"/>
      <c r="AD280" s="17"/>
      <c r="AE280" s="17"/>
      <c r="AF280" s="17"/>
      <c r="AG280" s="17"/>
      <c r="AH280" s="17"/>
      <c r="AI280" s="17"/>
      <c r="AJ280" s="17"/>
      <c r="AK280" s="17"/>
      <c r="AL280" s="17"/>
      <c r="AM280" s="17"/>
      <c r="AN280" s="17"/>
      <c r="AO280" s="17"/>
      <c r="AP280" s="17"/>
      <c r="AQ280" s="17"/>
      <c r="AR280" s="17"/>
      <c r="AS280" s="17"/>
      <c r="AT280" s="17"/>
    </row>
    <row r="281" spans="1:46" x14ac:dyDescent="0.25">
      <c r="A281" s="61">
        <v>120</v>
      </c>
      <c r="B281" t="s">
        <v>354</v>
      </c>
      <c r="C281" s="18" t="s">
        <v>352</v>
      </c>
      <c r="D281" s="17">
        <v>2007</v>
      </c>
      <c r="E281" s="17" t="s">
        <v>44</v>
      </c>
      <c r="F281" s="17" t="s">
        <v>130</v>
      </c>
      <c r="G281" s="17" t="s">
        <v>178</v>
      </c>
      <c r="H281" s="17">
        <v>21</v>
      </c>
      <c r="I281" s="17">
        <v>2</v>
      </c>
      <c r="J281" s="17">
        <v>24</v>
      </c>
      <c r="K281" s="17" t="s">
        <v>357</v>
      </c>
      <c r="L281" s="17" t="s">
        <v>66</v>
      </c>
      <c r="M281" s="17" t="s">
        <v>67</v>
      </c>
      <c r="N281" s="17" t="s">
        <v>58</v>
      </c>
      <c r="O281" s="17" t="s">
        <v>169</v>
      </c>
      <c r="P281" s="17"/>
      <c r="Q281" s="17"/>
      <c r="R281" s="17"/>
      <c r="S281" s="17"/>
      <c r="T281" s="17">
        <v>16.5</v>
      </c>
      <c r="U281" s="17">
        <v>2.38</v>
      </c>
      <c r="V281" s="17">
        <v>17.21</v>
      </c>
      <c r="W281" s="17">
        <v>3.36</v>
      </c>
      <c r="X281" s="17"/>
      <c r="Y281" s="17"/>
      <c r="Z281" s="17"/>
      <c r="AA281" s="17"/>
      <c r="AB281" s="17"/>
      <c r="AC281" s="17"/>
      <c r="AD281" s="17"/>
      <c r="AE281" s="17"/>
      <c r="AF281" s="17"/>
      <c r="AG281" s="17"/>
      <c r="AH281" s="17"/>
      <c r="AI281" s="17"/>
      <c r="AJ281" s="17"/>
      <c r="AK281" s="17"/>
      <c r="AL281" s="17"/>
      <c r="AM281" s="17"/>
      <c r="AN281" s="17"/>
      <c r="AO281" s="17"/>
      <c r="AP281" s="17"/>
      <c r="AQ281" s="17"/>
      <c r="AR281" s="17"/>
      <c r="AS281" s="17"/>
      <c r="AT281" s="17"/>
    </row>
    <row r="282" spans="1:46" x14ac:dyDescent="0.25">
      <c r="A282" s="61">
        <v>120</v>
      </c>
      <c r="B282" t="s">
        <v>354</v>
      </c>
      <c r="C282" s="18" t="s">
        <v>352</v>
      </c>
      <c r="D282" s="17">
        <v>2007</v>
      </c>
      <c r="E282" s="17" t="s">
        <v>44</v>
      </c>
      <c r="F282" s="17" t="s">
        <v>130</v>
      </c>
      <c r="G282" s="17" t="s">
        <v>178</v>
      </c>
      <c r="H282" s="17">
        <v>21</v>
      </c>
      <c r="I282" s="17">
        <v>2</v>
      </c>
      <c r="J282" s="17">
        <v>24</v>
      </c>
      <c r="K282" s="17" t="s">
        <v>358</v>
      </c>
      <c r="L282" s="17" t="s">
        <v>66</v>
      </c>
      <c r="M282" s="17" t="s">
        <v>67</v>
      </c>
      <c r="N282" s="17" t="s">
        <v>58</v>
      </c>
      <c r="O282" s="17" t="s">
        <v>169</v>
      </c>
      <c r="P282" s="17"/>
      <c r="Q282" s="17"/>
      <c r="R282" s="17"/>
      <c r="S282" s="17"/>
      <c r="T282" s="17">
        <v>16.920000000000002</v>
      </c>
      <c r="U282" s="17">
        <v>2.12</v>
      </c>
      <c r="V282" s="17">
        <v>17.38</v>
      </c>
      <c r="W282" s="17">
        <v>3.56</v>
      </c>
      <c r="X282" s="17"/>
      <c r="Y282" s="17"/>
      <c r="Z282" s="17"/>
      <c r="AA282" s="17"/>
      <c r="AB282" s="17"/>
      <c r="AC282" s="17"/>
      <c r="AD282" s="17"/>
      <c r="AE282" s="17"/>
      <c r="AF282" s="17"/>
      <c r="AG282" s="17"/>
      <c r="AH282" s="17"/>
      <c r="AI282" s="17"/>
      <c r="AJ282" s="17"/>
      <c r="AK282" s="17"/>
      <c r="AL282" s="17"/>
      <c r="AM282" s="17"/>
      <c r="AN282" s="17"/>
      <c r="AO282" s="17"/>
      <c r="AP282" s="17"/>
      <c r="AQ282" s="17"/>
      <c r="AR282" s="17"/>
      <c r="AS282" s="17"/>
      <c r="AT282" s="17"/>
    </row>
    <row r="283" spans="1:46" x14ac:dyDescent="0.25">
      <c r="A283" s="61">
        <v>120</v>
      </c>
      <c r="B283" s="17" t="s">
        <v>354</v>
      </c>
      <c r="C283" s="18" t="s">
        <v>352</v>
      </c>
      <c r="D283" s="17">
        <v>2007</v>
      </c>
      <c r="E283" s="17" t="s">
        <v>44</v>
      </c>
      <c r="F283" s="17" t="s">
        <v>130</v>
      </c>
      <c r="G283" s="17" t="s">
        <v>178</v>
      </c>
      <c r="H283" s="17">
        <v>21</v>
      </c>
      <c r="I283" s="17">
        <v>2</v>
      </c>
      <c r="J283" s="17">
        <v>24</v>
      </c>
      <c r="K283" s="17" t="s">
        <v>355</v>
      </c>
      <c r="L283" s="17" t="s">
        <v>66</v>
      </c>
      <c r="M283" s="17" t="s">
        <v>122</v>
      </c>
      <c r="N283" s="17" t="s">
        <v>58</v>
      </c>
      <c r="O283" s="17" t="s">
        <v>169</v>
      </c>
      <c r="P283" s="17"/>
      <c r="Q283" s="17"/>
      <c r="R283" s="17"/>
      <c r="S283" s="17"/>
      <c r="T283" s="17">
        <v>27.42</v>
      </c>
      <c r="U283" s="17">
        <v>5.26</v>
      </c>
      <c r="V283" s="17">
        <v>25.17</v>
      </c>
      <c r="W283" s="17">
        <v>2.2999999999999998</v>
      </c>
      <c r="X283" s="17"/>
      <c r="Y283" s="17"/>
      <c r="Z283" s="17"/>
      <c r="AA283" s="17"/>
      <c r="AB283" s="17"/>
      <c r="AC283" s="17"/>
      <c r="AD283" s="17"/>
      <c r="AE283" s="17"/>
      <c r="AF283" s="17"/>
      <c r="AG283" s="17"/>
      <c r="AH283" s="17"/>
      <c r="AI283" s="17"/>
      <c r="AJ283" s="17"/>
      <c r="AK283" s="17"/>
      <c r="AL283" s="17"/>
      <c r="AM283" s="17"/>
      <c r="AN283" s="17"/>
      <c r="AO283" s="17"/>
      <c r="AP283" s="17"/>
      <c r="AQ283" s="17"/>
      <c r="AR283" s="17"/>
      <c r="AS283" s="17"/>
      <c r="AT283" s="17"/>
    </row>
    <row r="284" spans="1:46" x14ac:dyDescent="0.25">
      <c r="A284" s="61">
        <v>120</v>
      </c>
      <c r="B284" s="17" t="s">
        <v>354</v>
      </c>
      <c r="C284" s="18" t="s">
        <v>352</v>
      </c>
      <c r="D284" s="17">
        <v>2007</v>
      </c>
      <c r="E284" s="17" t="s">
        <v>44</v>
      </c>
      <c r="F284" s="17" t="s">
        <v>130</v>
      </c>
      <c r="G284" s="17" t="s">
        <v>178</v>
      </c>
      <c r="H284" s="17">
        <v>21</v>
      </c>
      <c r="I284" s="17">
        <v>2</v>
      </c>
      <c r="J284" s="17">
        <v>24</v>
      </c>
      <c r="K284" s="17" t="s">
        <v>356</v>
      </c>
      <c r="L284" s="17" t="s">
        <v>66</v>
      </c>
      <c r="M284" s="17" t="s">
        <v>122</v>
      </c>
      <c r="N284" s="17" t="s">
        <v>58</v>
      </c>
      <c r="O284" s="17" t="s">
        <v>169</v>
      </c>
      <c r="P284" s="17"/>
      <c r="Q284" s="17"/>
      <c r="R284" s="17"/>
      <c r="S284" s="17"/>
      <c r="T284" s="17">
        <v>29.33</v>
      </c>
      <c r="U284" s="17">
        <v>5.47</v>
      </c>
      <c r="V284" s="17">
        <v>26.25</v>
      </c>
      <c r="W284" s="17">
        <v>2.89</v>
      </c>
      <c r="X284" s="17"/>
      <c r="Y284" s="17"/>
      <c r="Z284" s="17"/>
      <c r="AA284" s="17"/>
      <c r="AB284" s="17"/>
      <c r="AC284" s="17"/>
      <c r="AD284" s="17"/>
      <c r="AE284" s="17"/>
      <c r="AF284" s="17"/>
      <c r="AG284" s="17"/>
      <c r="AH284" s="17"/>
      <c r="AI284" s="17"/>
      <c r="AJ284" s="17"/>
      <c r="AK284" s="17"/>
      <c r="AL284" s="17"/>
      <c r="AM284" s="17"/>
      <c r="AN284" s="17"/>
      <c r="AO284" s="17"/>
      <c r="AP284" s="17"/>
      <c r="AQ284" s="17"/>
      <c r="AR284" s="17"/>
      <c r="AS284" s="17"/>
      <c r="AT284" s="17"/>
    </row>
    <row r="285" spans="1:46" x14ac:dyDescent="0.25">
      <c r="A285" s="61">
        <v>120</v>
      </c>
      <c r="B285" s="17" t="s">
        <v>354</v>
      </c>
      <c r="C285" s="18" t="s">
        <v>352</v>
      </c>
      <c r="D285" s="17">
        <v>2007</v>
      </c>
      <c r="E285" s="17" t="s">
        <v>44</v>
      </c>
      <c r="F285" s="17" t="s">
        <v>130</v>
      </c>
      <c r="G285" s="17" t="s">
        <v>178</v>
      </c>
      <c r="H285" s="17">
        <v>21</v>
      </c>
      <c r="I285" s="17">
        <v>2</v>
      </c>
      <c r="J285" s="17">
        <v>24</v>
      </c>
      <c r="K285" s="17" t="s">
        <v>357</v>
      </c>
      <c r="L285" s="17" t="s">
        <v>66</v>
      </c>
      <c r="M285" s="17" t="s">
        <v>122</v>
      </c>
      <c r="N285" s="17" t="s">
        <v>58</v>
      </c>
      <c r="O285" s="17" t="s">
        <v>169</v>
      </c>
      <c r="P285" s="17"/>
      <c r="Q285" s="17"/>
      <c r="R285" s="17"/>
      <c r="S285" s="17"/>
      <c r="T285" s="17">
        <v>28.17</v>
      </c>
      <c r="U285" s="17">
        <v>5.09</v>
      </c>
      <c r="V285" s="17">
        <v>26.17</v>
      </c>
      <c r="W285" s="17">
        <v>3.78</v>
      </c>
      <c r="X285" s="17"/>
      <c r="Y285" s="17"/>
      <c r="Z285" s="17"/>
      <c r="AA285" s="17"/>
      <c r="AB285" s="17"/>
      <c r="AC285" s="17"/>
      <c r="AD285" s="17"/>
      <c r="AE285" s="17"/>
      <c r="AF285" s="17"/>
      <c r="AG285" s="17"/>
      <c r="AH285" s="17"/>
      <c r="AI285" s="17"/>
      <c r="AJ285" s="17"/>
      <c r="AK285" s="17"/>
      <c r="AL285" s="17"/>
      <c r="AM285" s="17"/>
      <c r="AN285" s="17"/>
      <c r="AO285" s="17"/>
      <c r="AP285" s="17"/>
      <c r="AQ285" s="17"/>
      <c r="AR285" s="17"/>
      <c r="AS285" s="17"/>
      <c r="AT285" s="17"/>
    </row>
    <row r="286" spans="1:46" x14ac:dyDescent="0.25">
      <c r="A286" s="61">
        <v>120</v>
      </c>
      <c r="B286" s="17" t="s">
        <v>354</v>
      </c>
      <c r="C286" s="18" t="s">
        <v>352</v>
      </c>
      <c r="D286" s="17">
        <v>2007</v>
      </c>
      <c r="E286" s="17" t="s">
        <v>44</v>
      </c>
      <c r="F286" s="17" t="s">
        <v>130</v>
      </c>
      <c r="G286" s="17" t="s">
        <v>178</v>
      </c>
      <c r="H286" s="17">
        <v>21</v>
      </c>
      <c r="I286" s="17">
        <v>2</v>
      </c>
      <c r="J286" s="17">
        <v>24</v>
      </c>
      <c r="K286" s="17" t="s">
        <v>358</v>
      </c>
      <c r="L286" s="17" t="s">
        <v>66</v>
      </c>
      <c r="M286" s="17" t="s">
        <v>122</v>
      </c>
      <c r="N286" s="17" t="s">
        <v>58</v>
      </c>
      <c r="O286" s="17" t="s">
        <v>169</v>
      </c>
      <c r="P286" s="17"/>
      <c r="Q286" s="17"/>
      <c r="R286" s="17"/>
      <c r="S286" s="17"/>
      <c r="T286" s="17">
        <v>28.96</v>
      </c>
      <c r="U286" s="17">
        <v>4.76</v>
      </c>
      <c r="V286" s="17">
        <v>26.96</v>
      </c>
      <c r="W286" s="17">
        <v>3.61</v>
      </c>
      <c r="X286" s="17"/>
      <c r="Y286" s="17"/>
      <c r="Z286" s="17"/>
      <c r="AA286" s="17"/>
      <c r="AB286" s="17"/>
      <c r="AC286" s="17"/>
      <c r="AD286" s="17"/>
      <c r="AE286" s="17"/>
      <c r="AF286" s="17"/>
      <c r="AG286" s="17"/>
      <c r="AH286" s="17"/>
      <c r="AI286" s="17"/>
      <c r="AJ286" s="17"/>
      <c r="AK286" s="17"/>
      <c r="AL286" s="17"/>
      <c r="AM286" s="17"/>
      <c r="AN286" s="17"/>
      <c r="AO286" s="17"/>
      <c r="AP286" s="17"/>
      <c r="AQ286" s="17"/>
      <c r="AR286" s="17"/>
      <c r="AS286" s="17"/>
      <c r="AT286" s="17"/>
    </row>
    <row r="287" spans="1:46" x14ac:dyDescent="0.25">
      <c r="A287" s="61">
        <v>30</v>
      </c>
      <c r="B287" t="s">
        <v>360</v>
      </c>
      <c r="C287" s="92" t="s">
        <v>359</v>
      </c>
      <c r="D287" s="17">
        <v>2006</v>
      </c>
      <c r="E287" s="17" t="s">
        <v>37</v>
      </c>
      <c r="F287" s="17" t="s">
        <v>95</v>
      </c>
      <c r="G287" s="17" t="s">
        <v>178</v>
      </c>
      <c r="H287" s="17">
        <v>12</v>
      </c>
      <c r="I287" s="17" t="s">
        <v>178</v>
      </c>
      <c r="J287" s="17">
        <v>30</v>
      </c>
      <c r="K287" s="17" t="s">
        <v>178</v>
      </c>
      <c r="L287" s="17" t="s">
        <v>66</v>
      </c>
      <c r="M287" s="17" t="s">
        <v>67</v>
      </c>
      <c r="N287" s="17" t="s">
        <v>58</v>
      </c>
      <c r="O287" s="17" t="s">
        <v>169</v>
      </c>
      <c r="P287" s="17">
        <v>14.8</v>
      </c>
      <c r="Q287" s="17">
        <v>4.5</v>
      </c>
      <c r="R287" s="17">
        <v>53.9</v>
      </c>
      <c r="S287" s="17">
        <v>11</v>
      </c>
      <c r="T287" s="17"/>
      <c r="U287" s="17"/>
      <c r="V287" s="17"/>
      <c r="W287" s="17"/>
      <c r="X287" s="17"/>
      <c r="Y287" s="17"/>
      <c r="Z287" s="17"/>
      <c r="AA287" s="17"/>
      <c r="AB287" s="17"/>
      <c r="AC287" s="17"/>
      <c r="AD287" s="17"/>
      <c r="AE287" s="17"/>
      <c r="AF287" s="17"/>
      <c r="AG287" s="17"/>
      <c r="AH287" s="17"/>
      <c r="AI287" s="17"/>
      <c r="AJ287" s="17"/>
      <c r="AK287" s="17"/>
      <c r="AL287" s="17"/>
      <c r="AM287" s="17"/>
      <c r="AN287" s="17"/>
      <c r="AO287" s="17"/>
      <c r="AP287" s="17"/>
      <c r="AQ287" s="17"/>
      <c r="AR287" s="17"/>
      <c r="AS287" s="17"/>
      <c r="AT287" s="17"/>
    </row>
    <row r="288" spans="1:46" x14ac:dyDescent="0.25">
      <c r="A288" s="61">
        <v>30</v>
      </c>
      <c r="B288" t="s">
        <v>360</v>
      </c>
      <c r="C288" s="92" t="s">
        <v>359</v>
      </c>
      <c r="D288" s="17">
        <v>2006</v>
      </c>
      <c r="E288" s="17" t="s">
        <v>37</v>
      </c>
      <c r="F288" s="17" t="s">
        <v>95</v>
      </c>
      <c r="G288" s="17" t="s">
        <v>178</v>
      </c>
      <c r="H288" s="17">
        <v>13</v>
      </c>
      <c r="I288" s="17" t="s">
        <v>178</v>
      </c>
      <c r="J288" s="17">
        <v>30</v>
      </c>
      <c r="K288" s="17" t="s">
        <v>178</v>
      </c>
      <c r="L288" s="17" t="s">
        <v>66</v>
      </c>
      <c r="M288" s="17" t="s">
        <v>67</v>
      </c>
      <c r="N288" s="17" t="s">
        <v>58</v>
      </c>
      <c r="O288" s="17" t="s">
        <v>169</v>
      </c>
      <c r="P288" s="17">
        <v>17.5</v>
      </c>
      <c r="Q288" s="17">
        <v>6</v>
      </c>
      <c r="R288" s="17">
        <v>68.2</v>
      </c>
      <c r="S288" s="17">
        <v>18.399999999999999</v>
      </c>
      <c r="T288" s="17"/>
      <c r="U288" s="17"/>
      <c r="V288" s="17"/>
      <c r="W288" s="17"/>
      <c r="X288" s="17"/>
      <c r="Y288" s="17"/>
      <c r="Z288" s="17"/>
      <c r="AA288" s="17"/>
      <c r="AB288" s="17"/>
      <c r="AC288" s="17"/>
      <c r="AD288" s="17"/>
      <c r="AE288" s="17"/>
      <c r="AF288" s="17"/>
      <c r="AG288" s="17"/>
      <c r="AH288" s="17"/>
      <c r="AI288" s="17"/>
      <c r="AJ288" s="17"/>
      <c r="AK288" s="17"/>
      <c r="AL288" s="17"/>
      <c r="AM288" s="17"/>
      <c r="AN288" s="17"/>
      <c r="AO288" s="17"/>
      <c r="AP288" s="17"/>
      <c r="AQ288" s="17"/>
      <c r="AR288" s="17"/>
      <c r="AS288" s="17"/>
      <c r="AT288" s="17"/>
    </row>
    <row r="289" spans="1:46" x14ac:dyDescent="0.25">
      <c r="A289" s="61">
        <v>30</v>
      </c>
      <c r="B289" t="s">
        <v>360</v>
      </c>
      <c r="C289" s="92" t="s">
        <v>359</v>
      </c>
      <c r="D289" s="17">
        <v>2006</v>
      </c>
      <c r="E289" s="17" t="s">
        <v>37</v>
      </c>
      <c r="F289" s="17" t="s">
        <v>95</v>
      </c>
      <c r="G289" s="17" t="s">
        <v>178</v>
      </c>
      <c r="H289" s="17">
        <v>14</v>
      </c>
      <c r="I289" s="17" t="s">
        <v>178</v>
      </c>
      <c r="J289" s="17">
        <v>30</v>
      </c>
      <c r="K289" s="17" t="s">
        <v>178</v>
      </c>
      <c r="L289" s="17" t="s">
        <v>66</v>
      </c>
      <c r="M289" s="17" t="s">
        <v>67</v>
      </c>
      <c r="N289" s="17" t="s">
        <v>58</v>
      </c>
      <c r="O289" s="17" t="s">
        <v>169</v>
      </c>
      <c r="P289" s="17">
        <v>23</v>
      </c>
      <c r="Q289" s="17">
        <v>7.1</v>
      </c>
      <c r="R289" s="17">
        <v>79.400000000000006</v>
      </c>
      <c r="S289" s="17">
        <v>16.8</v>
      </c>
      <c r="T289" s="17"/>
      <c r="U289" s="17"/>
      <c r="V289" s="17"/>
      <c r="W289" s="17"/>
      <c r="X289" s="17"/>
      <c r="Y289" s="17"/>
      <c r="Z289" s="17"/>
      <c r="AA289" s="17"/>
      <c r="AB289" s="17"/>
      <c r="AC289" s="17"/>
      <c r="AD289" s="17"/>
      <c r="AE289" s="17"/>
      <c r="AF289" s="17"/>
      <c r="AG289" s="17"/>
      <c r="AH289" s="17"/>
      <c r="AI289" s="17"/>
      <c r="AJ289" s="17"/>
      <c r="AK289" s="17"/>
      <c r="AL289" s="17"/>
      <c r="AM289" s="17"/>
      <c r="AN289" s="17"/>
      <c r="AO289" s="17"/>
      <c r="AP289" s="17"/>
      <c r="AQ289" s="17"/>
      <c r="AR289" s="17"/>
      <c r="AS289" s="17"/>
      <c r="AT289" s="17"/>
    </row>
    <row r="290" spans="1:46" x14ac:dyDescent="0.25">
      <c r="A290" s="61">
        <v>30</v>
      </c>
      <c r="B290" t="s">
        <v>360</v>
      </c>
      <c r="C290" s="92" t="s">
        <v>359</v>
      </c>
      <c r="D290" s="17">
        <v>2006</v>
      </c>
      <c r="E290" s="17" t="s">
        <v>37</v>
      </c>
      <c r="F290" s="17" t="s">
        <v>95</v>
      </c>
      <c r="G290" s="17" t="s">
        <v>178</v>
      </c>
      <c r="H290" s="17">
        <v>15</v>
      </c>
      <c r="I290" s="17" t="s">
        <v>178</v>
      </c>
      <c r="J290" s="17">
        <v>30</v>
      </c>
      <c r="K290" s="17" t="s">
        <v>178</v>
      </c>
      <c r="L290" s="17" t="s">
        <v>66</v>
      </c>
      <c r="M290" s="17" t="s">
        <v>67</v>
      </c>
      <c r="N290" s="17" t="s">
        <v>58</v>
      </c>
      <c r="O290" s="17" t="s">
        <v>169</v>
      </c>
      <c r="P290" s="17">
        <v>27.9</v>
      </c>
      <c r="Q290" s="17">
        <v>7.2</v>
      </c>
      <c r="R290" s="17">
        <v>89.8</v>
      </c>
      <c r="S290" s="17">
        <v>22.8</v>
      </c>
      <c r="T290" s="17"/>
      <c r="U290" s="17"/>
      <c r="V290" s="17"/>
      <c r="W290" s="17"/>
      <c r="X290" s="17"/>
      <c r="Y290" s="17"/>
      <c r="Z290" s="17"/>
      <c r="AA290" s="17"/>
      <c r="AB290" s="17"/>
      <c r="AC290" s="17"/>
      <c r="AD290" s="17"/>
      <c r="AE290" s="17"/>
      <c r="AF290" s="17"/>
      <c r="AG290" s="17"/>
      <c r="AH290" s="17"/>
      <c r="AI290" s="17"/>
      <c r="AJ290" s="17"/>
      <c r="AK290" s="17"/>
      <c r="AL290" s="17"/>
      <c r="AM290" s="17"/>
      <c r="AN290" s="17"/>
      <c r="AO290" s="17"/>
      <c r="AP290" s="17"/>
      <c r="AQ290" s="17"/>
      <c r="AR290" s="17"/>
      <c r="AS290" s="17"/>
      <c r="AT290" s="17"/>
    </row>
    <row r="291" spans="1:46" x14ac:dyDescent="0.25">
      <c r="A291" s="61">
        <v>30</v>
      </c>
      <c r="B291" t="s">
        <v>360</v>
      </c>
      <c r="C291" s="92" t="s">
        <v>359</v>
      </c>
      <c r="D291" s="17">
        <v>2006</v>
      </c>
      <c r="E291" s="17" t="s">
        <v>37</v>
      </c>
      <c r="F291" s="17" t="s">
        <v>95</v>
      </c>
      <c r="G291" s="17" t="s">
        <v>178</v>
      </c>
      <c r="H291" s="17">
        <v>16</v>
      </c>
      <c r="I291" s="17" t="s">
        <v>178</v>
      </c>
      <c r="J291" s="17">
        <v>30</v>
      </c>
      <c r="K291" s="17" t="s">
        <v>178</v>
      </c>
      <c r="L291" s="17" t="s">
        <v>66</v>
      </c>
      <c r="M291" s="17" t="s">
        <v>67</v>
      </c>
      <c r="N291" s="17" t="s">
        <v>58</v>
      </c>
      <c r="O291" s="17" t="s">
        <v>169</v>
      </c>
      <c r="P291" s="17">
        <v>28.2</v>
      </c>
      <c r="Q291" s="17">
        <v>3.6</v>
      </c>
      <c r="R291" s="17">
        <v>104.9</v>
      </c>
      <c r="S291" s="17">
        <v>16.899999999999999</v>
      </c>
      <c r="T291" s="17"/>
      <c r="U291" s="17"/>
      <c r="V291" s="17"/>
      <c r="W291" s="17"/>
      <c r="X291" s="17"/>
      <c r="Y291" s="17"/>
      <c r="Z291" s="17"/>
      <c r="AA291" s="17"/>
      <c r="AB291" s="17"/>
      <c r="AC291" s="17"/>
      <c r="AD291" s="17"/>
      <c r="AE291" s="17"/>
      <c r="AF291" s="17"/>
      <c r="AG291" s="17"/>
      <c r="AH291" s="17"/>
      <c r="AI291" s="17"/>
      <c r="AJ291" s="17"/>
      <c r="AK291" s="17"/>
      <c r="AL291" s="17"/>
      <c r="AM291" s="17"/>
      <c r="AN291" s="17"/>
      <c r="AO291" s="17"/>
      <c r="AP291" s="17"/>
      <c r="AQ291" s="17"/>
      <c r="AR291" s="17"/>
      <c r="AS291" s="17"/>
      <c r="AT291" s="17"/>
    </row>
    <row r="292" spans="1:46" x14ac:dyDescent="0.25">
      <c r="A292" s="61">
        <v>30</v>
      </c>
      <c r="B292" t="s">
        <v>360</v>
      </c>
      <c r="C292" s="92" t="s">
        <v>359</v>
      </c>
      <c r="D292" s="17">
        <v>2006</v>
      </c>
      <c r="E292" s="17" t="s">
        <v>37</v>
      </c>
      <c r="F292" s="17" t="s">
        <v>95</v>
      </c>
      <c r="G292" s="17" t="s">
        <v>178</v>
      </c>
      <c r="H292" s="17">
        <v>17</v>
      </c>
      <c r="I292" s="17" t="s">
        <v>178</v>
      </c>
      <c r="J292" s="17">
        <v>30</v>
      </c>
      <c r="K292" s="17" t="s">
        <v>178</v>
      </c>
      <c r="L292" s="17" t="s">
        <v>66</v>
      </c>
      <c r="M292" s="17" t="s">
        <v>67</v>
      </c>
      <c r="N292" s="17" t="s">
        <v>58</v>
      </c>
      <c r="O292" s="17" t="s">
        <v>169</v>
      </c>
      <c r="P292" s="17">
        <v>28.9</v>
      </c>
      <c r="Q292" s="17">
        <v>5.5</v>
      </c>
      <c r="R292" s="17">
        <v>110.3</v>
      </c>
      <c r="S292" s="17">
        <v>19.5</v>
      </c>
      <c r="T292" s="17"/>
      <c r="U292" s="17"/>
      <c r="V292" s="17"/>
      <c r="W292" s="17"/>
      <c r="X292" s="17"/>
      <c r="Y292" s="17"/>
      <c r="Z292" s="17"/>
      <c r="AA292" s="17"/>
      <c r="AB292" s="17"/>
      <c r="AC292" s="17"/>
      <c r="AD292" s="17"/>
      <c r="AE292" s="17"/>
      <c r="AF292" s="17"/>
      <c r="AG292" s="17"/>
      <c r="AH292" s="17"/>
      <c r="AI292" s="17"/>
      <c r="AJ292" s="17"/>
      <c r="AK292" s="17"/>
      <c r="AL292" s="17"/>
      <c r="AM292" s="17"/>
      <c r="AN292" s="17"/>
      <c r="AO292" s="17"/>
      <c r="AP292" s="17"/>
      <c r="AQ292" s="17"/>
      <c r="AR292" s="17"/>
      <c r="AS292" s="17"/>
      <c r="AT292" s="17"/>
    </row>
    <row r="293" spans="1:46" x14ac:dyDescent="0.25">
      <c r="A293" s="61">
        <v>30</v>
      </c>
      <c r="B293" t="s">
        <v>360</v>
      </c>
      <c r="C293" s="92" t="s">
        <v>359</v>
      </c>
      <c r="D293" s="17">
        <v>2006</v>
      </c>
      <c r="E293" s="17" t="s">
        <v>37</v>
      </c>
      <c r="F293" s="17" t="s">
        <v>95</v>
      </c>
      <c r="G293" s="17" t="s">
        <v>178</v>
      </c>
      <c r="H293" s="17">
        <v>12</v>
      </c>
      <c r="I293" s="17" t="s">
        <v>178</v>
      </c>
      <c r="J293" s="17">
        <v>30</v>
      </c>
      <c r="K293" s="17" t="s">
        <v>178</v>
      </c>
      <c r="L293" s="17" t="s">
        <v>66</v>
      </c>
      <c r="M293" s="17" t="s">
        <v>122</v>
      </c>
      <c r="N293" s="17" t="s">
        <v>58</v>
      </c>
      <c r="O293" s="17" t="s">
        <v>169</v>
      </c>
      <c r="P293" s="17">
        <v>29.8</v>
      </c>
      <c r="Q293" s="17">
        <v>6.7</v>
      </c>
      <c r="R293" s="17">
        <v>74.3</v>
      </c>
      <c r="S293" s="17">
        <v>16.600000000000001</v>
      </c>
      <c r="T293" s="17"/>
      <c r="U293" s="17"/>
      <c r="V293" s="17"/>
      <c r="W293" s="17"/>
      <c r="X293" s="17"/>
      <c r="Y293" s="17"/>
      <c r="Z293" s="17"/>
      <c r="AA293" s="17"/>
      <c r="AB293" s="17"/>
      <c r="AC293" s="17"/>
      <c r="AD293" s="17"/>
      <c r="AE293" s="17"/>
      <c r="AF293" s="17"/>
      <c r="AG293" s="17"/>
      <c r="AH293" s="17"/>
      <c r="AI293" s="17"/>
      <c r="AJ293" s="17"/>
      <c r="AK293" s="17"/>
      <c r="AL293" s="17"/>
      <c r="AM293" s="17"/>
      <c r="AN293" s="17"/>
      <c r="AO293" s="17"/>
      <c r="AP293" s="17"/>
      <c r="AQ293" s="17"/>
      <c r="AR293" s="17"/>
      <c r="AS293" s="17"/>
      <c r="AT293" s="17"/>
    </row>
    <row r="294" spans="1:46" x14ac:dyDescent="0.25">
      <c r="A294" s="61">
        <v>30</v>
      </c>
      <c r="B294" t="s">
        <v>360</v>
      </c>
      <c r="C294" s="92" t="s">
        <v>359</v>
      </c>
      <c r="D294" s="17">
        <v>2006</v>
      </c>
      <c r="E294" s="17" t="s">
        <v>37</v>
      </c>
      <c r="F294" s="17" t="s">
        <v>95</v>
      </c>
      <c r="G294" s="17" t="s">
        <v>178</v>
      </c>
      <c r="H294" s="17">
        <v>13</v>
      </c>
      <c r="I294" s="17" t="s">
        <v>178</v>
      </c>
      <c r="J294" s="17">
        <v>30</v>
      </c>
      <c r="K294" s="17" t="s">
        <v>178</v>
      </c>
      <c r="L294" s="17" t="s">
        <v>66</v>
      </c>
      <c r="M294" s="17" t="s">
        <v>122</v>
      </c>
      <c r="N294" s="17" t="s">
        <v>58</v>
      </c>
      <c r="O294" s="17" t="s">
        <v>169</v>
      </c>
      <c r="P294" s="17">
        <v>35.6</v>
      </c>
      <c r="Q294" s="17">
        <v>11</v>
      </c>
      <c r="R294" s="17">
        <v>91.9</v>
      </c>
      <c r="S294" s="17">
        <v>21.9</v>
      </c>
      <c r="T294" s="17"/>
      <c r="U294" s="17"/>
      <c r="V294" s="17"/>
      <c r="W294" s="17"/>
      <c r="X294" s="17"/>
      <c r="Y294" s="17"/>
      <c r="Z294" s="17"/>
      <c r="AA294" s="17"/>
      <c r="AB294" s="17"/>
      <c r="AC294" s="17"/>
      <c r="AD294" s="17"/>
      <c r="AE294" s="17"/>
      <c r="AF294" s="17"/>
      <c r="AG294" s="17"/>
      <c r="AH294" s="17"/>
      <c r="AI294" s="17"/>
      <c r="AJ294" s="17"/>
      <c r="AK294" s="17"/>
      <c r="AL294" s="17"/>
      <c r="AM294" s="17"/>
      <c r="AN294" s="17"/>
      <c r="AO294" s="17"/>
      <c r="AP294" s="17"/>
      <c r="AQ294" s="17"/>
      <c r="AR294" s="17"/>
      <c r="AS294" s="17"/>
      <c r="AT294" s="17"/>
    </row>
    <row r="295" spans="1:46" x14ac:dyDescent="0.25">
      <c r="A295" s="61">
        <v>30</v>
      </c>
      <c r="B295" t="s">
        <v>360</v>
      </c>
      <c r="C295" s="92" t="s">
        <v>359</v>
      </c>
      <c r="D295" s="17">
        <v>2006</v>
      </c>
      <c r="E295" s="17" t="s">
        <v>37</v>
      </c>
      <c r="F295" s="17" t="s">
        <v>95</v>
      </c>
      <c r="G295" s="17" t="s">
        <v>178</v>
      </c>
      <c r="H295" s="17">
        <v>14</v>
      </c>
      <c r="I295" s="17" t="s">
        <v>178</v>
      </c>
      <c r="J295" s="17">
        <v>30</v>
      </c>
      <c r="K295" s="17" t="s">
        <v>178</v>
      </c>
      <c r="L295" s="17" t="s">
        <v>66</v>
      </c>
      <c r="M295" s="17" t="s">
        <v>122</v>
      </c>
      <c r="N295" s="17" t="s">
        <v>58</v>
      </c>
      <c r="O295" s="17" t="s">
        <v>169</v>
      </c>
      <c r="P295" s="17">
        <v>45.1</v>
      </c>
      <c r="Q295" s="17">
        <v>14.6</v>
      </c>
      <c r="R295" s="17">
        <v>109.2</v>
      </c>
      <c r="S295" s="17">
        <v>27.6</v>
      </c>
      <c r="T295" s="17"/>
      <c r="U295" s="17"/>
      <c r="V295" s="17"/>
      <c r="W295" s="17"/>
      <c r="X295" s="17"/>
      <c r="Y295" s="17"/>
      <c r="Z295" s="17"/>
      <c r="AA295" s="17"/>
      <c r="AB295" s="17"/>
      <c r="AC295" s="17"/>
      <c r="AD295" s="17"/>
      <c r="AE295" s="17"/>
      <c r="AF295" s="17"/>
      <c r="AG295" s="17"/>
      <c r="AH295" s="17"/>
      <c r="AI295" s="17"/>
      <c r="AJ295" s="17"/>
      <c r="AK295" s="17"/>
      <c r="AL295" s="17"/>
      <c r="AM295" s="17"/>
      <c r="AN295" s="17"/>
      <c r="AO295" s="17"/>
      <c r="AP295" s="17"/>
      <c r="AQ295" s="17"/>
      <c r="AR295" s="17"/>
      <c r="AS295" s="17"/>
      <c r="AT295" s="17"/>
    </row>
    <row r="296" spans="1:46" x14ac:dyDescent="0.25">
      <c r="A296" s="61">
        <v>30</v>
      </c>
      <c r="B296" t="s">
        <v>360</v>
      </c>
      <c r="C296" s="92" t="s">
        <v>359</v>
      </c>
      <c r="D296" s="17">
        <v>2006</v>
      </c>
      <c r="E296" s="17" t="s">
        <v>37</v>
      </c>
      <c r="F296" s="17" t="s">
        <v>95</v>
      </c>
      <c r="G296" s="17" t="s">
        <v>178</v>
      </c>
      <c r="H296" s="17">
        <v>15</v>
      </c>
      <c r="I296" s="17" t="s">
        <v>178</v>
      </c>
      <c r="J296" s="17">
        <v>30</v>
      </c>
      <c r="K296" s="17" t="s">
        <v>178</v>
      </c>
      <c r="L296" s="17" t="s">
        <v>66</v>
      </c>
      <c r="M296" s="17" t="s">
        <v>122</v>
      </c>
      <c r="N296" s="17" t="s">
        <v>58</v>
      </c>
      <c r="O296" s="17" t="s">
        <v>169</v>
      </c>
      <c r="P296" s="17">
        <v>53.5</v>
      </c>
      <c r="Q296" s="17">
        <v>12.5</v>
      </c>
      <c r="R296" s="17">
        <v>127.3</v>
      </c>
      <c r="S296" s="17">
        <v>32.9</v>
      </c>
      <c r="T296" s="17"/>
      <c r="U296" s="17"/>
      <c r="V296" s="17"/>
      <c r="W296" s="17"/>
      <c r="X296" s="17"/>
      <c r="Y296" s="17"/>
      <c r="Z296" s="17"/>
      <c r="AA296" s="17"/>
      <c r="AB296" s="17"/>
      <c r="AC296" s="17"/>
      <c r="AD296" s="17"/>
      <c r="AE296" s="17"/>
      <c r="AF296" s="17"/>
      <c r="AG296" s="17"/>
      <c r="AH296" s="17"/>
      <c r="AI296" s="17"/>
      <c r="AJ296" s="17"/>
      <c r="AK296" s="17"/>
      <c r="AL296" s="17"/>
      <c r="AM296" s="17"/>
      <c r="AN296" s="17"/>
      <c r="AO296" s="17"/>
      <c r="AP296" s="17"/>
      <c r="AQ296" s="17"/>
      <c r="AR296" s="17"/>
      <c r="AS296" s="17"/>
      <c r="AT296" s="17"/>
    </row>
    <row r="297" spans="1:46" x14ac:dyDescent="0.25">
      <c r="A297" s="61">
        <v>30</v>
      </c>
      <c r="B297" t="s">
        <v>360</v>
      </c>
      <c r="C297" s="92" t="s">
        <v>359</v>
      </c>
      <c r="D297" s="17">
        <v>2006</v>
      </c>
      <c r="E297" s="17" t="s">
        <v>37</v>
      </c>
      <c r="F297" s="17" t="s">
        <v>95</v>
      </c>
      <c r="G297" s="17" t="s">
        <v>178</v>
      </c>
      <c r="H297" s="17">
        <v>16</v>
      </c>
      <c r="I297" s="17" t="s">
        <v>178</v>
      </c>
      <c r="J297" s="17">
        <v>30</v>
      </c>
      <c r="K297" s="17" t="s">
        <v>178</v>
      </c>
      <c r="L297" s="17" t="s">
        <v>66</v>
      </c>
      <c r="M297" s="17" t="s">
        <v>122</v>
      </c>
      <c r="N297" s="17" t="s">
        <v>58</v>
      </c>
      <c r="O297" s="17" t="s">
        <v>169</v>
      </c>
      <c r="P297" s="17">
        <v>54</v>
      </c>
      <c r="Q297" s="17">
        <v>6</v>
      </c>
      <c r="R297" s="17">
        <v>144.4</v>
      </c>
      <c r="S297" s="17">
        <v>22.3</v>
      </c>
      <c r="T297" s="17"/>
      <c r="U297" s="17"/>
      <c r="V297" s="17"/>
      <c r="W297" s="17"/>
      <c r="X297" s="17"/>
      <c r="Y297" s="17"/>
      <c r="Z297" s="17"/>
      <c r="AA297" s="17"/>
      <c r="AB297" s="17"/>
      <c r="AC297" s="17"/>
      <c r="AD297" s="17"/>
      <c r="AE297" s="17"/>
      <c r="AF297" s="17"/>
      <c r="AG297" s="17"/>
      <c r="AH297" s="17"/>
      <c r="AI297" s="17"/>
      <c r="AJ297" s="17"/>
      <c r="AK297" s="17"/>
      <c r="AL297" s="17"/>
      <c r="AM297" s="17"/>
      <c r="AN297" s="17"/>
      <c r="AO297" s="17"/>
      <c r="AP297" s="17"/>
      <c r="AQ297" s="17"/>
      <c r="AR297" s="17"/>
      <c r="AS297" s="17"/>
      <c r="AT297" s="17"/>
    </row>
    <row r="298" spans="1:46" x14ac:dyDescent="0.25">
      <c r="A298" s="61">
        <v>30</v>
      </c>
      <c r="B298" t="s">
        <v>360</v>
      </c>
      <c r="C298" s="92" t="s">
        <v>359</v>
      </c>
      <c r="D298" s="17">
        <v>2006</v>
      </c>
      <c r="E298" s="17" t="s">
        <v>37</v>
      </c>
      <c r="F298" s="17" t="s">
        <v>95</v>
      </c>
      <c r="G298" s="17" t="s">
        <v>178</v>
      </c>
      <c r="H298" s="17">
        <v>17</v>
      </c>
      <c r="I298" s="17" t="s">
        <v>178</v>
      </c>
      <c r="J298" s="17">
        <v>30</v>
      </c>
      <c r="K298" s="17" t="s">
        <v>178</v>
      </c>
      <c r="L298" s="17" t="s">
        <v>66</v>
      </c>
      <c r="M298" s="17" t="s">
        <v>122</v>
      </c>
      <c r="N298" s="17" t="s">
        <v>58</v>
      </c>
      <c r="O298" s="17" t="s">
        <v>169</v>
      </c>
      <c r="P298" s="17">
        <v>55</v>
      </c>
      <c r="Q298" s="17">
        <v>11.7</v>
      </c>
      <c r="R298" s="17">
        <v>154.19999999999999</v>
      </c>
      <c r="S298" s="17">
        <v>25.3</v>
      </c>
      <c r="T298" s="17"/>
      <c r="U298" s="17"/>
      <c r="V298" s="17"/>
      <c r="W298" s="17"/>
      <c r="X298" s="17"/>
      <c r="Y298" s="17"/>
      <c r="Z298" s="17"/>
      <c r="AA298" s="17"/>
      <c r="AB298" s="17"/>
      <c r="AC298" s="17"/>
      <c r="AD298" s="17"/>
      <c r="AE298" s="17"/>
      <c r="AF298" s="17"/>
      <c r="AG298" s="17"/>
      <c r="AH298" s="17"/>
      <c r="AI298" s="17"/>
      <c r="AJ298" s="17"/>
      <c r="AK298" s="17"/>
      <c r="AL298" s="17"/>
      <c r="AM298" s="17"/>
      <c r="AN298" s="17"/>
      <c r="AO298" s="17"/>
      <c r="AP298" s="17"/>
      <c r="AQ298" s="17"/>
      <c r="AR298" s="17"/>
      <c r="AS298" s="17"/>
      <c r="AT298" s="17"/>
    </row>
    <row r="299" spans="1:46" x14ac:dyDescent="0.25">
      <c r="A299" s="61">
        <v>90</v>
      </c>
      <c r="B299" t="s">
        <v>360</v>
      </c>
      <c r="C299" s="92" t="s">
        <v>359</v>
      </c>
      <c r="D299" s="17">
        <v>2006</v>
      </c>
      <c r="E299" s="17" t="s">
        <v>37</v>
      </c>
      <c r="F299" s="17" t="s">
        <v>95</v>
      </c>
      <c r="G299" s="17" t="s">
        <v>178</v>
      </c>
      <c r="H299" s="17">
        <v>12</v>
      </c>
      <c r="I299" s="17" t="s">
        <v>178</v>
      </c>
      <c r="J299" s="17">
        <v>30</v>
      </c>
      <c r="K299" s="17" t="s">
        <v>178</v>
      </c>
      <c r="L299" s="17" t="s">
        <v>66</v>
      </c>
      <c r="M299" s="17" t="s">
        <v>67</v>
      </c>
      <c r="N299" s="17" t="s">
        <v>58</v>
      </c>
      <c r="O299" s="17" t="s">
        <v>169</v>
      </c>
      <c r="P299" s="17">
        <v>8.5</v>
      </c>
      <c r="Q299" s="17">
        <v>3.1</v>
      </c>
      <c r="R299" s="17">
        <v>36.5</v>
      </c>
      <c r="S299" s="17">
        <v>8.9</v>
      </c>
      <c r="T299" s="17"/>
      <c r="U299" s="17"/>
      <c r="V299" s="17"/>
      <c r="W299" s="17"/>
      <c r="X299" s="17"/>
      <c r="Y299" s="17"/>
      <c r="Z299" s="17"/>
      <c r="AA299" s="17"/>
      <c r="AB299" s="17"/>
      <c r="AC299" s="17"/>
      <c r="AD299" s="17"/>
      <c r="AE299" s="17"/>
      <c r="AF299" s="17"/>
      <c r="AG299" s="17"/>
      <c r="AH299" s="17"/>
      <c r="AI299" s="17"/>
      <c r="AJ299" s="17"/>
      <c r="AK299" s="17"/>
      <c r="AL299" s="17"/>
      <c r="AM299" s="17"/>
      <c r="AN299" s="17"/>
      <c r="AO299" s="17"/>
      <c r="AP299" s="17"/>
      <c r="AQ299" s="17"/>
      <c r="AR299" s="17"/>
      <c r="AS299" s="17"/>
      <c r="AT299" s="17"/>
    </row>
    <row r="300" spans="1:46" x14ac:dyDescent="0.25">
      <c r="A300" s="61">
        <v>90</v>
      </c>
      <c r="B300" t="s">
        <v>360</v>
      </c>
      <c r="C300" s="92" t="s">
        <v>359</v>
      </c>
      <c r="D300" s="17">
        <v>2006</v>
      </c>
      <c r="E300" s="17" t="s">
        <v>37</v>
      </c>
      <c r="F300" s="17" t="s">
        <v>95</v>
      </c>
      <c r="G300" s="17" t="s">
        <v>178</v>
      </c>
      <c r="H300" s="17">
        <v>13</v>
      </c>
      <c r="I300" s="17" t="s">
        <v>178</v>
      </c>
      <c r="J300" s="17">
        <v>30</v>
      </c>
      <c r="K300" s="17" t="s">
        <v>178</v>
      </c>
      <c r="L300" s="17" t="s">
        <v>66</v>
      </c>
      <c r="M300" s="17" t="s">
        <v>67</v>
      </c>
      <c r="N300" s="17" t="s">
        <v>58</v>
      </c>
      <c r="O300" s="17" t="s">
        <v>169</v>
      </c>
      <c r="P300" s="17">
        <v>10.7</v>
      </c>
      <c r="Q300" s="17">
        <v>3.8</v>
      </c>
      <c r="R300" s="17">
        <v>45.8</v>
      </c>
      <c r="S300" s="17">
        <v>11.6</v>
      </c>
      <c r="T300" s="17"/>
      <c r="U300" s="17"/>
      <c r="V300" s="17"/>
      <c r="W300" s="17"/>
      <c r="X300" s="17"/>
      <c r="Y300" s="17"/>
      <c r="Z300" s="17"/>
      <c r="AA300" s="17"/>
      <c r="AB300" s="17"/>
      <c r="AC300" s="17"/>
      <c r="AD300" s="17"/>
      <c r="AE300" s="17"/>
      <c r="AF300" s="17"/>
      <c r="AG300" s="17"/>
      <c r="AH300" s="17"/>
      <c r="AI300" s="17"/>
      <c r="AJ300" s="17"/>
      <c r="AK300" s="17"/>
      <c r="AL300" s="17"/>
      <c r="AM300" s="17"/>
      <c r="AN300" s="17"/>
      <c r="AO300" s="17"/>
      <c r="AP300" s="17"/>
      <c r="AQ300" s="17"/>
      <c r="AR300" s="17"/>
      <c r="AS300" s="17"/>
      <c r="AT300" s="17"/>
    </row>
    <row r="301" spans="1:46" x14ac:dyDescent="0.25">
      <c r="A301" s="61">
        <v>90</v>
      </c>
      <c r="B301" t="s">
        <v>360</v>
      </c>
      <c r="C301" s="92" t="s">
        <v>359</v>
      </c>
      <c r="D301" s="17">
        <v>2006</v>
      </c>
      <c r="E301" s="17" t="s">
        <v>37</v>
      </c>
      <c r="F301" s="17" t="s">
        <v>95</v>
      </c>
      <c r="G301" s="17" t="s">
        <v>178</v>
      </c>
      <c r="H301" s="17">
        <v>14</v>
      </c>
      <c r="I301" s="17" t="s">
        <v>178</v>
      </c>
      <c r="J301" s="17">
        <v>30</v>
      </c>
      <c r="K301" s="17" t="s">
        <v>178</v>
      </c>
      <c r="L301" s="17" t="s">
        <v>66</v>
      </c>
      <c r="M301" s="17" t="s">
        <v>67</v>
      </c>
      <c r="N301" s="17" t="s">
        <v>58</v>
      </c>
      <c r="O301" s="17" t="s">
        <v>169</v>
      </c>
      <c r="P301" s="17">
        <v>14.2</v>
      </c>
      <c r="Q301" s="17">
        <v>5.7</v>
      </c>
      <c r="R301" s="17">
        <v>54.6</v>
      </c>
      <c r="S301" s="17">
        <v>12.4</v>
      </c>
      <c r="T301" s="17"/>
      <c r="U301" s="17"/>
      <c r="V301" s="17"/>
      <c r="W301" s="17"/>
      <c r="X301" s="17"/>
      <c r="Y301" s="17"/>
      <c r="Z301" s="17"/>
      <c r="AA301" s="17"/>
      <c r="AB301" s="17"/>
      <c r="AC301" s="17"/>
      <c r="AD301" s="17"/>
      <c r="AE301" s="17"/>
      <c r="AF301" s="17"/>
      <c r="AG301" s="17"/>
      <c r="AH301" s="17"/>
      <c r="AI301" s="17"/>
      <c r="AJ301" s="17"/>
      <c r="AK301" s="17"/>
      <c r="AL301" s="17"/>
      <c r="AM301" s="17"/>
      <c r="AN301" s="17"/>
      <c r="AO301" s="17"/>
      <c r="AP301" s="17"/>
      <c r="AQ301" s="17"/>
      <c r="AR301" s="17"/>
      <c r="AS301" s="17"/>
      <c r="AT301" s="17"/>
    </row>
    <row r="302" spans="1:46" x14ac:dyDescent="0.25">
      <c r="A302" s="61">
        <v>90</v>
      </c>
      <c r="B302" t="s">
        <v>360</v>
      </c>
      <c r="C302" s="92" t="s">
        <v>359</v>
      </c>
      <c r="D302" s="17">
        <v>2006</v>
      </c>
      <c r="E302" s="17" t="s">
        <v>37</v>
      </c>
      <c r="F302" s="17" t="s">
        <v>95</v>
      </c>
      <c r="G302" s="17" t="s">
        <v>178</v>
      </c>
      <c r="H302" s="17">
        <v>15</v>
      </c>
      <c r="I302" s="17" t="s">
        <v>178</v>
      </c>
      <c r="J302" s="17">
        <v>30</v>
      </c>
      <c r="K302" s="17" t="s">
        <v>178</v>
      </c>
      <c r="L302" s="17" t="s">
        <v>66</v>
      </c>
      <c r="M302" s="17" t="s">
        <v>67</v>
      </c>
      <c r="N302" s="17" t="s">
        <v>58</v>
      </c>
      <c r="O302" s="17" t="s">
        <v>169</v>
      </c>
      <c r="P302" s="17">
        <v>16.7</v>
      </c>
      <c r="Q302" s="17">
        <v>5.8</v>
      </c>
      <c r="R302" s="17">
        <v>60.1</v>
      </c>
      <c r="S302" s="17">
        <v>17</v>
      </c>
      <c r="T302" s="17"/>
      <c r="U302" s="17"/>
      <c r="V302" s="17"/>
      <c r="W302" s="17"/>
      <c r="X302" s="17"/>
      <c r="Y302" s="17"/>
      <c r="Z302" s="17"/>
      <c r="AA302" s="17"/>
      <c r="AB302" s="17"/>
      <c r="AC302" s="17"/>
      <c r="AD302" s="17"/>
      <c r="AE302" s="17"/>
      <c r="AF302" s="17"/>
      <c r="AG302" s="17"/>
      <c r="AH302" s="17"/>
      <c r="AI302" s="17"/>
      <c r="AJ302" s="17"/>
      <c r="AK302" s="17"/>
      <c r="AL302" s="17"/>
      <c r="AM302" s="17"/>
      <c r="AN302" s="17"/>
      <c r="AO302" s="17"/>
      <c r="AP302" s="17"/>
      <c r="AQ302" s="17"/>
      <c r="AR302" s="17"/>
      <c r="AS302" s="17"/>
      <c r="AT302" s="17"/>
    </row>
    <row r="303" spans="1:46" x14ac:dyDescent="0.25">
      <c r="A303" s="61">
        <v>90</v>
      </c>
      <c r="B303" t="s">
        <v>360</v>
      </c>
      <c r="C303" s="92" t="s">
        <v>359</v>
      </c>
      <c r="D303" s="17">
        <v>2006</v>
      </c>
      <c r="E303" s="17" t="s">
        <v>37</v>
      </c>
      <c r="F303" s="17" t="s">
        <v>95</v>
      </c>
      <c r="G303" s="17" t="s">
        <v>178</v>
      </c>
      <c r="H303" s="17">
        <v>16</v>
      </c>
      <c r="I303" s="17" t="s">
        <v>178</v>
      </c>
      <c r="J303" s="17">
        <v>30</v>
      </c>
      <c r="K303" s="17" t="s">
        <v>178</v>
      </c>
      <c r="L303" s="17" t="s">
        <v>66</v>
      </c>
      <c r="M303" s="17" t="s">
        <v>67</v>
      </c>
      <c r="N303" s="17" t="s">
        <v>58</v>
      </c>
      <c r="O303" s="17" t="s">
        <v>169</v>
      </c>
      <c r="P303" s="17">
        <v>18</v>
      </c>
      <c r="Q303" s="17">
        <v>3.1</v>
      </c>
      <c r="R303" s="17">
        <v>71.099999999999994</v>
      </c>
      <c r="S303" s="17">
        <v>12</v>
      </c>
      <c r="T303" s="17"/>
      <c r="U303" s="17"/>
      <c r="V303" s="17"/>
      <c r="W303" s="17"/>
      <c r="X303" s="17"/>
      <c r="Y303" s="17"/>
      <c r="Z303" s="17"/>
      <c r="AA303" s="17"/>
      <c r="AB303" s="17"/>
      <c r="AC303" s="17"/>
      <c r="AD303" s="17"/>
      <c r="AE303" s="17"/>
      <c r="AF303" s="17"/>
      <c r="AG303" s="17"/>
      <c r="AH303" s="17"/>
      <c r="AI303" s="17"/>
      <c r="AJ303" s="17"/>
      <c r="AK303" s="17"/>
      <c r="AL303" s="17"/>
      <c r="AM303" s="17"/>
      <c r="AN303" s="17"/>
      <c r="AO303" s="17"/>
      <c r="AP303" s="17"/>
      <c r="AQ303" s="17"/>
      <c r="AR303" s="17"/>
      <c r="AS303" s="17"/>
      <c r="AT303" s="17"/>
    </row>
    <row r="304" spans="1:46" x14ac:dyDescent="0.25">
      <c r="A304" s="61">
        <v>90</v>
      </c>
      <c r="B304" t="s">
        <v>360</v>
      </c>
      <c r="C304" s="92" t="s">
        <v>359</v>
      </c>
      <c r="D304" s="17">
        <v>2006</v>
      </c>
      <c r="E304" s="17" t="s">
        <v>37</v>
      </c>
      <c r="F304" s="17" t="s">
        <v>95</v>
      </c>
      <c r="G304" s="17" t="s">
        <v>178</v>
      </c>
      <c r="H304" s="17">
        <v>17</v>
      </c>
      <c r="I304" s="17" t="s">
        <v>178</v>
      </c>
      <c r="J304" s="17">
        <v>30</v>
      </c>
      <c r="K304" s="17" t="s">
        <v>178</v>
      </c>
      <c r="L304" s="17" t="s">
        <v>66</v>
      </c>
      <c r="M304" s="17" t="s">
        <v>67</v>
      </c>
      <c r="N304" s="17" t="s">
        <v>58</v>
      </c>
      <c r="O304" s="17" t="s">
        <v>169</v>
      </c>
      <c r="P304" s="17">
        <v>18.600000000000001</v>
      </c>
      <c r="Q304" s="17">
        <v>5</v>
      </c>
      <c r="R304" s="17">
        <v>75.599999999999994</v>
      </c>
      <c r="S304" s="17">
        <v>18.8</v>
      </c>
      <c r="T304" s="17"/>
      <c r="U304" s="17"/>
      <c r="V304" s="17"/>
      <c r="W304" s="17"/>
      <c r="X304" s="17"/>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row>
    <row r="305" spans="1:46" x14ac:dyDescent="0.25">
      <c r="A305" s="61">
        <v>90</v>
      </c>
      <c r="B305" t="s">
        <v>360</v>
      </c>
      <c r="C305" s="92" t="s">
        <v>359</v>
      </c>
      <c r="D305" s="17">
        <v>2006</v>
      </c>
      <c r="E305" s="17" t="s">
        <v>37</v>
      </c>
      <c r="F305" s="17" t="s">
        <v>95</v>
      </c>
      <c r="G305" s="17" t="s">
        <v>178</v>
      </c>
      <c r="H305" s="17">
        <v>12</v>
      </c>
      <c r="I305" s="17" t="s">
        <v>178</v>
      </c>
      <c r="J305" s="17">
        <v>30</v>
      </c>
      <c r="K305" s="17" t="s">
        <v>178</v>
      </c>
      <c r="L305" s="17" t="s">
        <v>66</v>
      </c>
      <c r="M305" s="17" t="s">
        <v>122</v>
      </c>
      <c r="N305" s="17" t="s">
        <v>58</v>
      </c>
      <c r="O305" s="17" t="s">
        <v>169</v>
      </c>
      <c r="P305" s="17">
        <v>29.5</v>
      </c>
      <c r="Q305" s="17">
        <v>6.6</v>
      </c>
      <c r="R305" s="17">
        <v>64.3</v>
      </c>
      <c r="S305" s="17">
        <v>13.6</v>
      </c>
      <c r="T305" s="17"/>
      <c r="U305" s="17"/>
      <c r="V305" s="17"/>
      <c r="W305" s="17"/>
      <c r="X305" s="17"/>
      <c r="Y305" s="17"/>
      <c r="Z305" s="17"/>
      <c r="AA305" s="17"/>
      <c r="AB305" s="17"/>
      <c r="AC305" s="17"/>
      <c r="AD305" s="17"/>
      <c r="AE305" s="17"/>
      <c r="AF305" s="17"/>
      <c r="AG305" s="17"/>
      <c r="AH305" s="17"/>
      <c r="AI305" s="17"/>
      <c r="AJ305" s="17"/>
      <c r="AK305" s="17"/>
      <c r="AL305" s="17"/>
      <c r="AM305" s="17"/>
      <c r="AN305" s="17"/>
      <c r="AO305" s="17"/>
      <c r="AP305" s="17"/>
      <c r="AQ305" s="17"/>
      <c r="AR305" s="17"/>
      <c r="AS305" s="17"/>
      <c r="AT305" s="17"/>
    </row>
    <row r="306" spans="1:46" x14ac:dyDescent="0.25">
      <c r="A306" s="61">
        <v>90</v>
      </c>
      <c r="B306" t="s">
        <v>360</v>
      </c>
      <c r="C306" s="92" t="s">
        <v>359</v>
      </c>
      <c r="D306" s="17">
        <v>2006</v>
      </c>
      <c r="E306" s="17" t="s">
        <v>37</v>
      </c>
      <c r="F306" s="17" t="s">
        <v>95</v>
      </c>
      <c r="G306" s="17" t="s">
        <v>178</v>
      </c>
      <c r="H306" s="17">
        <v>13</v>
      </c>
      <c r="I306" s="17" t="s">
        <v>178</v>
      </c>
      <c r="J306" s="17">
        <v>30</v>
      </c>
      <c r="K306" s="17" t="s">
        <v>178</v>
      </c>
      <c r="L306" s="17" t="s">
        <v>66</v>
      </c>
      <c r="M306" s="17" t="s">
        <v>122</v>
      </c>
      <c r="N306" s="17" t="s">
        <v>58</v>
      </c>
      <c r="O306" s="17" t="s">
        <v>169</v>
      </c>
      <c r="P306" s="17">
        <v>34.799999999999997</v>
      </c>
      <c r="Q306" s="17">
        <v>10.6</v>
      </c>
      <c r="R306" s="17">
        <v>76.8</v>
      </c>
      <c r="S306" s="17">
        <v>19.3</v>
      </c>
      <c r="T306" s="17"/>
      <c r="U306" s="17"/>
      <c r="V306" s="17"/>
      <c r="W306" s="17"/>
      <c r="X306" s="17"/>
      <c r="Y306" s="17"/>
      <c r="Z306" s="17"/>
      <c r="AA306" s="17"/>
      <c r="AB306" s="17"/>
      <c r="AC306" s="17"/>
      <c r="AD306" s="17"/>
      <c r="AE306" s="17"/>
      <c r="AF306" s="17"/>
      <c r="AG306" s="17"/>
      <c r="AH306" s="17"/>
      <c r="AI306" s="17"/>
      <c r="AJ306" s="17"/>
      <c r="AK306" s="17"/>
      <c r="AL306" s="17"/>
      <c r="AM306" s="17"/>
      <c r="AN306" s="17"/>
      <c r="AO306" s="17"/>
      <c r="AP306" s="17"/>
      <c r="AQ306" s="17"/>
      <c r="AR306" s="17"/>
      <c r="AS306" s="17"/>
      <c r="AT306" s="17"/>
    </row>
    <row r="307" spans="1:46" x14ac:dyDescent="0.25">
      <c r="A307" s="61">
        <v>90</v>
      </c>
      <c r="B307" t="s">
        <v>360</v>
      </c>
      <c r="C307" s="92" t="s">
        <v>359</v>
      </c>
      <c r="D307" s="17">
        <v>2006</v>
      </c>
      <c r="E307" s="17" t="s">
        <v>37</v>
      </c>
      <c r="F307" s="17" t="s">
        <v>95</v>
      </c>
      <c r="G307" s="17" t="s">
        <v>178</v>
      </c>
      <c r="H307" s="17">
        <v>14</v>
      </c>
      <c r="I307" s="17" t="s">
        <v>178</v>
      </c>
      <c r="J307" s="17">
        <v>30</v>
      </c>
      <c r="K307" s="17" t="s">
        <v>178</v>
      </c>
      <c r="L307" s="17" t="s">
        <v>66</v>
      </c>
      <c r="M307" s="17" t="s">
        <v>122</v>
      </c>
      <c r="N307" s="17" t="s">
        <v>58</v>
      </c>
      <c r="O307" s="17" t="s">
        <v>169</v>
      </c>
      <c r="P307" s="17">
        <v>44.3</v>
      </c>
      <c r="Q307" s="17">
        <v>13.2</v>
      </c>
      <c r="R307" s="17">
        <v>90.4</v>
      </c>
      <c r="S307" s="17">
        <v>19.8</v>
      </c>
      <c r="T307" s="17"/>
      <c r="U307" s="17"/>
      <c r="V307" s="17"/>
      <c r="W307" s="17"/>
      <c r="X307" s="17"/>
      <c r="Y307" s="17"/>
      <c r="Z307" s="17"/>
      <c r="AA307" s="17"/>
      <c r="AB307" s="17"/>
      <c r="AC307" s="17"/>
      <c r="AD307" s="17"/>
      <c r="AE307" s="17"/>
      <c r="AF307" s="17"/>
      <c r="AG307" s="17"/>
      <c r="AH307" s="17"/>
      <c r="AI307" s="17"/>
      <c r="AJ307" s="17"/>
      <c r="AK307" s="17"/>
      <c r="AL307" s="17"/>
      <c r="AM307" s="17"/>
      <c r="AN307" s="17"/>
      <c r="AO307" s="17"/>
      <c r="AP307" s="17"/>
      <c r="AQ307" s="17"/>
      <c r="AR307" s="17"/>
      <c r="AS307" s="17"/>
      <c r="AT307" s="17"/>
    </row>
    <row r="308" spans="1:46" x14ac:dyDescent="0.25">
      <c r="A308" s="61">
        <v>90</v>
      </c>
      <c r="B308" t="s">
        <v>360</v>
      </c>
      <c r="C308" s="92" t="s">
        <v>359</v>
      </c>
      <c r="D308" s="17">
        <v>2006</v>
      </c>
      <c r="E308" s="17" t="s">
        <v>37</v>
      </c>
      <c r="F308" s="17" t="s">
        <v>95</v>
      </c>
      <c r="G308" s="17" t="s">
        <v>178</v>
      </c>
      <c r="H308" s="17">
        <v>15</v>
      </c>
      <c r="I308" s="17" t="s">
        <v>178</v>
      </c>
      <c r="J308" s="17">
        <v>30</v>
      </c>
      <c r="K308" s="17" t="s">
        <v>178</v>
      </c>
      <c r="L308" s="17" t="s">
        <v>66</v>
      </c>
      <c r="M308" s="17" t="s">
        <v>122</v>
      </c>
      <c r="N308" s="17" t="s">
        <v>58</v>
      </c>
      <c r="O308" s="17" t="s">
        <v>169</v>
      </c>
      <c r="P308" s="17">
        <v>53.3</v>
      </c>
      <c r="Q308" s="17">
        <v>13.3</v>
      </c>
      <c r="R308" s="17">
        <v>103.8</v>
      </c>
      <c r="S308" s="17">
        <v>26.5</v>
      </c>
      <c r="T308" s="17"/>
      <c r="U308" s="17"/>
      <c r="V308" s="17"/>
      <c r="W308" s="17"/>
      <c r="X308" s="17"/>
      <c r="Y308" s="17"/>
      <c r="Z308" s="17"/>
      <c r="AA308" s="17"/>
      <c r="AB308" s="17"/>
      <c r="AC308" s="17"/>
      <c r="AD308" s="17"/>
      <c r="AE308" s="17"/>
      <c r="AF308" s="17"/>
      <c r="AG308" s="17"/>
      <c r="AH308" s="17"/>
      <c r="AI308" s="17"/>
      <c r="AJ308" s="17"/>
      <c r="AK308" s="17"/>
      <c r="AL308" s="17"/>
      <c r="AM308" s="17"/>
      <c r="AN308" s="17"/>
      <c r="AO308" s="17"/>
      <c r="AP308" s="17"/>
      <c r="AQ308" s="17"/>
      <c r="AR308" s="17"/>
      <c r="AS308" s="17"/>
      <c r="AT308" s="17"/>
    </row>
    <row r="309" spans="1:46" x14ac:dyDescent="0.25">
      <c r="A309" s="61">
        <v>90</v>
      </c>
      <c r="B309" t="s">
        <v>360</v>
      </c>
      <c r="C309" s="92" t="s">
        <v>359</v>
      </c>
      <c r="D309" s="17">
        <v>2006</v>
      </c>
      <c r="E309" s="17" t="s">
        <v>37</v>
      </c>
      <c r="F309" s="17" t="s">
        <v>95</v>
      </c>
      <c r="G309" s="17" t="s">
        <v>178</v>
      </c>
      <c r="H309" s="17">
        <v>16</v>
      </c>
      <c r="I309" s="17" t="s">
        <v>178</v>
      </c>
      <c r="J309" s="17">
        <v>30</v>
      </c>
      <c r="K309" s="17" t="s">
        <v>178</v>
      </c>
      <c r="L309" s="17" t="s">
        <v>66</v>
      </c>
      <c r="M309" s="17" t="s">
        <v>122</v>
      </c>
      <c r="N309" s="17" t="s">
        <v>58</v>
      </c>
      <c r="O309" s="17" t="s">
        <v>169</v>
      </c>
      <c r="P309" s="17">
        <v>54.8</v>
      </c>
      <c r="Q309" s="17">
        <v>8.1999999999999993</v>
      </c>
      <c r="R309" s="17">
        <v>122.3</v>
      </c>
      <c r="S309" s="17">
        <v>22.6</v>
      </c>
      <c r="T309" s="17"/>
      <c r="U309" s="17"/>
      <c r="V309" s="17"/>
      <c r="W309" s="17"/>
      <c r="X309" s="17"/>
      <c r="Y309" s="17"/>
      <c r="Z309" s="17"/>
      <c r="AA309" s="17"/>
      <c r="AB309" s="17"/>
      <c r="AC309" s="17"/>
      <c r="AD309" s="17"/>
      <c r="AE309" s="17"/>
      <c r="AF309" s="17"/>
      <c r="AG309" s="17"/>
      <c r="AH309" s="17"/>
      <c r="AI309" s="17"/>
      <c r="AJ309" s="17"/>
      <c r="AK309" s="17"/>
      <c r="AL309" s="17"/>
      <c r="AM309" s="17"/>
      <c r="AN309" s="17"/>
      <c r="AO309" s="17"/>
      <c r="AP309" s="17"/>
      <c r="AQ309" s="17"/>
      <c r="AR309" s="17"/>
      <c r="AS309" s="17"/>
      <c r="AT309" s="17"/>
    </row>
    <row r="310" spans="1:46" x14ac:dyDescent="0.25">
      <c r="A310" s="61">
        <v>90</v>
      </c>
      <c r="B310" t="s">
        <v>360</v>
      </c>
      <c r="C310" s="92" t="s">
        <v>359</v>
      </c>
      <c r="D310" s="17">
        <v>2006</v>
      </c>
      <c r="E310" s="17" t="s">
        <v>37</v>
      </c>
      <c r="F310" s="17" t="s">
        <v>95</v>
      </c>
      <c r="G310" s="17" t="s">
        <v>178</v>
      </c>
      <c r="H310" s="17">
        <v>17</v>
      </c>
      <c r="I310" s="17" t="s">
        <v>178</v>
      </c>
      <c r="J310" s="17">
        <v>30</v>
      </c>
      <c r="K310" s="17" t="s">
        <v>178</v>
      </c>
      <c r="L310" s="17" t="s">
        <v>66</v>
      </c>
      <c r="M310" s="17" t="s">
        <v>122</v>
      </c>
      <c r="N310" s="17" t="s">
        <v>58</v>
      </c>
      <c r="O310" s="17" t="s">
        <v>169</v>
      </c>
      <c r="P310" s="17">
        <v>55.2</v>
      </c>
      <c r="Q310" s="17">
        <v>13.4</v>
      </c>
      <c r="R310" s="17">
        <v>128.69999999999999</v>
      </c>
      <c r="S310" s="17">
        <v>23.7</v>
      </c>
      <c r="T310" s="17"/>
      <c r="U310" s="17"/>
      <c r="V310" s="17"/>
      <c r="W310" s="17"/>
      <c r="X310" s="17"/>
      <c r="Y310" s="17"/>
      <c r="Z310" s="17"/>
      <c r="AA310" s="17"/>
      <c r="AB310" s="17"/>
      <c r="AC310" s="17"/>
      <c r="AD310" s="17"/>
      <c r="AE310" s="17"/>
      <c r="AF310" s="17"/>
      <c r="AG310" s="17"/>
      <c r="AH310" s="17"/>
      <c r="AI310" s="17"/>
      <c r="AJ310" s="17"/>
      <c r="AK310" s="17"/>
      <c r="AL310" s="17"/>
      <c r="AM310" s="17"/>
      <c r="AN310" s="17"/>
      <c r="AO310" s="17"/>
      <c r="AP310" s="17"/>
      <c r="AQ310" s="17"/>
      <c r="AR310" s="17"/>
      <c r="AS310" s="17"/>
      <c r="AT310" s="17"/>
    </row>
    <row r="311" spans="1:46" x14ac:dyDescent="0.25">
      <c r="A311" s="61">
        <v>60</v>
      </c>
      <c r="B311" s="17"/>
      <c r="C311" s="18" t="s">
        <v>251</v>
      </c>
      <c r="D311" s="17">
        <v>2006</v>
      </c>
      <c r="E311" s="17" t="s">
        <v>37</v>
      </c>
      <c r="F311" s="17" t="s">
        <v>95</v>
      </c>
      <c r="G311" s="17" t="s">
        <v>178</v>
      </c>
      <c r="H311" s="17">
        <v>16.5</v>
      </c>
      <c r="I311" s="17">
        <v>1.1000000000000001</v>
      </c>
      <c r="J311" s="17">
        <v>18</v>
      </c>
      <c r="K311" s="17" t="s">
        <v>353</v>
      </c>
      <c r="L311" s="17" t="s">
        <v>66</v>
      </c>
      <c r="M311" s="17" t="s">
        <v>67</v>
      </c>
      <c r="N311" s="17" t="s">
        <v>58</v>
      </c>
      <c r="O311" s="17" t="s">
        <v>169</v>
      </c>
      <c r="P311" s="17"/>
      <c r="Q311" s="17"/>
      <c r="R311" s="17"/>
      <c r="S311" s="17"/>
      <c r="T311" s="17">
        <v>13.9</v>
      </c>
      <c r="U311" s="17">
        <v>2.7</v>
      </c>
      <c r="V311" s="17">
        <v>12.9</v>
      </c>
      <c r="W311" s="17">
        <v>2.2999999999999998</v>
      </c>
      <c r="X311" s="17"/>
      <c r="Y311" s="17"/>
      <c r="Z311" s="17"/>
      <c r="AA311" s="17"/>
      <c r="AB311" s="17"/>
      <c r="AC311" s="17"/>
      <c r="AD311" s="17"/>
      <c r="AE311" s="17"/>
      <c r="AF311" s="17"/>
      <c r="AG311" s="17"/>
      <c r="AH311" s="17"/>
      <c r="AI311" s="17"/>
      <c r="AJ311" s="17"/>
      <c r="AK311" s="17"/>
      <c r="AL311" s="17"/>
      <c r="AM311" s="17"/>
      <c r="AN311" s="17"/>
      <c r="AO311" s="17"/>
      <c r="AP311" s="17"/>
      <c r="AQ311" s="17">
        <v>93.2</v>
      </c>
      <c r="AR311" s="17">
        <v>14.5</v>
      </c>
      <c r="AS311" s="17"/>
      <c r="AT311" s="17"/>
    </row>
    <row r="312" spans="1:46" x14ac:dyDescent="0.25">
      <c r="A312" s="61">
        <v>60</v>
      </c>
      <c r="B312" s="17"/>
      <c r="C312" s="18" t="s">
        <v>251</v>
      </c>
      <c r="D312" s="17">
        <v>2006</v>
      </c>
      <c r="E312" s="17" t="s">
        <v>37</v>
      </c>
      <c r="F312" s="17" t="s">
        <v>95</v>
      </c>
      <c r="G312" s="17" t="s">
        <v>178</v>
      </c>
      <c r="H312" s="17">
        <v>16.5</v>
      </c>
      <c r="I312" s="17">
        <v>1.1000000000000001</v>
      </c>
      <c r="J312" s="17">
        <v>66</v>
      </c>
      <c r="K312" s="17" t="s">
        <v>361</v>
      </c>
      <c r="L312" s="17" t="s">
        <v>66</v>
      </c>
      <c r="M312" s="17" t="s">
        <v>67</v>
      </c>
      <c r="N312" s="17" t="s">
        <v>58</v>
      </c>
      <c r="O312" s="17" t="s">
        <v>169</v>
      </c>
      <c r="P312" s="17"/>
      <c r="Q312" s="17"/>
      <c r="R312" s="17"/>
      <c r="S312" s="17"/>
      <c r="T312" s="17">
        <v>13.4</v>
      </c>
      <c r="U312" s="17">
        <v>2.6</v>
      </c>
      <c r="V312" s="17">
        <v>12.4</v>
      </c>
      <c r="W312" s="17">
        <v>2.1</v>
      </c>
      <c r="X312" s="17"/>
      <c r="Y312" s="17"/>
      <c r="Z312" s="17"/>
      <c r="AA312" s="17"/>
      <c r="AB312" s="17"/>
      <c r="AC312" s="17"/>
      <c r="AD312" s="17"/>
      <c r="AE312" s="17"/>
      <c r="AF312" s="17"/>
      <c r="AG312" s="17"/>
      <c r="AH312" s="17"/>
      <c r="AI312" s="17"/>
      <c r="AJ312" s="17"/>
      <c r="AK312" s="17"/>
      <c r="AL312" s="17"/>
      <c r="AM312" s="17"/>
      <c r="AN312" s="17"/>
      <c r="AO312" s="17"/>
      <c r="AP312" s="17"/>
      <c r="AQ312" s="17">
        <v>94.8</v>
      </c>
      <c r="AR312" s="17">
        <v>16.7</v>
      </c>
      <c r="AS312" s="17"/>
      <c r="AT312" s="17"/>
    </row>
    <row r="313" spans="1:46" x14ac:dyDescent="0.25">
      <c r="A313" s="61">
        <v>60</v>
      </c>
      <c r="B313" s="17"/>
      <c r="C313" s="18" t="s">
        <v>251</v>
      </c>
      <c r="D313" s="17">
        <v>2006</v>
      </c>
      <c r="E313" s="17" t="s">
        <v>37</v>
      </c>
      <c r="F313" s="17" t="s">
        <v>95</v>
      </c>
      <c r="G313" s="17" t="s">
        <v>178</v>
      </c>
      <c r="H313" s="17">
        <v>16.5</v>
      </c>
      <c r="I313" s="17">
        <v>1.1000000000000001</v>
      </c>
      <c r="J313" s="17">
        <v>18</v>
      </c>
      <c r="K313" s="17" t="s">
        <v>353</v>
      </c>
      <c r="L313" s="17" t="s">
        <v>66</v>
      </c>
      <c r="M313" s="17" t="s">
        <v>122</v>
      </c>
      <c r="N313" s="17" t="s">
        <v>58</v>
      </c>
      <c r="O313" s="17" t="s">
        <v>169</v>
      </c>
      <c r="P313" s="17"/>
      <c r="Q313" s="17"/>
      <c r="R313" s="17"/>
      <c r="S313" s="17"/>
      <c r="T313" s="17">
        <v>13.7</v>
      </c>
      <c r="U313" s="17">
        <v>4</v>
      </c>
      <c r="V313" s="17">
        <v>14.2</v>
      </c>
      <c r="W313" s="17">
        <v>3.1</v>
      </c>
      <c r="X313" s="17"/>
      <c r="Y313" s="17"/>
      <c r="Z313" s="17"/>
      <c r="AA313" s="17"/>
      <c r="AB313" s="17"/>
      <c r="AC313" s="17"/>
      <c r="AD313" s="17"/>
      <c r="AE313" s="17"/>
      <c r="AF313" s="17"/>
      <c r="AG313" s="17"/>
      <c r="AH313" s="17"/>
      <c r="AI313" s="17"/>
      <c r="AJ313" s="17"/>
      <c r="AK313" s="17"/>
      <c r="AL313" s="17"/>
      <c r="AM313" s="17"/>
      <c r="AN313" s="17"/>
      <c r="AO313" s="17"/>
      <c r="AP313" s="17"/>
      <c r="AQ313" s="17">
        <v>102.1</v>
      </c>
      <c r="AR313" s="17">
        <v>17.899999999999999</v>
      </c>
      <c r="AS313" s="17"/>
      <c r="AT313" s="17"/>
    </row>
    <row r="314" spans="1:46" x14ac:dyDescent="0.25">
      <c r="A314" s="61">
        <v>60</v>
      </c>
      <c r="B314" s="17"/>
      <c r="C314" s="18" t="s">
        <v>251</v>
      </c>
      <c r="D314" s="17">
        <v>2006</v>
      </c>
      <c r="E314" s="17" t="s">
        <v>37</v>
      </c>
      <c r="F314" s="17" t="s">
        <v>95</v>
      </c>
      <c r="G314" s="17" t="s">
        <v>178</v>
      </c>
      <c r="H314" s="17">
        <v>16.5</v>
      </c>
      <c r="I314" s="17">
        <v>1.1000000000000001</v>
      </c>
      <c r="J314" s="17">
        <v>66</v>
      </c>
      <c r="K314" s="17" t="s">
        <v>361</v>
      </c>
      <c r="L314" s="17" t="s">
        <v>66</v>
      </c>
      <c r="M314" s="17" t="s">
        <v>122</v>
      </c>
      <c r="N314" s="17" t="s">
        <v>58</v>
      </c>
      <c r="O314" s="17" t="s">
        <v>169</v>
      </c>
      <c r="P314" s="17"/>
      <c r="Q314" s="17"/>
      <c r="R314" s="17"/>
      <c r="S314" s="17"/>
      <c r="T314" s="17">
        <v>15</v>
      </c>
      <c r="U314" s="17">
        <v>3.5</v>
      </c>
      <c r="V314" s="17">
        <v>15</v>
      </c>
      <c r="W314" s="17">
        <v>3.1</v>
      </c>
      <c r="X314" s="17"/>
      <c r="Y314" s="17"/>
      <c r="Z314" s="17"/>
      <c r="AA314" s="17"/>
      <c r="AB314" s="17"/>
      <c r="AC314" s="17"/>
      <c r="AD314" s="17"/>
      <c r="AE314" s="17"/>
      <c r="AF314" s="17"/>
      <c r="AG314" s="17"/>
      <c r="AH314" s="17"/>
      <c r="AI314" s="17"/>
      <c r="AJ314" s="17"/>
      <c r="AK314" s="17"/>
      <c r="AL314" s="17"/>
      <c r="AM314" s="17"/>
      <c r="AN314" s="17"/>
      <c r="AO314" s="17"/>
      <c r="AP314" s="17"/>
      <c r="AQ314" s="17">
        <v>97.2</v>
      </c>
      <c r="AR314" s="17">
        <v>22</v>
      </c>
      <c r="AS314" s="17"/>
      <c r="AT314" s="17"/>
    </row>
    <row r="315" spans="1:46" x14ac:dyDescent="0.25">
      <c r="A315" s="61">
        <v>180</v>
      </c>
      <c r="B315" s="17"/>
      <c r="C315" s="18" t="s">
        <v>251</v>
      </c>
      <c r="D315" s="17">
        <v>2006</v>
      </c>
      <c r="E315" s="17" t="s">
        <v>37</v>
      </c>
      <c r="F315" s="17" t="s">
        <v>95</v>
      </c>
      <c r="G315" s="17" t="s">
        <v>178</v>
      </c>
      <c r="H315" s="17">
        <v>16.5</v>
      </c>
      <c r="I315" s="17">
        <v>1.1000000000000001</v>
      </c>
      <c r="J315" s="17">
        <v>18</v>
      </c>
      <c r="K315" s="17" t="s">
        <v>353</v>
      </c>
      <c r="L315" s="17" t="s">
        <v>66</v>
      </c>
      <c r="M315" s="17" t="s">
        <v>67</v>
      </c>
      <c r="N315" s="17" t="s">
        <v>58</v>
      </c>
      <c r="O315" s="17" t="s">
        <v>169</v>
      </c>
      <c r="P315" s="17"/>
      <c r="Q315" s="17"/>
      <c r="R315" s="17"/>
      <c r="S315" s="17"/>
      <c r="T315" s="17">
        <v>11</v>
      </c>
      <c r="U315" s="17">
        <v>2.1</v>
      </c>
      <c r="V315" s="91">
        <v>10.4</v>
      </c>
      <c r="W315" s="91">
        <v>2.2000000000000002</v>
      </c>
      <c r="X315" s="17"/>
      <c r="Y315" s="17"/>
      <c r="Z315" s="17"/>
      <c r="AA315" s="17"/>
      <c r="AB315" s="17"/>
      <c r="AC315" s="17"/>
      <c r="AD315" s="17"/>
      <c r="AE315" s="17"/>
      <c r="AF315" s="17"/>
      <c r="AG315" s="17"/>
      <c r="AH315" s="17"/>
      <c r="AI315" s="17"/>
      <c r="AJ315" s="17"/>
      <c r="AK315" s="17"/>
      <c r="AL315" s="17"/>
      <c r="AM315" s="17"/>
      <c r="AN315" s="17"/>
      <c r="AO315" s="17"/>
      <c r="AP315" s="17"/>
      <c r="AQ315" s="17">
        <v>103.1</v>
      </c>
      <c r="AR315" s="17">
        <v>20.3</v>
      </c>
      <c r="AS315" s="17"/>
      <c r="AT315" s="17"/>
    </row>
    <row r="316" spans="1:46" x14ac:dyDescent="0.25">
      <c r="A316" s="61">
        <v>180</v>
      </c>
      <c r="B316" s="17"/>
      <c r="C316" s="18" t="s">
        <v>251</v>
      </c>
      <c r="D316" s="17">
        <v>2006</v>
      </c>
      <c r="E316" s="17" t="s">
        <v>37</v>
      </c>
      <c r="F316" s="17" t="s">
        <v>95</v>
      </c>
      <c r="G316" s="17" t="s">
        <v>178</v>
      </c>
      <c r="H316" s="17">
        <v>16.5</v>
      </c>
      <c r="I316" s="17">
        <v>1.1000000000000001</v>
      </c>
      <c r="J316" s="17">
        <v>66</v>
      </c>
      <c r="K316" s="17" t="s">
        <v>361</v>
      </c>
      <c r="L316" s="17" t="s">
        <v>66</v>
      </c>
      <c r="M316" s="17" t="s">
        <v>67</v>
      </c>
      <c r="N316" s="17" t="s">
        <v>58</v>
      </c>
      <c r="O316" s="17" t="s">
        <v>169</v>
      </c>
      <c r="P316" s="17"/>
      <c r="Q316" s="17"/>
      <c r="R316" s="17"/>
      <c r="S316" s="17"/>
      <c r="T316" s="17">
        <v>10.4</v>
      </c>
      <c r="U316" s="17">
        <v>2.2000000000000002</v>
      </c>
      <c r="V316" s="17">
        <v>10.3</v>
      </c>
      <c r="W316" s="17">
        <v>1.8</v>
      </c>
      <c r="X316" s="17"/>
      <c r="Y316" s="17"/>
      <c r="Z316" s="17"/>
      <c r="AA316" s="17"/>
      <c r="AB316" s="17"/>
      <c r="AC316" s="17"/>
      <c r="AD316" s="17"/>
      <c r="AE316" s="17"/>
      <c r="AF316" s="17"/>
      <c r="AG316" s="17"/>
      <c r="AH316" s="17"/>
      <c r="AI316" s="17"/>
      <c r="AJ316" s="17"/>
      <c r="AK316" s="17"/>
      <c r="AL316" s="17"/>
      <c r="AM316" s="17"/>
      <c r="AN316" s="17"/>
      <c r="AO316" s="17"/>
      <c r="AP316" s="17"/>
      <c r="AQ316" s="17">
        <v>101.1</v>
      </c>
      <c r="AR316" s="17">
        <v>20</v>
      </c>
      <c r="AS316" s="17"/>
      <c r="AT316" s="17"/>
    </row>
    <row r="317" spans="1:46" x14ac:dyDescent="0.25">
      <c r="A317" s="61">
        <v>180</v>
      </c>
      <c r="B317" s="17"/>
      <c r="C317" s="18" t="s">
        <v>251</v>
      </c>
      <c r="D317" s="17">
        <v>2006</v>
      </c>
      <c r="E317" s="17" t="s">
        <v>37</v>
      </c>
      <c r="F317" s="17" t="s">
        <v>95</v>
      </c>
      <c r="G317" s="17" t="s">
        <v>178</v>
      </c>
      <c r="H317" s="17">
        <v>16.5</v>
      </c>
      <c r="I317" s="17">
        <v>1.1000000000000001</v>
      </c>
      <c r="J317" s="17">
        <v>18</v>
      </c>
      <c r="K317" s="17" t="s">
        <v>353</v>
      </c>
      <c r="L317" s="17" t="s">
        <v>66</v>
      </c>
      <c r="M317" s="17" t="s">
        <v>122</v>
      </c>
      <c r="N317" s="17" t="s">
        <v>58</v>
      </c>
      <c r="O317" s="17" t="s">
        <v>169</v>
      </c>
      <c r="P317" s="17"/>
      <c r="Q317" s="17"/>
      <c r="R317" s="17"/>
      <c r="S317" s="17"/>
      <c r="T317" s="17">
        <v>14.2</v>
      </c>
      <c r="U317" s="17">
        <v>3.7</v>
      </c>
      <c r="V317" s="17">
        <v>14.2</v>
      </c>
      <c r="W317" s="17">
        <v>3.4</v>
      </c>
      <c r="X317" s="17"/>
      <c r="Y317" s="17"/>
      <c r="Z317" s="17"/>
      <c r="AA317" s="17"/>
      <c r="AB317" s="17"/>
      <c r="AC317" s="17"/>
      <c r="AD317" s="17"/>
      <c r="AE317" s="17"/>
      <c r="AF317" s="17"/>
      <c r="AG317" s="17"/>
      <c r="AH317" s="17"/>
      <c r="AI317" s="17"/>
      <c r="AJ317" s="17"/>
      <c r="AK317" s="17"/>
      <c r="AL317" s="17"/>
      <c r="AM317" s="17"/>
      <c r="AN317" s="17"/>
      <c r="AO317" s="17"/>
      <c r="AP317" s="17"/>
      <c r="AQ317" s="17">
        <v>100.7</v>
      </c>
      <c r="AR317" s="17">
        <v>21.6</v>
      </c>
      <c r="AS317" s="17"/>
      <c r="AT317" s="17"/>
    </row>
    <row r="318" spans="1:46" x14ac:dyDescent="0.25">
      <c r="A318" s="61">
        <v>180</v>
      </c>
      <c r="B318" s="17"/>
      <c r="C318" s="18" t="s">
        <v>251</v>
      </c>
      <c r="D318" s="17">
        <v>2006</v>
      </c>
      <c r="E318" s="17" t="s">
        <v>37</v>
      </c>
      <c r="F318" s="17" t="s">
        <v>95</v>
      </c>
      <c r="G318" s="17" t="s">
        <v>178</v>
      </c>
      <c r="H318" s="17">
        <v>16.5</v>
      </c>
      <c r="I318" s="17">
        <v>1.1000000000000001</v>
      </c>
      <c r="J318" s="17">
        <v>66</v>
      </c>
      <c r="K318" s="17" t="s">
        <v>361</v>
      </c>
      <c r="L318" s="17" t="s">
        <v>66</v>
      </c>
      <c r="M318" s="17" t="s">
        <v>122</v>
      </c>
      <c r="N318" s="17" t="s">
        <v>58</v>
      </c>
      <c r="O318" s="17" t="s">
        <v>169</v>
      </c>
      <c r="P318" s="17"/>
      <c r="Q318" s="17"/>
      <c r="R318" s="17"/>
      <c r="S318" s="17"/>
      <c r="T318" s="17">
        <v>14.4</v>
      </c>
      <c r="U318" s="17">
        <v>3.3</v>
      </c>
      <c r="V318" s="17">
        <v>14.6</v>
      </c>
      <c r="W318" s="17">
        <v>3</v>
      </c>
      <c r="X318" s="17"/>
      <c r="Y318" s="17"/>
      <c r="Z318" s="17"/>
      <c r="AA318" s="17"/>
      <c r="AB318" s="17"/>
      <c r="AC318" s="17"/>
      <c r="AD318" s="17"/>
      <c r="AE318" s="17"/>
      <c r="AF318" s="17"/>
      <c r="AG318" s="17"/>
      <c r="AH318" s="17"/>
      <c r="AI318" s="17"/>
      <c r="AJ318" s="17"/>
      <c r="AK318" s="17"/>
      <c r="AL318" s="17"/>
      <c r="AM318" s="17"/>
      <c r="AN318" s="17"/>
      <c r="AO318" s="17"/>
      <c r="AP318" s="17"/>
      <c r="AQ318" s="17">
        <v>103.2</v>
      </c>
      <c r="AR318" s="17">
        <v>21.9</v>
      </c>
      <c r="AS318" s="17"/>
      <c r="AT318" s="17"/>
    </row>
    <row r="319" spans="1:46" x14ac:dyDescent="0.25">
      <c r="A319" s="61">
        <v>30</v>
      </c>
      <c r="B319" t="s">
        <v>365</v>
      </c>
      <c r="C319" s="18" t="s">
        <v>242</v>
      </c>
      <c r="D319" s="17">
        <v>2006</v>
      </c>
      <c r="E319" s="17" t="s">
        <v>44</v>
      </c>
      <c r="F319" s="17" t="s">
        <v>362</v>
      </c>
      <c r="G319" s="17" t="s">
        <v>178</v>
      </c>
      <c r="H319" s="17">
        <v>72</v>
      </c>
      <c r="I319" s="17">
        <v>6</v>
      </c>
      <c r="J319" s="17">
        <v>16</v>
      </c>
      <c r="K319" s="17" t="s">
        <v>363</v>
      </c>
      <c r="L319" s="17" t="s">
        <v>66</v>
      </c>
      <c r="M319" s="17" t="s">
        <v>67</v>
      </c>
      <c r="N319" s="17" t="s">
        <v>59</v>
      </c>
      <c r="O319" s="17" t="s">
        <v>169</v>
      </c>
      <c r="P319" s="17">
        <v>27</v>
      </c>
      <c r="Q319" s="17">
        <v>7</v>
      </c>
      <c r="R319" s="17">
        <v>54</v>
      </c>
      <c r="S319" s="17">
        <v>25</v>
      </c>
      <c r="T319" s="17"/>
      <c r="U319" s="17"/>
      <c r="V319" s="17"/>
      <c r="W319" s="17"/>
      <c r="X319" s="17"/>
      <c r="Y319" s="17"/>
      <c r="Z319" s="17"/>
      <c r="AA319" s="17"/>
      <c r="AB319" s="17"/>
      <c r="AC319" s="17"/>
      <c r="AD319" s="17"/>
      <c r="AE319" s="17"/>
      <c r="AF319" s="17"/>
      <c r="AG319" s="17"/>
      <c r="AH319" s="17"/>
      <c r="AI319" s="17"/>
      <c r="AJ319" s="17"/>
      <c r="AK319" s="17"/>
      <c r="AL319" s="17"/>
      <c r="AM319" s="17">
        <v>11</v>
      </c>
      <c r="AN319" s="17">
        <v>4</v>
      </c>
      <c r="AO319" s="17">
        <v>16</v>
      </c>
      <c r="AP319" s="17">
        <v>12</v>
      </c>
      <c r="AQ319" s="17"/>
      <c r="AR319" s="17"/>
      <c r="AS319" s="17"/>
      <c r="AT319" s="17"/>
    </row>
    <row r="320" spans="1:46" x14ac:dyDescent="0.25">
      <c r="A320" s="61">
        <v>30</v>
      </c>
      <c r="B320" t="s">
        <v>365</v>
      </c>
      <c r="C320" s="18" t="s">
        <v>242</v>
      </c>
      <c r="D320" s="17">
        <v>2006</v>
      </c>
      <c r="E320" s="17" t="s">
        <v>44</v>
      </c>
      <c r="F320" s="17" t="s">
        <v>362</v>
      </c>
      <c r="G320" s="17" t="s">
        <v>178</v>
      </c>
      <c r="H320" s="17">
        <v>72</v>
      </c>
      <c r="I320" s="17">
        <v>6</v>
      </c>
      <c r="J320" s="17">
        <v>17</v>
      </c>
      <c r="K320" s="17" t="s">
        <v>364</v>
      </c>
      <c r="L320" s="17" t="s">
        <v>86</v>
      </c>
      <c r="M320" s="17" t="s">
        <v>67</v>
      </c>
      <c r="N320" s="17" t="s">
        <v>59</v>
      </c>
      <c r="O320" s="17" t="s">
        <v>169</v>
      </c>
      <c r="P320" s="17">
        <v>19</v>
      </c>
      <c r="Q320" s="17">
        <v>5</v>
      </c>
      <c r="R320" s="17">
        <v>40</v>
      </c>
      <c r="S320" s="17">
        <v>15</v>
      </c>
      <c r="T320" s="17"/>
      <c r="U320" s="17"/>
      <c r="V320" s="17"/>
      <c r="W320" s="17"/>
      <c r="X320" s="17"/>
      <c r="Y320" s="17"/>
      <c r="Z320" s="17"/>
      <c r="AA320" s="17"/>
      <c r="AB320" s="17"/>
      <c r="AC320" s="17"/>
      <c r="AD320" s="17"/>
      <c r="AE320" s="17"/>
      <c r="AF320" s="17"/>
      <c r="AG320" s="17"/>
      <c r="AH320" s="17"/>
      <c r="AI320" s="17"/>
      <c r="AJ320" s="17"/>
      <c r="AK320" s="17"/>
      <c r="AL320" s="17"/>
      <c r="AM320" s="17">
        <v>8</v>
      </c>
      <c r="AN320" s="17">
        <v>2</v>
      </c>
      <c r="AO320" s="17">
        <v>15</v>
      </c>
      <c r="AP320" s="17">
        <v>7</v>
      </c>
      <c r="AQ320" s="17"/>
      <c r="AR320" s="17"/>
      <c r="AS320" s="17"/>
      <c r="AT320" s="17"/>
    </row>
    <row r="321" spans="1:46" x14ac:dyDescent="0.25">
      <c r="A321" s="61">
        <v>120</v>
      </c>
      <c r="B321" t="s">
        <v>365</v>
      </c>
      <c r="C321" s="18" t="s">
        <v>242</v>
      </c>
      <c r="D321" s="17">
        <v>2006</v>
      </c>
      <c r="E321" s="17" t="s">
        <v>44</v>
      </c>
      <c r="F321" s="17" t="s">
        <v>362</v>
      </c>
      <c r="G321" s="17" t="s">
        <v>178</v>
      </c>
      <c r="H321" s="17">
        <v>72</v>
      </c>
      <c r="I321" s="17">
        <v>6</v>
      </c>
      <c r="J321" s="17">
        <v>16</v>
      </c>
      <c r="K321" s="17" t="s">
        <v>363</v>
      </c>
      <c r="L321" s="17" t="s">
        <v>66</v>
      </c>
      <c r="M321" s="17" t="s">
        <v>67</v>
      </c>
      <c r="N321" s="17" t="s">
        <v>59</v>
      </c>
      <c r="O321" s="17" t="s">
        <v>169</v>
      </c>
      <c r="P321" s="17">
        <v>16</v>
      </c>
      <c r="Q321" s="17">
        <v>4</v>
      </c>
      <c r="R321" s="17">
        <v>28</v>
      </c>
      <c r="S321" s="17">
        <v>18</v>
      </c>
      <c r="T321" s="17"/>
      <c r="U321" s="17"/>
      <c r="V321" s="17"/>
      <c r="W321" s="17"/>
      <c r="X321" s="17"/>
      <c r="Y321" s="17"/>
      <c r="Z321" s="17"/>
      <c r="AA321" s="17"/>
      <c r="AB321" s="17"/>
      <c r="AC321" s="17"/>
      <c r="AD321" s="17"/>
      <c r="AE321" s="17"/>
      <c r="AF321" s="17"/>
      <c r="AG321" s="17"/>
      <c r="AH321" s="17"/>
      <c r="AI321" s="17"/>
      <c r="AJ321" s="17"/>
      <c r="AK321" s="17"/>
      <c r="AL321" s="17"/>
      <c r="AM321" s="17"/>
      <c r="AN321" s="17"/>
      <c r="AO321" s="17"/>
      <c r="AP321" s="17"/>
      <c r="AQ321" s="17"/>
      <c r="AR321" s="17"/>
      <c r="AS321" s="17"/>
      <c r="AT321" s="17"/>
    </row>
    <row r="322" spans="1:46" x14ac:dyDescent="0.25">
      <c r="A322" s="61">
        <v>120</v>
      </c>
      <c r="B322" t="s">
        <v>365</v>
      </c>
      <c r="C322" s="18" t="s">
        <v>242</v>
      </c>
      <c r="D322" s="17">
        <v>2006</v>
      </c>
      <c r="E322" s="17" t="s">
        <v>44</v>
      </c>
      <c r="F322" s="17" t="s">
        <v>362</v>
      </c>
      <c r="G322" s="17" t="s">
        <v>178</v>
      </c>
      <c r="H322" s="17">
        <v>72</v>
      </c>
      <c r="I322" s="17">
        <v>6</v>
      </c>
      <c r="J322" s="17">
        <v>17</v>
      </c>
      <c r="K322" s="17" t="s">
        <v>364</v>
      </c>
      <c r="L322" s="17" t="s">
        <v>86</v>
      </c>
      <c r="M322" s="17" t="s">
        <v>67</v>
      </c>
      <c r="N322" s="17" t="s">
        <v>59</v>
      </c>
      <c r="O322" s="17" t="s">
        <v>169</v>
      </c>
      <c r="P322" s="17">
        <v>12</v>
      </c>
      <c r="Q322" s="17">
        <v>3</v>
      </c>
      <c r="R322" s="17">
        <v>23</v>
      </c>
      <c r="S322" s="17">
        <v>9</v>
      </c>
      <c r="T322" s="17"/>
      <c r="U322" s="17"/>
      <c r="V322" s="17"/>
      <c r="W322" s="17"/>
      <c r="X322" s="17"/>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row>
    <row r="323" spans="1:46" x14ac:dyDescent="0.25">
      <c r="A323" s="61">
        <v>120</v>
      </c>
      <c r="B323" s="17"/>
      <c r="C323" s="44" t="s">
        <v>340</v>
      </c>
      <c r="D323" s="117">
        <v>2015</v>
      </c>
      <c r="E323" s="112" t="s">
        <v>40</v>
      </c>
      <c r="F323" s="112" t="s">
        <v>102</v>
      </c>
      <c r="G323" s="112" t="s">
        <v>178</v>
      </c>
      <c r="H323" s="112">
        <v>20</v>
      </c>
      <c r="I323" s="34"/>
      <c r="J323" s="34">
        <v>21</v>
      </c>
      <c r="K323" s="35" t="s">
        <v>64</v>
      </c>
      <c r="L323" s="112" t="s">
        <v>66</v>
      </c>
      <c r="M323" s="112" t="s">
        <v>67</v>
      </c>
      <c r="N323" s="112" t="s">
        <v>59</v>
      </c>
      <c r="O323" s="112" t="s">
        <v>169</v>
      </c>
      <c r="P323" s="17"/>
      <c r="Q323" s="17"/>
      <c r="R323" s="17"/>
      <c r="S323" s="17"/>
      <c r="T323" s="17">
        <v>41.8</v>
      </c>
      <c r="U323" s="17">
        <v>12.01</v>
      </c>
      <c r="V323" s="17">
        <v>38.06</v>
      </c>
      <c r="W323" s="17">
        <v>9.42</v>
      </c>
      <c r="X323" s="17"/>
      <c r="Y323" s="17"/>
      <c r="Z323" s="17"/>
      <c r="AA323" s="17"/>
      <c r="AB323" s="17"/>
      <c r="AC323" s="17"/>
      <c r="AD323" s="17"/>
      <c r="AE323" s="17"/>
      <c r="AF323" s="17"/>
      <c r="AG323" s="17"/>
      <c r="AH323" s="17"/>
      <c r="AI323" s="17"/>
      <c r="AJ323" s="17"/>
      <c r="AK323" s="17"/>
      <c r="AL323" s="17"/>
      <c r="AM323" s="17"/>
      <c r="AN323" s="17"/>
      <c r="AO323" s="17"/>
      <c r="AP323" s="17"/>
      <c r="AQ323" s="17">
        <v>0.94</v>
      </c>
      <c r="AR323" s="17">
        <v>0.19</v>
      </c>
      <c r="AS323" s="17"/>
      <c r="AT323" s="17"/>
    </row>
    <row r="324" spans="1:46" x14ac:dyDescent="0.25">
      <c r="A324" s="61">
        <v>120</v>
      </c>
      <c r="B324" s="17"/>
      <c r="C324" s="34" t="s">
        <v>340</v>
      </c>
      <c r="D324" s="117">
        <v>2015</v>
      </c>
      <c r="E324" s="112" t="s">
        <v>40</v>
      </c>
      <c r="F324" s="112" t="s">
        <v>102</v>
      </c>
      <c r="G324" s="112" t="s">
        <v>178</v>
      </c>
      <c r="H324" s="112">
        <v>20</v>
      </c>
      <c r="I324" s="34"/>
      <c r="J324" s="34">
        <v>21</v>
      </c>
      <c r="K324" s="104" t="s">
        <v>65</v>
      </c>
      <c r="L324" s="112" t="s">
        <v>66</v>
      </c>
      <c r="M324" s="112" t="s">
        <v>67</v>
      </c>
      <c r="N324" s="112" t="s">
        <v>59</v>
      </c>
      <c r="O324" s="112" t="s">
        <v>169</v>
      </c>
      <c r="P324" s="17"/>
      <c r="Q324" s="17"/>
      <c r="R324" s="17"/>
      <c r="S324" s="17"/>
      <c r="T324" s="17">
        <v>41.8</v>
      </c>
      <c r="U324" s="17">
        <v>12.01</v>
      </c>
      <c r="V324" s="17">
        <v>38.93</v>
      </c>
      <c r="W324" s="17">
        <v>11.58</v>
      </c>
      <c r="X324" s="17"/>
      <c r="Y324" s="17"/>
      <c r="Z324" s="17"/>
      <c r="AA324" s="17"/>
      <c r="AB324" s="17"/>
      <c r="AC324" s="17"/>
      <c r="AD324" s="17"/>
      <c r="AE324" s="17"/>
      <c r="AF324" s="17"/>
      <c r="AG324" s="17"/>
      <c r="AH324" s="17"/>
      <c r="AI324" s="17"/>
      <c r="AJ324" s="17"/>
      <c r="AK324" s="17"/>
      <c r="AL324" s="17"/>
      <c r="AM324" s="17"/>
      <c r="AN324" s="17"/>
      <c r="AO324" s="17"/>
      <c r="AP324" s="17"/>
      <c r="AQ324" s="17">
        <v>0.92</v>
      </c>
      <c r="AR324" s="17">
        <v>0.24</v>
      </c>
      <c r="AS324" s="17"/>
      <c r="AT324" s="17"/>
    </row>
    <row r="325" spans="1:46" x14ac:dyDescent="0.25">
      <c r="A325" s="61">
        <v>120</v>
      </c>
      <c r="B325" s="17"/>
      <c r="C325" s="34" t="s">
        <v>340</v>
      </c>
      <c r="D325" s="117">
        <v>2015</v>
      </c>
      <c r="E325" s="112" t="s">
        <v>40</v>
      </c>
      <c r="F325" s="112" t="s">
        <v>102</v>
      </c>
      <c r="G325" s="112" t="s">
        <v>178</v>
      </c>
      <c r="H325" s="112">
        <v>20</v>
      </c>
      <c r="I325" s="34"/>
      <c r="J325" s="34">
        <v>21</v>
      </c>
      <c r="K325" s="35" t="s">
        <v>64</v>
      </c>
      <c r="L325" s="112" t="s">
        <v>66</v>
      </c>
      <c r="M325" s="112" t="s">
        <v>122</v>
      </c>
      <c r="N325" s="112" t="s">
        <v>59</v>
      </c>
      <c r="O325" s="112" t="s">
        <v>169</v>
      </c>
      <c r="P325" s="17"/>
      <c r="Q325" s="17"/>
      <c r="R325" s="17"/>
      <c r="S325" s="17"/>
      <c r="T325" s="17">
        <v>41.4</v>
      </c>
      <c r="U325" s="17">
        <v>9.49</v>
      </c>
      <c r="V325" s="17">
        <v>40.03</v>
      </c>
      <c r="W325" s="17">
        <v>13.15</v>
      </c>
      <c r="X325" s="17"/>
      <c r="Y325" s="17"/>
      <c r="Z325" s="17"/>
      <c r="AA325" s="17"/>
      <c r="AB325" s="17"/>
      <c r="AC325" s="17"/>
      <c r="AD325" s="17"/>
      <c r="AE325" s="17"/>
      <c r="AF325" s="17"/>
      <c r="AG325" s="17"/>
      <c r="AH325" s="17"/>
      <c r="AI325" s="17"/>
      <c r="AJ325" s="17"/>
      <c r="AK325" s="17"/>
      <c r="AL325" s="17"/>
      <c r="AM325" s="17"/>
      <c r="AN325" s="17"/>
      <c r="AO325" s="17"/>
      <c r="AP325" s="17"/>
      <c r="AQ325" s="17">
        <v>0.97</v>
      </c>
      <c r="AR325" s="17">
        <v>0.2</v>
      </c>
      <c r="AS325" s="17"/>
      <c r="AT325" s="17"/>
    </row>
    <row r="326" spans="1:46" x14ac:dyDescent="0.25">
      <c r="A326" s="61">
        <v>120</v>
      </c>
      <c r="B326" s="17"/>
      <c r="C326" s="34" t="s">
        <v>340</v>
      </c>
      <c r="D326" s="117">
        <v>2015</v>
      </c>
      <c r="E326" s="112" t="s">
        <v>40</v>
      </c>
      <c r="F326" s="112" t="s">
        <v>102</v>
      </c>
      <c r="G326" s="112" t="s">
        <v>178</v>
      </c>
      <c r="H326" s="112">
        <v>20</v>
      </c>
      <c r="I326" s="34"/>
      <c r="J326" s="34">
        <v>21</v>
      </c>
      <c r="K326" s="104" t="s">
        <v>65</v>
      </c>
      <c r="L326" s="112" t="s">
        <v>66</v>
      </c>
      <c r="M326" s="112" t="s">
        <v>122</v>
      </c>
      <c r="N326" s="112" t="s">
        <v>59</v>
      </c>
      <c r="O326" s="112" t="s">
        <v>169</v>
      </c>
      <c r="P326" s="17"/>
      <c r="Q326" s="17"/>
      <c r="R326" s="17"/>
      <c r="S326" s="17"/>
      <c r="T326" s="17">
        <v>39.93</v>
      </c>
      <c r="U326" s="17">
        <v>11.58</v>
      </c>
      <c r="V326" s="17">
        <v>39.58</v>
      </c>
      <c r="W326" s="17">
        <v>12.89</v>
      </c>
      <c r="X326" s="17"/>
      <c r="Y326" s="17"/>
      <c r="Z326" s="17"/>
      <c r="AA326" s="17"/>
      <c r="AB326" s="17"/>
      <c r="AC326" s="17"/>
      <c r="AD326" s="17"/>
      <c r="AE326" s="17"/>
      <c r="AF326" s="17"/>
      <c r="AG326" s="17"/>
      <c r="AH326" s="17"/>
      <c r="AI326" s="17"/>
      <c r="AJ326" s="17"/>
      <c r="AK326" s="17"/>
      <c r="AL326" s="17"/>
      <c r="AM326" s="17"/>
      <c r="AN326" s="17"/>
      <c r="AO326" s="17"/>
      <c r="AP326" s="17"/>
      <c r="AQ326" s="17">
        <v>0.93</v>
      </c>
      <c r="AR326" s="17">
        <v>0.27</v>
      </c>
      <c r="AS326" s="17"/>
      <c r="AT326" s="17"/>
    </row>
    <row r="327" spans="1:46" x14ac:dyDescent="0.25">
      <c r="A327" s="61">
        <v>120</v>
      </c>
      <c r="B327" s="17"/>
      <c r="C327" s="34" t="s">
        <v>340</v>
      </c>
      <c r="D327" s="117">
        <v>2015</v>
      </c>
      <c r="E327" s="112" t="s">
        <v>40</v>
      </c>
      <c r="F327" s="112" t="s">
        <v>102</v>
      </c>
      <c r="G327" s="112" t="s">
        <v>342</v>
      </c>
      <c r="H327" s="112">
        <v>20</v>
      </c>
      <c r="I327" s="34"/>
      <c r="J327" s="34">
        <v>6</v>
      </c>
      <c r="K327" s="35" t="s">
        <v>64</v>
      </c>
      <c r="L327" s="112" t="s">
        <v>66</v>
      </c>
      <c r="M327" s="112" t="s">
        <v>67</v>
      </c>
      <c r="N327" s="112" t="s">
        <v>59</v>
      </c>
      <c r="O327" s="112" t="s">
        <v>169</v>
      </c>
      <c r="P327" s="17"/>
      <c r="Q327" s="17"/>
      <c r="R327" s="17"/>
      <c r="S327" s="17"/>
      <c r="T327" s="17">
        <v>40.15</v>
      </c>
      <c r="U327" s="17">
        <v>6.25</v>
      </c>
      <c r="V327" s="17">
        <v>40.25</v>
      </c>
      <c r="W327" s="17">
        <v>7.01</v>
      </c>
      <c r="X327" s="17"/>
      <c r="Y327" s="17"/>
      <c r="Z327" s="17"/>
      <c r="AA327" s="17"/>
      <c r="AB327" s="17"/>
      <c r="AC327" s="17"/>
      <c r="AD327" s="17"/>
      <c r="AE327" s="17"/>
      <c r="AF327" s="17"/>
      <c r="AG327" s="17"/>
      <c r="AH327" s="17"/>
      <c r="AI327" s="17"/>
      <c r="AJ327" s="17"/>
      <c r="AK327" s="17"/>
      <c r="AL327" s="17"/>
      <c r="AM327" s="17"/>
      <c r="AN327" s="17"/>
      <c r="AO327" s="17"/>
      <c r="AP327" s="17"/>
      <c r="AQ327" s="17">
        <v>1.01</v>
      </c>
      <c r="AR327" s="17">
        <v>0.16</v>
      </c>
      <c r="AS327" s="17"/>
      <c r="AT327" s="17"/>
    </row>
    <row r="328" spans="1:46" x14ac:dyDescent="0.25">
      <c r="A328" s="61">
        <v>120</v>
      </c>
      <c r="B328" s="17"/>
      <c r="C328" s="34" t="s">
        <v>340</v>
      </c>
      <c r="D328" s="117">
        <v>2015</v>
      </c>
      <c r="E328" s="112" t="s">
        <v>40</v>
      </c>
      <c r="F328" s="112" t="s">
        <v>102</v>
      </c>
      <c r="G328" s="112" t="s">
        <v>343</v>
      </c>
      <c r="H328" s="112">
        <v>20</v>
      </c>
      <c r="I328" s="34"/>
      <c r="J328" s="34">
        <v>7</v>
      </c>
      <c r="K328" s="35" t="s">
        <v>64</v>
      </c>
      <c r="L328" s="112" t="s">
        <v>66</v>
      </c>
      <c r="M328" s="112" t="s">
        <v>67</v>
      </c>
      <c r="N328" s="112" t="s">
        <v>59</v>
      </c>
      <c r="O328" s="112" t="s">
        <v>169</v>
      </c>
      <c r="P328" s="17"/>
      <c r="Q328" s="17"/>
      <c r="R328" s="17"/>
      <c r="S328" s="17"/>
      <c r="T328" s="17">
        <v>46.47</v>
      </c>
      <c r="U328" s="17">
        <v>15.46</v>
      </c>
      <c r="V328" s="17">
        <v>40.98</v>
      </c>
      <c r="W328" s="17">
        <v>13.77</v>
      </c>
      <c r="X328" s="17"/>
      <c r="Y328" s="17"/>
      <c r="Z328" s="17"/>
      <c r="AA328" s="17"/>
      <c r="AB328" s="17"/>
      <c r="AC328" s="17"/>
      <c r="AD328" s="17"/>
      <c r="AE328" s="17"/>
      <c r="AF328" s="17"/>
      <c r="AG328" s="17"/>
      <c r="AH328" s="17"/>
      <c r="AI328" s="17"/>
      <c r="AJ328" s="17"/>
      <c r="AK328" s="17"/>
      <c r="AL328" s="17"/>
      <c r="AM328" s="17"/>
      <c r="AN328" s="17"/>
      <c r="AO328" s="17"/>
      <c r="AP328" s="17"/>
      <c r="AQ328" s="17">
        <v>0.89</v>
      </c>
      <c r="AR328" s="17">
        <v>0.94</v>
      </c>
      <c r="AS328" s="17"/>
      <c r="AT328" s="17"/>
    </row>
    <row r="329" spans="1:46" x14ac:dyDescent="0.25">
      <c r="A329" s="61">
        <v>120</v>
      </c>
      <c r="B329" s="17"/>
      <c r="C329" s="34" t="s">
        <v>340</v>
      </c>
      <c r="D329" s="117">
        <v>2015</v>
      </c>
      <c r="E329" s="112" t="s">
        <v>40</v>
      </c>
      <c r="F329" s="112" t="s">
        <v>102</v>
      </c>
      <c r="G329" s="112" t="s">
        <v>344</v>
      </c>
      <c r="H329" s="112">
        <v>20</v>
      </c>
      <c r="I329" s="34"/>
      <c r="J329" s="34">
        <v>8</v>
      </c>
      <c r="K329" s="35" t="s">
        <v>64</v>
      </c>
      <c r="L329" s="112" t="s">
        <v>66</v>
      </c>
      <c r="M329" s="112" t="s">
        <v>67</v>
      </c>
      <c r="N329" s="112" t="s">
        <v>59</v>
      </c>
      <c r="O329" s="112" t="s">
        <v>169</v>
      </c>
      <c r="P329" s="17"/>
      <c r="Q329" s="17"/>
      <c r="R329" s="17"/>
      <c r="S329" s="17"/>
      <c r="T329" s="17">
        <v>38.950000000000003</v>
      </c>
      <c r="U329" s="17">
        <v>12.09</v>
      </c>
      <c r="V329" s="17">
        <v>33.86</v>
      </c>
      <c r="W329" s="17">
        <v>4.82</v>
      </c>
      <c r="X329" s="17"/>
      <c r="Y329" s="17"/>
      <c r="Z329" s="17"/>
      <c r="AA329" s="17"/>
      <c r="AB329" s="17"/>
      <c r="AC329" s="17"/>
      <c r="AD329" s="17"/>
      <c r="AE329" s="17"/>
      <c r="AF329" s="17"/>
      <c r="AG329" s="17"/>
      <c r="AH329" s="17"/>
      <c r="AI329" s="17"/>
      <c r="AJ329" s="17"/>
      <c r="AK329" s="17"/>
      <c r="AL329" s="17"/>
      <c r="AM329" s="17"/>
      <c r="AN329" s="17"/>
      <c r="AO329" s="17"/>
      <c r="AP329" s="17"/>
      <c r="AQ329" s="17">
        <v>0.93</v>
      </c>
      <c r="AR329" s="17">
        <v>0.27</v>
      </c>
      <c r="AS329" s="17"/>
      <c r="AT329" s="17"/>
    </row>
    <row r="330" spans="1:46" x14ac:dyDescent="0.25">
      <c r="A330" s="61">
        <v>120</v>
      </c>
      <c r="B330" s="17"/>
      <c r="C330" s="34" t="s">
        <v>340</v>
      </c>
      <c r="D330" s="117">
        <v>2015</v>
      </c>
      <c r="E330" s="112" t="s">
        <v>40</v>
      </c>
      <c r="F330" s="112" t="s">
        <v>102</v>
      </c>
      <c r="G330" s="112" t="s">
        <v>342</v>
      </c>
      <c r="H330" s="112">
        <v>20</v>
      </c>
      <c r="I330" s="34"/>
      <c r="J330" s="34">
        <v>6</v>
      </c>
      <c r="K330" s="35" t="s">
        <v>64</v>
      </c>
      <c r="L330" s="112" t="s">
        <v>66</v>
      </c>
      <c r="M330" s="112" t="s">
        <v>122</v>
      </c>
      <c r="N330" s="112" t="s">
        <v>59</v>
      </c>
      <c r="O330" s="112" t="s">
        <v>169</v>
      </c>
      <c r="P330" s="17"/>
      <c r="Q330" s="17"/>
      <c r="R330" s="17"/>
      <c r="S330" s="17"/>
      <c r="T330" s="17">
        <v>40.299999999999997</v>
      </c>
      <c r="U330" s="17">
        <v>3.35</v>
      </c>
      <c r="V330" s="17">
        <v>41.98</v>
      </c>
      <c r="W330" s="17">
        <v>9.1300000000000008</v>
      </c>
      <c r="X330" s="17"/>
      <c r="Y330" s="17"/>
      <c r="Z330" s="17"/>
      <c r="AA330" s="17"/>
      <c r="AB330" s="17"/>
      <c r="AC330" s="17"/>
      <c r="AD330" s="17"/>
      <c r="AE330" s="17"/>
      <c r="AF330" s="17"/>
      <c r="AG330" s="17"/>
      <c r="AH330" s="17"/>
      <c r="AI330" s="17"/>
      <c r="AJ330" s="17"/>
      <c r="AK330" s="17"/>
      <c r="AL330" s="17"/>
      <c r="AM330" s="17"/>
      <c r="AN330" s="17"/>
      <c r="AO330" s="17"/>
      <c r="AP330" s="17"/>
      <c r="AQ330" s="17">
        <v>1.05</v>
      </c>
      <c r="AR330" s="17">
        <v>0.19</v>
      </c>
      <c r="AS330" s="17"/>
      <c r="AT330" s="17"/>
    </row>
    <row r="331" spans="1:46" x14ac:dyDescent="0.25">
      <c r="A331" s="61">
        <v>120</v>
      </c>
      <c r="B331" s="17"/>
      <c r="C331" s="34" t="s">
        <v>340</v>
      </c>
      <c r="D331" s="117">
        <v>2015</v>
      </c>
      <c r="E331" s="112" t="s">
        <v>40</v>
      </c>
      <c r="F331" s="112" t="s">
        <v>102</v>
      </c>
      <c r="G331" s="112" t="s">
        <v>343</v>
      </c>
      <c r="H331" s="112">
        <v>20</v>
      </c>
      <c r="I331" s="34"/>
      <c r="J331" s="34">
        <v>7</v>
      </c>
      <c r="K331" s="35" t="s">
        <v>64</v>
      </c>
      <c r="L331" s="112" t="s">
        <v>66</v>
      </c>
      <c r="M331" s="112" t="s">
        <v>122</v>
      </c>
      <c r="N331" s="112" t="s">
        <v>59</v>
      </c>
      <c r="O331" s="112" t="s">
        <v>169</v>
      </c>
      <c r="P331" s="17"/>
      <c r="Q331" s="17"/>
      <c r="R331" s="17"/>
      <c r="S331" s="17"/>
      <c r="T331" s="17">
        <v>44.24</v>
      </c>
      <c r="U331" s="17">
        <v>13.66</v>
      </c>
      <c r="V331" s="17">
        <v>45.74</v>
      </c>
      <c r="W331" s="17">
        <v>17.489999999999998</v>
      </c>
      <c r="X331" s="17"/>
      <c r="Y331" s="17"/>
      <c r="Z331" s="17"/>
      <c r="AA331" s="17"/>
      <c r="AB331" s="17"/>
      <c r="AC331" s="17"/>
      <c r="AD331" s="17"/>
      <c r="AE331" s="17"/>
      <c r="AF331" s="17"/>
      <c r="AG331" s="17"/>
      <c r="AH331" s="17"/>
      <c r="AI331" s="17"/>
      <c r="AJ331" s="17"/>
      <c r="AK331" s="17"/>
      <c r="AL331" s="17"/>
      <c r="AM331" s="17"/>
      <c r="AN331" s="17"/>
      <c r="AO331" s="17"/>
      <c r="AP331" s="17"/>
      <c r="AQ331" s="17">
        <v>0.99</v>
      </c>
      <c r="AR331" s="17">
        <v>0.14000000000000001</v>
      </c>
      <c r="AS331" s="17"/>
      <c r="AT331" s="17"/>
    </row>
    <row r="332" spans="1:46" x14ac:dyDescent="0.25">
      <c r="A332" s="61">
        <v>120</v>
      </c>
      <c r="B332" s="17"/>
      <c r="C332" s="34" t="s">
        <v>340</v>
      </c>
      <c r="D332" s="117">
        <v>2015</v>
      </c>
      <c r="E332" s="112" t="s">
        <v>40</v>
      </c>
      <c r="F332" s="112" t="s">
        <v>102</v>
      </c>
      <c r="G332" s="112" t="s">
        <v>344</v>
      </c>
      <c r="H332" s="112">
        <v>20</v>
      </c>
      <c r="I332" s="34"/>
      <c r="J332" s="34">
        <v>8</v>
      </c>
      <c r="K332" s="35" t="s">
        <v>64</v>
      </c>
      <c r="L332" s="112" t="s">
        <v>66</v>
      </c>
      <c r="M332" s="112" t="s">
        <v>122</v>
      </c>
      <c r="N332" s="112" t="s">
        <v>59</v>
      </c>
      <c r="O332" s="112" t="s">
        <v>169</v>
      </c>
      <c r="P332" s="17"/>
      <c r="Q332" s="17"/>
      <c r="R332" s="17"/>
      <c r="S332" s="17"/>
      <c r="T332" s="17">
        <v>40.270000000000003</v>
      </c>
      <c r="U332" s="17">
        <v>8.8800000000000008</v>
      </c>
      <c r="V332" s="17">
        <v>33.58</v>
      </c>
      <c r="W332" s="17">
        <v>9.44</v>
      </c>
      <c r="X332" s="17"/>
      <c r="Y332" s="17"/>
      <c r="Z332" s="17"/>
      <c r="AA332" s="17"/>
      <c r="AB332" s="17"/>
      <c r="AC332" s="17"/>
      <c r="AD332" s="17"/>
      <c r="AE332" s="17"/>
      <c r="AF332" s="17"/>
      <c r="AG332" s="17"/>
      <c r="AH332" s="17"/>
      <c r="AI332" s="17"/>
      <c r="AJ332" s="17"/>
      <c r="AK332" s="17"/>
      <c r="AL332" s="17"/>
      <c r="AM332" s="17"/>
      <c r="AN332" s="17"/>
      <c r="AO332" s="17"/>
      <c r="AP332" s="17"/>
      <c r="AQ332" s="17">
        <v>0.9</v>
      </c>
      <c r="AR332" s="17">
        <v>0.25</v>
      </c>
      <c r="AS332" s="17"/>
      <c r="AT332" s="17"/>
    </row>
    <row r="333" spans="1:46" x14ac:dyDescent="0.25">
      <c r="A333" s="61">
        <v>60</v>
      </c>
      <c r="B333" s="17"/>
      <c r="C333" s="44" t="s">
        <v>294</v>
      </c>
      <c r="D333" s="17">
        <v>2024</v>
      </c>
      <c r="E333" s="17" t="s">
        <v>37</v>
      </c>
      <c r="F333" s="17" t="s">
        <v>102</v>
      </c>
      <c r="G333" s="112" t="s">
        <v>178</v>
      </c>
      <c r="H333" s="17">
        <v>27.8</v>
      </c>
      <c r="I333" s="17">
        <v>5.3</v>
      </c>
      <c r="J333" s="17">
        <v>25</v>
      </c>
      <c r="K333" s="17" t="s">
        <v>64</v>
      </c>
      <c r="L333" s="112" t="s">
        <v>66</v>
      </c>
      <c r="M333" s="17" t="s">
        <v>67</v>
      </c>
      <c r="N333" s="17" t="s">
        <v>295</v>
      </c>
      <c r="O333" s="112" t="s">
        <v>169</v>
      </c>
      <c r="P333" s="17"/>
      <c r="Q333" s="17"/>
      <c r="R333" s="17"/>
      <c r="S333" s="17"/>
      <c r="T333" s="17">
        <v>39.299999999999997</v>
      </c>
      <c r="U333" s="17">
        <v>5.5</v>
      </c>
      <c r="V333" s="17">
        <v>32.5</v>
      </c>
      <c r="W333" s="17">
        <v>6.8</v>
      </c>
      <c r="X333" s="17"/>
      <c r="Y333" s="17"/>
      <c r="Z333" s="17"/>
      <c r="AA333" s="17">
        <v>0.44</v>
      </c>
      <c r="AB333" s="17">
        <v>0.08</v>
      </c>
      <c r="AC333" s="17">
        <v>0.36</v>
      </c>
      <c r="AD333" s="17">
        <v>0.06</v>
      </c>
      <c r="AE333" s="17"/>
      <c r="AF333" s="17"/>
      <c r="AG333" s="17"/>
      <c r="AH333" s="17"/>
      <c r="AI333" s="17"/>
      <c r="AJ333" s="17"/>
      <c r="AK333" s="17"/>
      <c r="AL333" s="17"/>
      <c r="AM333" s="17"/>
      <c r="AN333" s="17"/>
      <c r="AO333" s="17"/>
      <c r="AP333" s="17"/>
      <c r="AQ333" s="17">
        <v>83.6</v>
      </c>
      <c r="AR333" s="17">
        <v>16</v>
      </c>
      <c r="AS333" s="17"/>
      <c r="AT333" s="17"/>
    </row>
    <row r="334" spans="1:46" x14ac:dyDescent="0.25">
      <c r="A334" s="61">
        <v>60</v>
      </c>
      <c r="B334" s="17"/>
      <c r="C334" s="44" t="s">
        <v>294</v>
      </c>
      <c r="D334" s="17">
        <v>2024</v>
      </c>
      <c r="E334" s="17" t="s">
        <v>37</v>
      </c>
      <c r="F334" s="17" t="s">
        <v>102</v>
      </c>
      <c r="G334" s="112" t="s">
        <v>178</v>
      </c>
      <c r="H334" s="17">
        <v>27.8</v>
      </c>
      <c r="I334" s="17">
        <v>5.3</v>
      </c>
      <c r="J334" s="17">
        <v>25</v>
      </c>
      <c r="K334" s="104" t="s">
        <v>65</v>
      </c>
      <c r="L334" s="112" t="s">
        <v>66</v>
      </c>
      <c r="M334" s="17" t="s">
        <v>67</v>
      </c>
      <c r="N334" s="17" t="s">
        <v>295</v>
      </c>
      <c r="O334" s="112" t="s">
        <v>169</v>
      </c>
      <c r="P334" s="17"/>
      <c r="Q334" s="17"/>
      <c r="R334" s="17"/>
      <c r="S334" s="17"/>
      <c r="T334" s="17">
        <v>39.700000000000003</v>
      </c>
      <c r="U334" s="17">
        <v>6.3</v>
      </c>
      <c r="V334" s="17">
        <v>31.5</v>
      </c>
      <c r="W334" s="17">
        <v>5</v>
      </c>
      <c r="X334" s="17"/>
      <c r="Y334" s="17"/>
      <c r="Z334" s="17"/>
      <c r="AA334" s="17">
        <v>0.44</v>
      </c>
      <c r="AB334" s="17">
        <v>0.08</v>
      </c>
      <c r="AC334" s="17">
        <v>0.35</v>
      </c>
      <c r="AD334" s="17">
        <v>0.06</v>
      </c>
      <c r="AE334" s="17"/>
      <c r="AF334" s="17"/>
      <c r="AG334" s="17"/>
      <c r="AH334" s="17"/>
      <c r="AI334" s="17"/>
      <c r="AJ334" s="17"/>
      <c r="AK334" s="17"/>
      <c r="AL334" s="17"/>
      <c r="AM334" s="17"/>
      <c r="AN334" s="17"/>
      <c r="AO334" s="17"/>
      <c r="AP334" s="17"/>
      <c r="AQ334" s="17">
        <v>80.5</v>
      </c>
      <c r="AR334" s="17">
        <v>15.5</v>
      </c>
      <c r="AS334" s="17"/>
      <c r="AT334" s="17"/>
    </row>
    <row r="335" spans="1:46" x14ac:dyDescent="0.25">
      <c r="A335" s="61">
        <v>150</v>
      </c>
      <c r="B335" t="s">
        <v>411</v>
      </c>
      <c r="C335" s="44" t="s">
        <v>294</v>
      </c>
      <c r="D335" s="17">
        <v>2024</v>
      </c>
      <c r="E335" s="17" t="s">
        <v>37</v>
      </c>
      <c r="F335" s="17" t="s">
        <v>102</v>
      </c>
      <c r="G335" s="112" t="s">
        <v>178</v>
      </c>
      <c r="H335" s="17">
        <v>27.8</v>
      </c>
      <c r="I335" s="17">
        <v>5.3</v>
      </c>
      <c r="J335" s="17">
        <v>25</v>
      </c>
      <c r="K335" s="17" t="s">
        <v>64</v>
      </c>
      <c r="L335" s="112" t="s">
        <v>66</v>
      </c>
      <c r="M335" s="17" t="s">
        <v>67</v>
      </c>
      <c r="N335" s="17" t="s">
        <v>295</v>
      </c>
      <c r="O335" s="112" t="s">
        <v>169</v>
      </c>
      <c r="P335" s="17"/>
      <c r="Q335" s="17"/>
      <c r="R335" s="17"/>
      <c r="S335" s="17"/>
      <c r="T335" s="17">
        <v>29.8</v>
      </c>
      <c r="U335" s="17">
        <v>3.8</v>
      </c>
      <c r="V335" s="17">
        <v>23.3</v>
      </c>
      <c r="W335" s="17">
        <v>4</v>
      </c>
      <c r="X335" s="17"/>
      <c r="Y335" s="17"/>
      <c r="Z335" s="17"/>
      <c r="AA335" s="17">
        <v>0.33</v>
      </c>
      <c r="AB335" s="17">
        <v>0.06</v>
      </c>
      <c r="AC335" s="17">
        <v>0.26</v>
      </c>
      <c r="AD335" s="17">
        <v>0.04</v>
      </c>
      <c r="AE335" s="17"/>
      <c r="AF335" s="17"/>
      <c r="AG335" s="17"/>
      <c r="AH335" s="17"/>
      <c r="AI335" s="17"/>
      <c r="AJ335" s="17"/>
      <c r="AK335" s="17"/>
      <c r="AL335" s="17"/>
      <c r="AM335" s="17"/>
      <c r="AN335" s="17"/>
      <c r="AO335" s="17"/>
      <c r="AP335" s="17"/>
      <c r="AQ335" s="17">
        <v>79.3</v>
      </c>
      <c r="AR335" s="17">
        <v>15.2</v>
      </c>
      <c r="AS335" s="17"/>
      <c r="AT335" s="17"/>
    </row>
    <row r="336" spans="1:46" x14ac:dyDescent="0.25">
      <c r="A336" s="61">
        <v>150</v>
      </c>
      <c r="B336" t="s">
        <v>411</v>
      </c>
      <c r="C336" s="44" t="s">
        <v>294</v>
      </c>
      <c r="D336" s="17">
        <v>2024</v>
      </c>
      <c r="E336" s="17" t="s">
        <v>37</v>
      </c>
      <c r="F336" s="17" t="s">
        <v>102</v>
      </c>
      <c r="G336" s="112" t="s">
        <v>178</v>
      </c>
      <c r="H336" s="17">
        <v>27.8</v>
      </c>
      <c r="I336" s="17">
        <v>5.3</v>
      </c>
      <c r="J336" s="17">
        <v>25</v>
      </c>
      <c r="K336" s="104" t="s">
        <v>65</v>
      </c>
      <c r="L336" s="112" t="s">
        <v>66</v>
      </c>
      <c r="M336" s="17" t="s">
        <v>67</v>
      </c>
      <c r="N336" s="17" t="s">
        <v>295</v>
      </c>
      <c r="O336" s="112" t="s">
        <v>169</v>
      </c>
      <c r="P336" s="17"/>
      <c r="Q336" s="17"/>
      <c r="R336" s="17"/>
      <c r="S336" s="17"/>
      <c r="T336" s="17">
        <v>30.5</v>
      </c>
      <c r="U336" s="17">
        <v>4</v>
      </c>
      <c r="V336" s="17">
        <v>23.8</v>
      </c>
      <c r="W336" s="17">
        <v>3.6</v>
      </c>
      <c r="X336" s="17"/>
      <c r="Y336" s="17"/>
      <c r="Z336" s="17"/>
      <c r="AA336" s="17">
        <v>0.34</v>
      </c>
      <c r="AB336" s="17">
        <v>0.05</v>
      </c>
      <c r="AC336" s="17">
        <v>0.27</v>
      </c>
      <c r="AD336" s="17">
        <v>0.04</v>
      </c>
      <c r="AE336" s="17"/>
      <c r="AF336" s="17"/>
      <c r="AG336" s="17"/>
      <c r="AH336" s="17"/>
      <c r="AI336" s="17"/>
      <c r="AJ336" s="17"/>
      <c r="AK336" s="17"/>
      <c r="AL336" s="17"/>
      <c r="AM336" s="17"/>
      <c r="AN336" s="17"/>
      <c r="AO336" s="17"/>
      <c r="AP336" s="17"/>
      <c r="AQ336" s="17">
        <v>78.900000000000006</v>
      </c>
      <c r="AR336" s="17">
        <v>16.3</v>
      </c>
      <c r="AS336" s="17"/>
      <c r="AT336" s="17"/>
    </row>
    <row r="337" spans="1:46" x14ac:dyDescent="0.25">
      <c r="A337" s="61">
        <v>60</v>
      </c>
      <c r="B337" t="s">
        <v>411</v>
      </c>
      <c r="C337" s="44" t="s">
        <v>294</v>
      </c>
      <c r="D337" s="17">
        <v>2024</v>
      </c>
      <c r="E337" s="17" t="s">
        <v>37</v>
      </c>
      <c r="F337" s="17" t="s">
        <v>102</v>
      </c>
      <c r="G337" s="17" t="s">
        <v>71</v>
      </c>
      <c r="H337" s="17">
        <v>27.8</v>
      </c>
      <c r="I337" s="17">
        <v>5.3</v>
      </c>
      <c r="J337" s="17">
        <v>12</v>
      </c>
      <c r="K337" s="17" t="s">
        <v>178</v>
      </c>
      <c r="L337" s="112" t="s">
        <v>66</v>
      </c>
      <c r="M337" s="17" t="s">
        <v>67</v>
      </c>
      <c r="N337" s="17" t="s">
        <v>295</v>
      </c>
      <c r="O337" s="112" t="s">
        <v>169</v>
      </c>
      <c r="P337" s="17"/>
      <c r="Q337" s="17"/>
      <c r="R337" s="17"/>
      <c r="S337" s="17"/>
      <c r="T337" s="17"/>
      <c r="U337" s="17"/>
      <c r="V337" s="17"/>
      <c r="W337" s="17"/>
      <c r="X337" s="17"/>
      <c r="Y337" s="17"/>
      <c r="Z337" s="17"/>
      <c r="AA337" s="17">
        <v>0.45</v>
      </c>
      <c r="AB337" s="17">
        <v>0.06</v>
      </c>
      <c r="AC337" s="17">
        <v>0.36</v>
      </c>
      <c r="AD337" s="17">
        <v>0.06</v>
      </c>
      <c r="AE337" s="17"/>
      <c r="AF337" s="17"/>
      <c r="AG337" s="17"/>
      <c r="AH337" s="17"/>
      <c r="AI337" s="17"/>
      <c r="AJ337" s="17"/>
      <c r="AK337" s="17"/>
      <c r="AL337" s="17"/>
      <c r="AM337" s="17"/>
      <c r="AN337" s="17"/>
      <c r="AO337" s="17"/>
      <c r="AP337" s="17"/>
      <c r="AQ337" s="17"/>
      <c r="AR337" s="17"/>
      <c r="AS337" s="17"/>
      <c r="AT337" s="17"/>
    </row>
    <row r="338" spans="1:46" x14ac:dyDescent="0.25">
      <c r="A338" s="61">
        <v>60</v>
      </c>
      <c r="B338" t="s">
        <v>411</v>
      </c>
      <c r="C338" s="44" t="s">
        <v>294</v>
      </c>
      <c r="D338" s="17">
        <v>2024</v>
      </c>
      <c r="E338" s="17" t="s">
        <v>37</v>
      </c>
      <c r="F338" s="17" t="s">
        <v>102</v>
      </c>
      <c r="G338" s="17" t="s">
        <v>72</v>
      </c>
      <c r="H338" s="17">
        <v>27.8</v>
      </c>
      <c r="I338" s="17">
        <v>5.3</v>
      </c>
      <c r="J338" s="17">
        <v>11</v>
      </c>
      <c r="K338" s="17" t="s">
        <v>178</v>
      </c>
      <c r="L338" s="112" t="s">
        <v>66</v>
      </c>
      <c r="M338" s="17" t="s">
        <v>67</v>
      </c>
      <c r="N338" s="17" t="s">
        <v>295</v>
      </c>
      <c r="O338" s="112" t="s">
        <v>169</v>
      </c>
      <c r="P338" s="17"/>
      <c r="Q338" s="17"/>
      <c r="R338" s="17"/>
      <c r="S338" s="17"/>
      <c r="T338" s="17"/>
      <c r="U338" s="17"/>
      <c r="V338" s="17"/>
      <c r="W338" s="17"/>
      <c r="X338" s="17"/>
      <c r="Y338" s="17"/>
      <c r="Z338" s="17"/>
      <c r="AA338" s="17">
        <v>0.41</v>
      </c>
      <c r="AB338" s="17">
        <v>0.08</v>
      </c>
      <c r="AC338" s="17">
        <v>0.36</v>
      </c>
      <c r="AD338" s="17">
        <v>7.0000000000000007E-2</v>
      </c>
      <c r="AE338" s="17"/>
      <c r="AF338" s="17"/>
      <c r="AG338" s="17"/>
      <c r="AH338" s="17"/>
      <c r="AI338" s="17"/>
      <c r="AJ338" s="17"/>
      <c r="AK338" s="17"/>
      <c r="AL338" s="17"/>
      <c r="AM338" s="17"/>
      <c r="AN338" s="17"/>
      <c r="AO338" s="17"/>
      <c r="AP338" s="17"/>
      <c r="AQ338" s="17"/>
      <c r="AR338" s="17"/>
      <c r="AS338" s="17"/>
      <c r="AT338" s="17"/>
    </row>
    <row r="339" spans="1:46" x14ac:dyDescent="0.25">
      <c r="A339" s="61">
        <v>150</v>
      </c>
      <c r="B339" t="s">
        <v>410</v>
      </c>
      <c r="C339" s="44" t="s">
        <v>294</v>
      </c>
      <c r="D339" s="17">
        <v>2024</v>
      </c>
      <c r="E339" s="17" t="s">
        <v>37</v>
      </c>
      <c r="F339" s="17" t="s">
        <v>102</v>
      </c>
      <c r="G339" s="17" t="s">
        <v>71</v>
      </c>
      <c r="H339" s="17">
        <v>27.8</v>
      </c>
      <c r="I339" s="17">
        <v>5.3</v>
      </c>
      <c r="J339" s="17">
        <v>12</v>
      </c>
      <c r="K339" s="17" t="s">
        <v>178</v>
      </c>
      <c r="L339" s="112" t="s">
        <v>66</v>
      </c>
      <c r="M339" s="17" t="s">
        <v>67</v>
      </c>
      <c r="N339" s="17" t="s">
        <v>295</v>
      </c>
      <c r="O339" s="112" t="s">
        <v>169</v>
      </c>
      <c r="P339" s="17"/>
      <c r="Q339" s="17"/>
      <c r="R339" s="17"/>
      <c r="S339" s="17"/>
      <c r="T339" s="17"/>
      <c r="U339" s="17"/>
      <c r="V339" s="17"/>
      <c r="W339" s="17"/>
      <c r="X339" s="17"/>
      <c r="Y339" s="17"/>
      <c r="Z339" s="17"/>
      <c r="AA339" s="17">
        <v>0.35</v>
      </c>
      <c r="AB339" s="17">
        <v>0.06</v>
      </c>
      <c r="AC339" s="17">
        <v>0.27</v>
      </c>
      <c r="AD339" s="17">
        <v>0.04</v>
      </c>
      <c r="AE339" s="17"/>
      <c r="AF339" s="17"/>
      <c r="AG339" s="17"/>
      <c r="AH339" s="17"/>
      <c r="AI339" s="17"/>
      <c r="AJ339" s="17"/>
      <c r="AK339" s="17"/>
      <c r="AL339" s="17"/>
      <c r="AM339" s="17"/>
      <c r="AN339" s="17"/>
      <c r="AO339" s="17"/>
      <c r="AP339" s="17"/>
      <c r="AQ339" s="17"/>
      <c r="AR339" s="17"/>
      <c r="AS339" s="17"/>
      <c r="AT339" s="17"/>
    </row>
    <row r="340" spans="1:46" x14ac:dyDescent="0.25">
      <c r="A340" s="61">
        <v>150</v>
      </c>
      <c r="B340" t="s">
        <v>410</v>
      </c>
      <c r="C340" s="44" t="s">
        <v>294</v>
      </c>
      <c r="D340" s="17">
        <v>2024</v>
      </c>
      <c r="E340" s="17" t="s">
        <v>37</v>
      </c>
      <c r="F340" s="17" t="s">
        <v>102</v>
      </c>
      <c r="G340" s="17" t="s">
        <v>72</v>
      </c>
      <c r="H340" s="17">
        <v>27.8</v>
      </c>
      <c r="I340" s="17">
        <v>5.3</v>
      </c>
      <c r="J340" s="17">
        <v>11</v>
      </c>
      <c r="K340" s="17" t="s">
        <v>178</v>
      </c>
      <c r="L340" s="112" t="s">
        <v>66</v>
      </c>
      <c r="M340" s="17" t="s">
        <v>67</v>
      </c>
      <c r="N340" s="17" t="s">
        <v>295</v>
      </c>
      <c r="O340" s="112" t="s">
        <v>169</v>
      </c>
      <c r="P340" s="17"/>
      <c r="Q340" s="17"/>
      <c r="R340" s="17"/>
      <c r="S340" s="17"/>
      <c r="T340" s="17"/>
      <c r="U340" s="17"/>
      <c r="V340" s="17"/>
      <c r="W340" s="17"/>
      <c r="X340" s="17"/>
      <c r="Y340" s="17"/>
      <c r="Z340" s="17"/>
      <c r="AA340" s="17">
        <v>0.3</v>
      </c>
      <c r="AB340" s="17">
        <v>0.06</v>
      </c>
      <c r="AC340" s="17">
        <v>0.25</v>
      </c>
      <c r="AD340" s="17">
        <v>0.03</v>
      </c>
      <c r="AE340" s="17"/>
      <c r="AF340" s="17"/>
      <c r="AG340" s="17"/>
      <c r="AH340" s="17"/>
      <c r="AI340" s="17"/>
      <c r="AJ340" s="17"/>
      <c r="AK340" s="17"/>
      <c r="AL340" s="17"/>
      <c r="AM340" s="17"/>
      <c r="AN340" s="17"/>
      <c r="AO340" s="17"/>
      <c r="AP340" s="17"/>
      <c r="AQ340" s="17"/>
      <c r="AR340" s="17"/>
      <c r="AS340" s="17"/>
      <c r="AT340" s="17"/>
    </row>
    <row r="341" spans="1:46" x14ac:dyDescent="0.25">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7"/>
      <c r="AI341" s="17"/>
      <c r="AJ341" s="17"/>
      <c r="AK341" s="17"/>
      <c r="AL341" s="17"/>
      <c r="AM341" s="17"/>
      <c r="AN341" s="17"/>
      <c r="AO341" s="17"/>
      <c r="AP341" s="17"/>
      <c r="AQ341" s="17"/>
      <c r="AR341" s="17"/>
      <c r="AS341" s="17"/>
      <c r="AT341" s="17"/>
    </row>
    <row r="342" spans="1:46" x14ac:dyDescent="0.25">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17"/>
      <c r="AB342" s="17"/>
      <c r="AC342" s="17"/>
      <c r="AD342" s="17"/>
      <c r="AE342" s="17"/>
      <c r="AF342" s="17"/>
      <c r="AG342" s="17"/>
      <c r="AH342" s="17"/>
      <c r="AI342" s="17"/>
      <c r="AJ342" s="17"/>
      <c r="AK342" s="17"/>
      <c r="AL342" s="17"/>
      <c r="AM342" s="17"/>
      <c r="AN342" s="17"/>
      <c r="AO342" s="17"/>
      <c r="AP342" s="17"/>
      <c r="AQ342" s="17"/>
      <c r="AR342" s="17"/>
      <c r="AS342" s="17"/>
      <c r="AT342" s="17"/>
    </row>
    <row r="343" spans="1:46" x14ac:dyDescent="0.25">
      <c r="A343" s="17"/>
      <c r="B343" s="17" t="s">
        <v>94</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17"/>
      <c r="AB343" s="17"/>
      <c r="AC343" s="17"/>
      <c r="AD343" s="17"/>
      <c r="AE343" s="17"/>
      <c r="AF343" s="17"/>
      <c r="AG343" s="17"/>
      <c r="AH343" s="17"/>
      <c r="AI343" s="17"/>
      <c r="AJ343" s="17"/>
      <c r="AK343" s="17"/>
      <c r="AL343" s="17"/>
      <c r="AM343" s="17"/>
      <c r="AN343" s="17"/>
      <c r="AO343" s="17"/>
      <c r="AP343" s="17"/>
      <c r="AQ343" s="17"/>
      <c r="AR343" s="17"/>
      <c r="AS343" s="17"/>
      <c r="AT343" s="17"/>
    </row>
    <row r="344" spans="1:46" x14ac:dyDescent="0.25">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17"/>
      <c r="AB344" s="17"/>
      <c r="AC344" s="17"/>
      <c r="AD344" s="17"/>
      <c r="AE344" s="17"/>
      <c r="AF344" s="17"/>
      <c r="AG344" s="17"/>
      <c r="AH344" s="17"/>
      <c r="AI344" s="17"/>
      <c r="AJ344" s="17"/>
      <c r="AK344" s="17"/>
      <c r="AL344" s="17"/>
      <c r="AM344" s="17"/>
      <c r="AN344" s="17"/>
      <c r="AO344" s="17"/>
      <c r="AP344" s="17"/>
      <c r="AQ344" s="17"/>
      <c r="AR344" s="17"/>
      <c r="AS344" s="17"/>
      <c r="AT344" s="17"/>
    </row>
    <row r="345" spans="1:46" x14ac:dyDescent="0.25">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17"/>
      <c r="AB345" s="17"/>
      <c r="AC345" s="17"/>
      <c r="AD345" s="17"/>
      <c r="AE345" s="17"/>
      <c r="AF345" s="17"/>
      <c r="AG345" s="17"/>
      <c r="AH345" s="17"/>
      <c r="AI345" s="17"/>
      <c r="AJ345" s="17"/>
      <c r="AK345" s="17"/>
      <c r="AL345" s="17"/>
      <c r="AM345" s="17"/>
      <c r="AN345" s="17"/>
      <c r="AO345" s="17"/>
      <c r="AP345" s="17"/>
      <c r="AQ345" s="17"/>
      <c r="AR345" s="17"/>
      <c r="AS345" s="17"/>
      <c r="AT345" s="17"/>
    </row>
    <row r="346" spans="1:46" x14ac:dyDescent="0.25">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17"/>
      <c r="AB346" s="17"/>
      <c r="AC346" s="17"/>
      <c r="AD346" s="17"/>
      <c r="AE346" s="17"/>
      <c r="AF346" s="17"/>
      <c r="AG346" s="17"/>
      <c r="AH346" s="17"/>
      <c r="AI346" s="17"/>
      <c r="AJ346" s="17"/>
      <c r="AK346" s="17"/>
      <c r="AL346" s="17"/>
      <c r="AM346" s="17"/>
      <c r="AN346" s="17"/>
      <c r="AO346" s="17"/>
      <c r="AP346" s="17"/>
      <c r="AQ346" s="17"/>
      <c r="AR346" s="17"/>
      <c r="AS346" s="17"/>
      <c r="AT346" s="17"/>
    </row>
    <row r="347" spans="1:46" x14ac:dyDescent="0.25">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7"/>
      <c r="AI347" s="17"/>
      <c r="AJ347" s="17"/>
      <c r="AK347" s="17"/>
      <c r="AL347" s="17"/>
      <c r="AM347" s="17"/>
      <c r="AN347" s="17"/>
      <c r="AO347" s="17"/>
      <c r="AP347" s="17"/>
      <c r="AQ347" s="17"/>
      <c r="AR347" s="17"/>
      <c r="AS347" s="17"/>
      <c r="AT347" s="17"/>
    </row>
    <row r="348" spans="1:46" x14ac:dyDescent="0.25">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17"/>
      <c r="AB348" s="17"/>
      <c r="AC348" s="17"/>
      <c r="AD348" s="17"/>
      <c r="AE348" s="17"/>
      <c r="AF348" s="17"/>
      <c r="AG348" s="17"/>
      <c r="AH348" s="17"/>
      <c r="AI348" s="17"/>
      <c r="AJ348" s="17"/>
      <c r="AK348" s="17"/>
      <c r="AL348" s="17"/>
      <c r="AM348" s="17"/>
      <c r="AN348" s="17"/>
      <c r="AO348" s="17"/>
      <c r="AP348" s="17"/>
      <c r="AQ348" s="17"/>
      <c r="AR348" s="17"/>
      <c r="AS348" s="17"/>
      <c r="AT348" s="17"/>
    </row>
    <row r="349" spans="1:46" x14ac:dyDescent="0.25">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17"/>
      <c r="AO349" s="17"/>
      <c r="AP349" s="17"/>
      <c r="AQ349" s="17"/>
      <c r="AR349" s="17"/>
      <c r="AS349" s="17"/>
      <c r="AT349" s="17"/>
    </row>
    <row r="350" spans="1:46" x14ac:dyDescent="0.25">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17"/>
      <c r="AB350" s="17"/>
      <c r="AC350" s="17"/>
      <c r="AD350" s="17"/>
      <c r="AE350" s="17"/>
      <c r="AF350" s="17"/>
      <c r="AG350" s="17"/>
      <c r="AH350" s="17"/>
      <c r="AI350" s="17"/>
      <c r="AJ350" s="17"/>
      <c r="AK350" s="17"/>
      <c r="AL350" s="17"/>
      <c r="AM350" s="17"/>
      <c r="AN350" s="17"/>
      <c r="AO350" s="17"/>
      <c r="AP350" s="17"/>
      <c r="AQ350" s="17"/>
      <c r="AR350" s="17"/>
      <c r="AS350" s="17"/>
      <c r="AT350" s="17"/>
    </row>
    <row r="351" spans="1:46" x14ac:dyDescent="0.25">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17"/>
      <c r="AB351" s="17"/>
      <c r="AC351" s="17"/>
      <c r="AD351" s="17"/>
      <c r="AE351" s="17"/>
      <c r="AF351" s="17"/>
      <c r="AG351" s="17"/>
      <c r="AH351" s="17"/>
      <c r="AI351" s="17"/>
      <c r="AJ351" s="17"/>
      <c r="AK351" s="17"/>
      <c r="AL351" s="17"/>
      <c r="AM351" s="17"/>
      <c r="AN351" s="17"/>
      <c r="AO351" s="17"/>
      <c r="AP351" s="17"/>
      <c r="AQ351" s="17"/>
      <c r="AR351" s="17"/>
      <c r="AS351" s="17"/>
      <c r="AT351" s="17"/>
    </row>
    <row r="352" spans="1:46" x14ac:dyDescent="0.25">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17"/>
      <c r="AB352" s="17"/>
      <c r="AC352" s="17"/>
      <c r="AD352" s="17"/>
      <c r="AE352" s="17"/>
      <c r="AF352" s="17"/>
      <c r="AG352" s="17"/>
      <c r="AH352" s="17"/>
      <c r="AI352" s="17"/>
      <c r="AJ352" s="17"/>
      <c r="AK352" s="17"/>
      <c r="AL352" s="17"/>
      <c r="AM352" s="17"/>
      <c r="AN352" s="17"/>
      <c r="AO352" s="17"/>
      <c r="AP352" s="17"/>
      <c r="AQ352" s="17"/>
      <c r="AR352" s="17"/>
      <c r="AS352" s="17"/>
      <c r="AT352" s="17"/>
    </row>
    <row r="353" spans="1:46" x14ac:dyDescent="0.25">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7"/>
      <c r="AI353" s="17"/>
      <c r="AJ353" s="17"/>
      <c r="AK353" s="17"/>
      <c r="AL353" s="17"/>
      <c r="AM353" s="17"/>
      <c r="AN353" s="17"/>
      <c r="AO353" s="17"/>
      <c r="AP353" s="17"/>
      <c r="AQ353" s="17"/>
      <c r="AR353" s="17"/>
      <c r="AS353" s="17"/>
      <c r="AT353" s="17"/>
    </row>
    <row r="354" spans="1:46" x14ac:dyDescent="0.25">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17"/>
      <c r="AB354" s="17"/>
      <c r="AC354" s="17"/>
      <c r="AD354" s="17"/>
      <c r="AE354" s="17"/>
      <c r="AF354" s="17"/>
      <c r="AG354" s="17"/>
      <c r="AH354" s="17"/>
      <c r="AI354" s="17"/>
      <c r="AJ354" s="17"/>
      <c r="AK354" s="17"/>
      <c r="AL354" s="17"/>
      <c r="AM354" s="17"/>
      <c r="AN354" s="17"/>
      <c r="AO354" s="17"/>
      <c r="AP354" s="17"/>
      <c r="AQ354" s="17"/>
      <c r="AR354" s="17"/>
      <c r="AS354" s="17"/>
      <c r="AT354" s="17"/>
    </row>
    <row r="355" spans="1:46" x14ac:dyDescent="0.25">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17"/>
      <c r="AB355" s="17"/>
      <c r="AC355" s="17"/>
      <c r="AD355" s="17"/>
      <c r="AE355" s="17"/>
      <c r="AF355" s="17"/>
      <c r="AG355" s="17"/>
      <c r="AH355" s="17"/>
      <c r="AI355" s="17"/>
      <c r="AJ355" s="17"/>
      <c r="AK355" s="17"/>
      <c r="AL355" s="17"/>
      <c r="AM355" s="17"/>
      <c r="AN355" s="17"/>
      <c r="AO355" s="17"/>
      <c r="AP355" s="17"/>
      <c r="AQ355" s="17"/>
      <c r="AR355" s="17"/>
      <c r="AS355" s="17"/>
      <c r="AT355" s="17"/>
    </row>
    <row r="356" spans="1:46" x14ac:dyDescent="0.25">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7"/>
      <c r="AI356" s="17"/>
      <c r="AJ356" s="17"/>
      <c r="AK356" s="17"/>
      <c r="AL356" s="17"/>
      <c r="AM356" s="17"/>
      <c r="AN356" s="17"/>
      <c r="AO356" s="17"/>
      <c r="AP356" s="17"/>
      <c r="AQ356" s="17"/>
      <c r="AR356" s="17"/>
      <c r="AS356" s="17"/>
      <c r="AT356" s="17"/>
    </row>
    <row r="357" spans="1:46" x14ac:dyDescent="0.25">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17"/>
      <c r="AB357" s="17"/>
      <c r="AC357" s="17"/>
      <c r="AD357" s="17"/>
      <c r="AE357" s="17"/>
      <c r="AF357" s="17"/>
      <c r="AG357" s="17"/>
      <c r="AH357" s="17"/>
      <c r="AI357" s="17"/>
      <c r="AJ357" s="17"/>
      <c r="AK357" s="17"/>
      <c r="AL357" s="17"/>
      <c r="AM357" s="17"/>
      <c r="AN357" s="17"/>
      <c r="AO357" s="17"/>
      <c r="AP357" s="17"/>
      <c r="AQ357" s="17"/>
      <c r="AR357" s="17"/>
      <c r="AS357" s="17"/>
      <c r="AT357" s="17"/>
    </row>
    <row r="358" spans="1:46" x14ac:dyDescent="0.25">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17"/>
      <c r="AB358" s="17"/>
      <c r="AC358" s="17"/>
      <c r="AD358" s="17"/>
      <c r="AE358" s="17"/>
      <c r="AF358" s="17"/>
      <c r="AG358" s="17"/>
      <c r="AH358" s="17"/>
      <c r="AI358" s="17"/>
      <c r="AJ358" s="17"/>
      <c r="AK358" s="17"/>
      <c r="AL358" s="17"/>
      <c r="AM358" s="17"/>
      <c r="AN358" s="17"/>
      <c r="AO358" s="17"/>
      <c r="AP358" s="17"/>
      <c r="AQ358" s="17"/>
      <c r="AR358" s="17"/>
      <c r="AS358" s="17"/>
      <c r="AT358" s="17"/>
    </row>
    <row r="359" spans="1:46" x14ac:dyDescent="0.25">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7"/>
      <c r="AI359" s="17"/>
      <c r="AJ359" s="17"/>
      <c r="AK359" s="17"/>
      <c r="AL359" s="17"/>
      <c r="AM359" s="17"/>
      <c r="AN359" s="17"/>
      <c r="AO359" s="17"/>
      <c r="AP359" s="17"/>
      <c r="AQ359" s="17"/>
      <c r="AR359" s="17"/>
      <c r="AS359" s="17"/>
      <c r="AT359" s="17"/>
    </row>
    <row r="360" spans="1:46" x14ac:dyDescent="0.25">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17"/>
      <c r="AB360" s="17"/>
      <c r="AC360" s="17"/>
      <c r="AD360" s="17"/>
      <c r="AE360" s="17"/>
      <c r="AF360" s="17"/>
      <c r="AG360" s="17"/>
      <c r="AH360" s="17"/>
      <c r="AI360" s="17"/>
      <c r="AJ360" s="17"/>
      <c r="AK360" s="17"/>
      <c r="AL360" s="17"/>
      <c r="AM360" s="17"/>
      <c r="AN360" s="17"/>
      <c r="AO360" s="17"/>
      <c r="AP360" s="17"/>
      <c r="AQ360" s="17"/>
      <c r="AR360" s="17"/>
      <c r="AS360" s="17"/>
      <c r="AT360" s="17"/>
    </row>
    <row r="361" spans="1:46" x14ac:dyDescent="0.25">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17"/>
      <c r="AB361" s="17"/>
      <c r="AC361" s="17"/>
      <c r="AD361" s="17"/>
      <c r="AE361" s="17"/>
      <c r="AF361" s="17"/>
      <c r="AG361" s="17"/>
      <c r="AH361" s="17"/>
      <c r="AI361" s="17"/>
      <c r="AJ361" s="17"/>
      <c r="AK361" s="17"/>
      <c r="AL361" s="17"/>
      <c r="AM361" s="17"/>
      <c r="AN361" s="17"/>
      <c r="AO361" s="17"/>
      <c r="AP361" s="17"/>
      <c r="AQ361" s="17"/>
      <c r="AR361" s="17"/>
      <c r="AS361" s="17"/>
      <c r="AT361" s="17"/>
    </row>
    <row r="362" spans="1:46" x14ac:dyDescent="0.25">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17"/>
      <c r="AB362" s="17"/>
      <c r="AC362" s="17"/>
      <c r="AD362" s="17"/>
      <c r="AE362" s="17"/>
      <c r="AF362" s="17"/>
      <c r="AG362" s="17"/>
      <c r="AH362" s="17"/>
      <c r="AI362" s="17"/>
      <c r="AJ362" s="17"/>
      <c r="AK362" s="17"/>
      <c r="AL362" s="17"/>
      <c r="AM362" s="17"/>
      <c r="AN362" s="17"/>
      <c r="AO362" s="17"/>
      <c r="AP362" s="17"/>
      <c r="AQ362" s="17"/>
      <c r="AR362" s="17"/>
      <c r="AS362" s="17"/>
      <c r="AT362" s="17"/>
    </row>
    <row r="363" spans="1:46" x14ac:dyDescent="0.25">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17"/>
      <c r="AB363" s="17"/>
      <c r="AC363" s="17"/>
      <c r="AD363" s="17"/>
      <c r="AE363" s="17"/>
      <c r="AF363" s="17"/>
      <c r="AG363" s="17"/>
      <c r="AH363" s="17"/>
      <c r="AI363" s="17"/>
      <c r="AJ363" s="17"/>
      <c r="AK363" s="17"/>
      <c r="AL363" s="17"/>
      <c r="AM363" s="17"/>
      <c r="AN363" s="17"/>
      <c r="AO363" s="17"/>
      <c r="AP363" s="17"/>
      <c r="AQ363" s="17"/>
      <c r="AR363" s="17"/>
      <c r="AS363" s="17"/>
      <c r="AT363" s="17"/>
    </row>
    <row r="364" spans="1:46" x14ac:dyDescent="0.25">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17"/>
      <c r="AB364" s="17"/>
      <c r="AC364" s="17"/>
      <c r="AD364" s="17"/>
      <c r="AE364" s="17"/>
      <c r="AF364" s="17"/>
      <c r="AG364" s="17"/>
      <c r="AH364" s="17"/>
      <c r="AI364" s="17"/>
      <c r="AJ364" s="17"/>
      <c r="AK364" s="17"/>
      <c r="AL364" s="17"/>
      <c r="AM364" s="17"/>
      <c r="AN364" s="17"/>
      <c r="AO364" s="17"/>
      <c r="AP364" s="17"/>
      <c r="AQ364" s="17"/>
      <c r="AR364" s="17"/>
      <c r="AS364" s="17"/>
      <c r="AT364" s="17"/>
    </row>
    <row r="365" spans="1:46" x14ac:dyDescent="0.25">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7"/>
      <c r="AI365" s="17"/>
      <c r="AJ365" s="17"/>
      <c r="AK365" s="17"/>
      <c r="AL365" s="17"/>
      <c r="AM365" s="17"/>
      <c r="AN365" s="17"/>
      <c r="AO365" s="17"/>
      <c r="AP365" s="17"/>
      <c r="AQ365" s="17"/>
      <c r="AR365" s="17"/>
      <c r="AS365" s="17"/>
      <c r="AT365" s="17"/>
    </row>
    <row r="366" spans="1:46" x14ac:dyDescent="0.25">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17"/>
      <c r="AB366" s="17"/>
      <c r="AC366" s="17"/>
      <c r="AD366" s="17"/>
      <c r="AE366" s="17"/>
      <c r="AF366" s="17"/>
      <c r="AG366" s="17"/>
      <c r="AH366" s="17"/>
      <c r="AI366" s="17"/>
      <c r="AJ366" s="17"/>
      <c r="AK366" s="17"/>
      <c r="AL366" s="17"/>
      <c r="AM366" s="17"/>
      <c r="AN366" s="17"/>
      <c r="AO366" s="17"/>
      <c r="AP366" s="17"/>
      <c r="AQ366" s="17"/>
      <c r="AR366" s="17"/>
      <c r="AS366" s="17"/>
      <c r="AT366" s="17"/>
    </row>
    <row r="367" spans="1:46" x14ac:dyDescent="0.25">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17"/>
      <c r="AB367" s="17"/>
      <c r="AC367" s="17"/>
      <c r="AD367" s="17"/>
      <c r="AE367" s="17"/>
      <c r="AF367" s="17"/>
      <c r="AG367" s="17"/>
      <c r="AH367" s="17"/>
      <c r="AI367" s="17"/>
      <c r="AJ367" s="17"/>
      <c r="AK367" s="17"/>
      <c r="AL367" s="17"/>
      <c r="AM367" s="17"/>
      <c r="AN367" s="17"/>
      <c r="AO367" s="17"/>
      <c r="AP367" s="17"/>
      <c r="AQ367" s="17"/>
      <c r="AR367" s="17"/>
      <c r="AS367" s="17"/>
      <c r="AT367" s="17"/>
    </row>
    <row r="368" spans="1:46" x14ac:dyDescent="0.25">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17"/>
      <c r="AB368" s="17"/>
      <c r="AC368" s="17"/>
      <c r="AD368" s="17"/>
      <c r="AE368" s="17"/>
      <c r="AF368" s="17"/>
      <c r="AG368" s="17"/>
      <c r="AH368" s="17"/>
      <c r="AI368" s="17"/>
      <c r="AJ368" s="17"/>
      <c r="AK368" s="17"/>
      <c r="AL368" s="17"/>
      <c r="AM368" s="17"/>
      <c r="AN368" s="17"/>
      <c r="AO368" s="17"/>
      <c r="AP368" s="17"/>
      <c r="AQ368" s="17"/>
      <c r="AR368" s="17"/>
      <c r="AS368" s="17"/>
      <c r="AT368" s="17"/>
    </row>
    <row r="369" spans="1:46" x14ac:dyDescent="0.25">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17"/>
      <c r="AB369" s="17"/>
      <c r="AC369" s="17"/>
      <c r="AD369" s="17"/>
      <c r="AE369" s="17"/>
      <c r="AF369" s="17"/>
      <c r="AG369" s="17"/>
      <c r="AH369" s="17"/>
      <c r="AI369" s="17"/>
      <c r="AJ369" s="17"/>
      <c r="AK369" s="17"/>
      <c r="AL369" s="17"/>
      <c r="AM369" s="17"/>
      <c r="AN369" s="17"/>
      <c r="AO369" s="17"/>
      <c r="AP369" s="17"/>
      <c r="AQ369" s="17"/>
      <c r="AR369" s="17"/>
      <c r="AS369" s="17"/>
      <c r="AT369" s="17"/>
    </row>
    <row r="370" spans="1:46" x14ac:dyDescent="0.25">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17"/>
      <c r="AB370" s="17"/>
      <c r="AC370" s="17"/>
      <c r="AD370" s="17"/>
      <c r="AE370" s="17"/>
      <c r="AF370" s="17"/>
      <c r="AG370" s="17"/>
      <c r="AH370" s="17"/>
      <c r="AI370" s="17"/>
      <c r="AJ370" s="17"/>
      <c r="AK370" s="17"/>
      <c r="AL370" s="17"/>
      <c r="AM370" s="17"/>
      <c r="AN370" s="17"/>
      <c r="AO370" s="17"/>
      <c r="AP370" s="17"/>
      <c r="AQ370" s="17"/>
      <c r="AR370" s="17"/>
      <c r="AS370" s="17"/>
      <c r="AT370" s="17"/>
    </row>
    <row r="371" spans="1:46" x14ac:dyDescent="0.25">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7"/>
      <c r="AI371" s="17"/>
      <c r="AJ371" s="17"/>
      <c r="AK371" s="17"/>
      <c r="AL371" s="17"/>
      <c r="AM371" s="17"/>
      <c r="AN371" s="17"/>
      <c r="AO371" s="17"/>
      <c r="AP371" s="17"/>
      <c r="AQ371" s="17"/>
      <c r="AR371" s="17"/>
      <c r="AS371" s="17"/>
      <c r="AT371" s="17"/>
    </row>
    <row r="372" spans="1:46" x14ac:dyDescent="0.25">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17"/>
      <c r="AB372" s="17"/>
      <c r="AC372" s="17"/>
      <c r="AD372" s="17"/>
      <c r="AE372" s="17"/>
      <c r="AF372" s="17"/>
      <c r="AG372" s="17"/>
      <c r="AH372" s="17"/>
      <c r="AI372" s="17"/>
      <c r="AJ372" s="17"/>
      <c r="AK372" s="17"/>
      <c r="AL372" s="17"/>
      <c r="AM372" s="17"/>
      <c r="AN372" s="17"/>
      <c r="AO372" s="17"/>
      <c r="AP372" s="17"/>
      <c r="AQ372" s="17"/>
      <c r="AR372" s="17"/>
      <c r="AS372" s="17"/>
      <c r="AT372" s="17"/>
    </row>
    <row r="373" spans="1:46" x14ac:dyDescent="0.25">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17"/>
      <c r="AB373" s="17"/>
      <c r="AC373" s="17"/>
      <c r="AD373" s="17"/>
      <c r="AE373" s="17"/>
      <c r="AF373" s="17"/>
      <c r="AG373" s="17"/>
      <c r="AH373" s="17"/>
      <c r="AI373" s="17"/>
      <c r="AJ373" s="17"/>
      <c r="AK373" s="17"/>
      <c r="AL373" s="17"/>
      <c r="AM373" s="17"/>
      <c r="AN373" s="17"/>
      <c r="AO373" s="17"/>
      <c r="AP373" s="17"/>
      <c r="AQ373" s="17"/>
      <c r="AR373" s="17"/>
      <c r="AS373" s="17"/>
      <c r="AT373" s="17"/>
    </row>
    <row r="374" spans="1:46" x14ac:dyDescent="0.25">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17"/>
      <c r="AB374" s="17"/>
      <c r="AC374" s="17"/>
      <c r="AD374" s="17"/>
      <c r="AE374" s="17"/>
      <c r="AF374" s="17"/>
      <c r="AG374" s="17"/>
      <c r="AH374" s="17"/>
      <c r="AI374" s="17"/>
      <c r="AJ374" s="17"/>
      <c r="AK374" s="17"/>
      <c r="AL374" s="17"/>
      <c r="AM374" s="17"/>
      <c r="AN374" s="17"/>
      <c r="AO374" s="17"/>
      <c r="AP374" s="17"/>
      <c r="AQ374" s="17"/>
      <c r="AR374" s="17"/>
      <c r="AS374" s="17"/>
      <c r="AT374" s="17"/>
    </row>
    <row r="375" spans="1:46" x14ac:dyDescent="0.25">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17"/>
      <c r="AB375" s="17"/>
      <c r="AC375" s="17"/>
      <c r="AD375" s="17"/>
      <c r="AE375" s="17"/>
      <c r="AF375" s="17"/>
      <c r="AG375" s="17"/>
      <c r="AH375" s="17"/>
      <c r="AI375" s="17"/>
      <c r="AJ375" s="17"/>
      <c r="AK375" s="17"/>
      <c r="AL375" s="17"/>
      <c r="AM375" s="17"/>
      <c r="AN375" s="17"/>
      <c r="AO375" s="17"/>
      <c r="AP375" s="17"/>
      <c r="AQ375" s="17"/>
      <c r="AR375" s="17"/>
      <c r="AS375" s="17"/>
      <c r="AT375" s="17"/>
    </row>
    <row r="376" spans="1:46" x14ac:dyDescent="0.25">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17"/>
      <c r="AB376" s="17"/>
      <c r="AC376" s="17"/>
      <c r="AD376" s="17"/>
      <c r="AE376" s="17"/>
      <c r="AF376" s="17"/>
      <c r="AG376" s="17"/>
      <c r="AH376" s="17"/>
      <c r="AI376" s="17"/>
      <c r="AJ376" s="17"/>
      <c r="AK376" s="17"/>
      <c r="AL376" s="17"/>
      <c r="AM376" s="17"/>
      <c r="AN376" s="17"/>
      <c r="AO376" s="17"/>
      <c r="AP376" s="17"/>
      <c r="AQ376" s="17"/>
      <c r="AR376" s="17"/>
      <c r="AS376" s="17"/>
      <c r="AT376" s="17"/>
    </row>
    <row r="377" spans="1:46" x14ac:dyDescent="0.25">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7"/>
      <c r="AI377" s="17"/>
      <c r="AJ377" s="17"/>
      <c r="AK377" s="17"/>
      <c r="AL377" s="17"/>
      <c r="AM377" s="17"/>
      <c r="AN377" s="17"/>
      <c r="AO377" s="17"/>
      <c r="AP377" s="17"/>
      <c r="AQ377" s="17"/>
      <c r="AR377" s="17"/>
      <c r="AS377" s="17"/>
      <c r="AT377" s="17"/>
    </row>
    <row r="378" spans="1:46" x14ac:dyDescent="0.25">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17"/>
      <c r="AB378" s="17"/>
      <c r="AC378" s="17"/>
      <c r="AD378" s="17"/>
      <c r="AE378" s="17"/>
      <c r="AF378" s="17"/>
      <c r="AG378" s="17"/>
      <c r="AH378" s="17"/>
      <c r="AI378" s="17"/>
      <c r="AJ378" s="17"/>
      <c r="AK378" s="17"/>
      <c r="AL378" s="17"/>
      <c r="AM378" s="17"/>
      <c r="AN378" s="17"/>
      <c r="AO378" s="17"/>
      <c r="AP378" s="17"/>
      <c r="AQ378" s="17"/>
      <c r="AR378" s="17"/>
      <c r="AS378" s="17"/>
      <c r="AT378" s="17"/>
    </row>
    <row r="379" spans="1:46" x14ac:dyDescent="0.25">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17"/>
      <c r="AB379" s="17"/>
      <c r="AC379" s="17"/>
      <c r="AD379" s="17"/>
      <c r="AE379" s="17"/>
      <c r="AF379" s="17"/>
      <c r="AG379" s="17"/>
      <c r="AH379" s="17"/>
      <c r="AI379" s="17"/>
      <c r="AJ379" s="17"/>
      <c r="AK379" s="17"/>
      <c r="AL379" s="17"/>
      <c r="AM379" s="17"/>
      <c r="AN379" s="17"/>
      <c r="AO379" s="17"/>
      <c r="AP379" s="17"/>
      <c r="AQ379" s="17"/>
      <c r="AR379" s="17"/>
      <c r="AS379" s="17"/>
      <c r="AT379" s="17"/>
    </row>
    <row r="380" spans="1:46" x14ac:dyDescent="0.25">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17"/>
      <c r="AB380" s="17"/>
      <c r="AC380" s="17"/>
      <c r="AD380" s="17"/>
      <c r="AE380" s="17"/>
      <c r="AF380" s="17"/>
      <c r="AG380" s="17"/>
      <c r="AH380" s="17"/>
      <c r="AI380" s="17"/>
      <c r="AJ380" s="17"/>
      <c r="AK380" s="17"/>
      <c r="AL380" s="17"/>
      <c r="AM380" s="17"/>
      <c r="AN380" s="17"/>
      <c r="AO380" s="17"/>
      <c r="AP380" s="17"/>
      <c r="AQ380" s="17"/>
      <c r="AR380" s="17"/>
      <c r="AS380" s="17"/>
      <c r="AT380" s="17"/>
    </row>
    <row r="381" spans="1:46" x14ac:dyDescent="0.25">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17"/>
      <c r="AB381" s="17"/>
      <c r="AC381" s="17"/>
      <c r="AD381" s="17"/>
      <c r="AE381" s="17"/>
      <c r="AF381" s="17"/>
      <c r="AG381" s="17"/>
      <c r="AH381" s="17"/>
      <c r="AI381" s="17"/>
      <c r="AJ381" s="17"/>
      <c r="AK381" s="17"/>
      <c r="AL381" s="17"/>
      <c r="AM381" s="17"/>
      <c r="AN381" s="17"/>
      <c r="AO381" s="17"/>
      <c r="AP381" s="17"/>
      <c r="AQ381" s="17"/>
      <c r="AR381" s="17"/>
      <c r="AS381" s="17"/>
      <c r="AT381" s="17"/>
    </row>
    <row r="382" spans="1:46" x14ac:dyDescent="0.25">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17"/>
      <c r="AB382" s="17"/>
      <c r="AC382" s="17"/>
      <c r="AD382" s="17"/>
      <c r="AE382" s="17"/>
      <c r="AF382" s="17"/>
      <c r="AG382" s="17"/>
      <c r="AH382" s="17"/>
      <c r="AI382" s="17"/>
      <c r="AJ382" s="17"/>
      <c r="AK382" s="17"/>
      <c r="AL382" s="17"/>
      <c r="AM382" s="17"/>
      <c r="AN382" s="17"/>
      <c r="AO382" s="17"/>
      <c r="AP382" s="17"/>
      <c r="AQ382" s="17"/>
      <c r="AR382" s="17"/>
      <c r="AS382" s="17"/>
      <c r="AT382" s="17"/>
    </row>
    <row r="383" spans="1:46" x14ac:dyDescent="0.25">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7"/>
      <c r="AI383" s="17"/>
      <c r="AJ383" s="17"/>
      <c r="AK383" s="17"/>
      <c r="AL383" s="17"/>
      <c r="AM383" s="17"/>
      <c r="AN383" s="17"/>
      <c r="AO383" s="17"/>
      <c r="AP383" s="17"/>
      <c r="AQ383" s="17"/>
      <c r="AR383" s="17"/>
      <c r="AS383" s="17"/>
      <c r="AT383" s="17"/>
    </row>
    <row r="384" spans="1:46" x14ac:dyDescent="0.25">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17"/>
      <c r="AB384" s="17"/>
      <c r="AC384" s="17"/>
      <c r="AD384" s="17"/>
      <c r="AE384" s="17"/>
      <c r="AF384" s="17"/>
      <c r="AG384" s="17"/>
      <c r="AH384" s="17"/>
      <c r="AI384" s="17"/>
      <c r="AJ384" s="17"/>
      <c r="AK384" s="17"/>
      <c r="AL384" s="17"/>
      <c r="AM384" s="17"/>
      <c r="AN384" s="17"/>
      <c r="AO384" s="17"/>
      <c r="AP384" s="17"/>
      <c r="AQ384" s="17"/>
      <c r="AR384" s="17"/>
      <c r="AS384" s="17"/>
      <c r="AT384" s="17"/>
    </row>
    <row r="385" spans="1:46" x14ac:dyDescent="0.25">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17"/>
      <c r="AB385" s="17"/>
      <c r="AC385" s="17"/>
      <c r="AD385" s="17"/>
      <c r="AE385" s="17"/>
      <c r="AF385" s="17"/>
      <c r="AG385" s="17"/>
      <c r="AH385" s="17"/>
      <c r="AI385" s="17"/>
      <c r="AJ385" s="17"/>
      <c r="AK385" s="17"/>
      <c r="AL385" s="17"/>
      <c r="AM385" s="17"/>
      <c r="AN385" s="17"/>
      <c r="AO385" s="17"/>
      <c r="AP385" s="17"/>
      <c r="AQ385" s="17"/>
      <c r="AR385" s="17"/>
      <c r="AS385" s="17"/>
      <c r="AT385" s="17"/>
    </row>
    <row r="386" spans="1:46" x14ac:dyDescent="0.25">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17"/>
      <c r="AB386" s="17"/>
      <c r="AC386" s="17"/>
      <c r="AD386" s="17"/>
      <c r="AE386" s="17"/>
      <c r="AF386" s="17"/>
      <c r="AG386" s="17"/>
      <c r="AH386" s="17"/>
      <c r="AI386" s="17"/>
      <c r="AJ386" s="17"/>
      <c r="AK386" s="17"/>
      <c r="AL386" s="17"/>
      <c r="AM386" s="17"/>
      <c r="AN386" s="17"/>
      <c r="AO386" s="17"/>
      <c r="AP386" s="17"/>
      <c r="AQ386" s="17"/>
      <c r="AR386" s="17"/>
      <c r="AS386" s="17"/>
      <c r="AT386" s="17"/>
    </row>
    <row r="387" spans="1:46" x14ac:dyDescent="0.25">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17"/>
      <c r="AB387" s="17"/>
      <c r="AC387" s="17"/>
      <c r="AD387" s="17"/>
      <c r="AE387" s="17"/>
      <c r="AF387" s="17"/>
      <c r="AG387" s="17"/>
      <c r="AH387" s="17"/>
      <c r="AI387" s="17"/>
      <c r="AJ387" s="17"/>
      <c r="AK387" s="17"/>
      <c r="AL387" s="17"/>
      <c r="AM387" s="17"/>
      <c r="AN387" s="17"/>
      <c r="AO387" s="17"/>
      <c r="AP387" s="17"/>
      <c r="AQ387" s="17"/>
      <c r="AR387" s="17"/>
      <c r="AS387" s="17"/>
      <c r="AT387" s="17"/>
    </row>
    <row r="388" spans="1:46" x14ac:dyDescent="0.25">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17"/>
      <c r="AB388" s="17"/>
      <c r="AC388" s="17"/>
      <c r="AD388" s="17"/>
      <c r="AE388" s="17"/>
      <c r="AF388" s="17"/>
      <c r="AG388" s="17"/>
      <c r="AH388" s="17"/>
      <c r="AI388" s="17"/>
      <c r="AJ388" s="17"/>
      <c r="AK388" s="17"/>
      <c r="AL388" s="17"/>
      <c r="AM388" s="17"/>
      <c r="AN388" s="17"/>
      <c r="AO388" s="17"/>
      <c r="AP388" s="17"/>
      <c r="AQ388" s="17"/>
      <c r="AR388" s="17"/>
      <c r="AS388" s="17"/>
      <c r="AT388" s="17"/>
    </row>
    <row r="389" spans="1:46" x14ac:dyDescent="0.25">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7"/>
      <c r="AI389" s="17"/>
      <c r="AJ389" s="17"/>
      <c r="AK389" s="17"/>
      <c r="AL389" s="17"/>
      <c r="AM389" s="17"/>
      <c r="AN389" s="17"/>
      <c r="AO389" s="17"/>
      <c r="AP389" s="17"/>
      <c r="AQ389" s="17"/>
      <c r="AR389" s="17"/>
      <c r="AS389" s="17"/>
      <c r="AT389" s="17"/>
    </row>
    <row r="390" spans="1:46" x14ac:dyDescent="0.25">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17"/>
      <c r="AB390" s="17"/>
      <c r="AC390" s="17"/>
      <c r="AD390" s="17"/>
      <c r="AE390" s="17"/>
      <c r="AF390" s="17"/>
      <c r="AG390" s="17"/>
      <c r="AH390" s="17"/>
      <c r="AI390" s="17"/>
      <c r="AJ390" s="17"/>
      <c r="AK390" s="17"/>
      <c r="AL390" s="17"/>
      <c r="AM390" s="17"/>
      <c r="AN390" s="17"/>
      <c r="AO390" s="17"/>
      <c r="AP390" s="17"/>
      <c r="AQ390" s="17"/>
      <c r="AR390" s="17"/>
      <c r="AS390" s="17"/>
      <c r="AT390" s="17"/>
    </row>
    <row r="391" spans="1:46" x14ac:dyDescent="0.25">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17"/>
      <c r="AB391" s="17"/>
      <c r="AC391" s="17"/>
      <c r="AD391" s="17"/>
      <c r="AE391" s="17"/>
      <c r="AF391" s="17"/>
      <c r="AG391" s="17"/>
      <c r="AH391" s="17"/>
      <c r="AI391" s="17"/>
      <c r="AJ391" s="17"/>
      <c r="AK391" s="17"/>
      <c r="AL391" s="17"/>
      <c r="AM391" s="17"/>
      <c r="AN391" s="17"/>
      <c r="AO391" s="17"/>
      <c r="AP391" s="17"/>
      <c r="AQ391" s="17"/>
      <c r="AR391" s="17"/>
      <c r="AS391" s="17"/>
      <c r="AT391" s="17"/>
    </row>
    <row r="392" spans="1:46" x14ac:dyDescent="0.25">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17"/>
      <c r="AB392" s="17"/>
      <c r="AC392" s="17"/>
      <c r="AD392" s="17"/>
      <c r="AE392" s="17"/>
      <c r="AF392" s="17"/>
      <c r="AG392" s="17"/>
      <c r="AH392" s="17"/>
      <c r="AI392" s="17"/>
      <c r="AJ392" s="17"/>
      <c r="AK392" s="17"/>
      <c r="AL392" s="17"/>
      <c r="AM392" s="17"/>
      <c r="AN392" s="17"/>
      <c r="AO392" s="17"/>
      <c r="AP392" s="17"/>
      <c r="AQ392" s="17"/>
      <c r="AR392" s="17"/>
      <c r="AS392" s="17"/>
      <c r="AT392" s="17"/>
    </row>
    <row r="393" spans="1:46" x14ac:dyDescent="0.25">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17"/>
      <c r="AB393" s="17"/>
      <c r="AC393" s="17"/>
      <c r="AD393" s="17"/>
      <c r="AE393" s="17"/>
      <c r="AF393" s="17"/>
      <c r="AG393" s="17"/>
      <c r="AH393" s="17"/>
      <c r="AI393" s="17"/>
      <c r="AJ393" s="17"/>
      <c r="AK393" s="17"/>
      <c r="AL393" s="17"/>
      <c r="AM393" s="17"/>
      <c r="AN393" s="17"/>
      <c r="AO393" s="17"/>
      <c r="AP393" s="17"/>
      <c r="AQ393" s="17"/>
      <c r="AR393" s="17"/>
      <c r="AS393" s="17"/>
      <c r="AT393" s="17"/>
    </row>
    <row r="394" spans="1:46" x14ac:dyDescent="0.25">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17"/>
      <c r="AB394" s="17"/>
      <c r="AC394" s="17"/>
      <c r="AD394" s="17"/>
      <c r="AE394" s="17"/>
      <c r="AF394" s="17"/>
      <c r="AG394" s="17"/>
      <c r="AH394" s="17"/>
      <c r="AI394" s="17"/>
      <c r="AJ394" s="17"/>
      <c r="AK394" s="17"/>
      <c r="AL394" s="17"/>
      <c r="AM394" s="17"/>
      <c r="AN394" s="17"/>
      <c r="AO394" s="17"/>
      <c r="AP394" s="17"/>
      <c r="AQ394" s="17"/>
      <c r="AR394" s="17"/>
      <c r="AS394" s="17"/>
      <c r="AT394" s="17"/>
    </row>
    <row r="395" spans="1:46" x14ac:dyDescent="0.25">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7"/>
      <c r="AI395" s="17"/>
      <c r="AJ395" s="17"/>
      <c r="AK395" s="17"/>
      <c r="AL395" s="17"/>
      <c r="AM395" s="17"/>
      <c r="AN395" s="17"/>
      <c r="AO395" s="17"/>
      <c r="AP395" s="17"/>
      <c r="AQ395" s="17"/>
      <c r="AR395" s="17"/>
      <c r="AS395" s="17"/>
      <c r="AT395" s="17"/>
    </row>
    <row r="396" spans="1:46" x14ac:dyDescent="0.25">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17"/>
      <c r="AB396" s="17"/>
      <c r="AC396" s="17"/>
      <c r="AD396" s="17"/>
      <c r="AE396" s="17"/>
      <c r="AF396" s="17"/>
      <c r="AG396" s="17"/>
      <c r="AH396" s="17"/>
      <c r="AI396" s="17"/>
      <c r="AJ396" s="17"/>
      <c r="AK396" s="17"/>
      <c r="AL396" s="17"/>
      <c r="AM396" s="17"/>
      <c r="AN396" s="17"/>
      <c r="AO396" s="17"/>
      <c r="AP396" s="17"/>
      <c r="AQ396" s="17"/>
      <c r="AR396" s="17"/>
      <c r="AS396" s="17"/>
      <c r="AT396" s="17"/>
    </row>
    <row r="397" spans="1:46" x14ac:dyDescent="0.25">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17"/>
      <c r="AB397" s="17"/>
      <c r="AC397" s="17"/>
      <c r="AD397" s="17"/>
      <c r="AE397" s="17"/>
      <c r="AF397" s="17"/>
      <c r="AG397" s="17"/>
      <c r="AH397" s="17"/>
      <c r="AI397" s="17"/>
      <c r="AJ397" s="17"/>
      <c r="AK397" s="17"/>
      <c r="AL397" s="17"/>
      <c r="AM397" s="17"/>
      <c r="AN397" s="17"/>
      <c r="AO397" s="17"/>
      <c r="AP397" s="17"/>
      <c r="AQ397" s="17"/>
      <c r="AR397" s="17"/>
      <c r="AS397" s="17"/>
      <c r="AT397" s="17"/>
    </row>
    <row r="398" spans="1:46" x14ac:dyDescent="0.25">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17"/>
      <c r="AB398" s="17"/>
      <c r="AC398" s="17"/>
      <c r="AD398" s="17"/>
      <c r="AE398" s="17"/>
      <c r="AF398" s="17"/>
      <c r="AG398" s="17"/>
      <c r="AH398" s="17"/>
      <c r="AI398" s="17"/>
      <c r="AJ398" s="17"/>
      <c r="AK398" s="17"/>
      <c r="AL398" s="17"/>
      <c r="AM398" s="17"/>
      <c r="AN398" s="17"/>
      <c r="AO398" s="17"/>
      <c r="AP398" s="17"/>
      <c r="AQ398" s="17"/>
      <c r="AR398" s="17"/>
      <c r="AS398" s="17"/>
      <c r="AT398" s="17"/>
    </row>
    <row r="399" spans="1:46" x14ac:dyDescent="0.25">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17"/>
      <c r="AB399" s="17"/>
      <c r="AC399" s="17"/>
      <c r="AD399" s="17"/>
      <c r="AE399" s="17"/>
      <c r="AF399" s="17"/>
      <c r="AG399" s="17"/>
      <c r="AH399" s="17"/>
      <c r="AI399" s="17"/>
      <c r="AJ399" s="17"/>
      <c r="AK399" s="17"/>
      <c r="AL399" s="17"/>
      <c r="AM399" s="17"/>
      <c r="AN399" s="17"/>
      <c r="AO399" s="17"/>
      <c r="AP399" s="17"/>
      <c r="AQ399" s="17"/>
      <c r="AR399" s="17"/>
      <c r="AS399" s="17"/>
      <c r="AT399" s="17"/>
    </row>
    <row r="400" spans="1:46" x14ac:dyDescent="0.25">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17"/>
      <c r="AB400" s="17"/>
      <c r="AC400" s="17"/>
      <c r="AD400" s="17"/>
      <c r="AE400" s="17"/>
      <c r="AF400" s="17"/>
      <c r="AG400" s="17"/>
      <c r="AH400" s="17"/>
      <c r="AI400" s="17"/>
      <c r="AJ400" s="17"/>
      <c r="AK400" s="17"/>
      <c r="AL400" s="17"/>
      <c r="AM400" s="17"/>
      <c r="AN400" s="17"/>
      <c r="AO400" s="17"/>
      <c r="AP400" s="17"/>
      <c r="AQ400" s="17"/>
      <c r="AR400" s="17"/>
      <c r="AS400" s="17"/>
      <c r="AT400" s="17"/>
    </row>
    <row r="401" spans="1:46" x14ac:dyDescent="0.25">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7"/>
      <c r="AI401" s="17"/>
      <c r="AJ401" s="17"/>
      <c r="AK401" s="17"/>
      <c r="AL401" s="17"/>
      <c r="AM401" s="17"/>
      <c r="AN401" s="17"/>
      <c r="AO401" s="17"/>
      <c r="AP401" s="17"/>
      <c r="AQ401" s="17"/>
      <c r="AR401" s="17"/>
      <c r="AS401" s="17"/>
      <c r="AT401" s="17"/>
    </row>
    <row r="402" spans="1:46" x14ac:dyDescent="0.25">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17"/>
      <c r="AB402" s="17"/>
      <c r="AC402" s="17"/>
      <c r="AD402" s="17"/>
      <c r="AE402" s="17"/>
      <c r="AF402" s="17"/>
      <c r="AG402" s="17"/>
      <c r="AH402" s="17"/>
      <c r="AI402" s="17"/>
      <c r="AJ402" s="17"/>
      <c r="AK402" s="17"/>
      <c r="AL402" s="17"/>
      <c r="AM402" s="17"/>
      <c r="AN402" s="17"/>
      <c r="AO402" s="17"/>
      <c r="AP402" s="17"/>
      <c r="AQ402" s="17"/>
      <c r="AR402" s="17"/>
      <c r="AS402" s="17"/>
      <c r="AT402" s="17"/>
    </row>
    <row r="403" spans="1:46" x14ac:dyDescent="0.25">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17"/>
      <c r="AK403" s="17"/>
      <c r="AL403" s="17"/>
      <c r="AM403" s="17"/>
      <c r="AN403" s="17"/>
      <c r="AO403" s="17"/>
      <c r="AP403" s="17"/>
      <c r="AQ403" s="17"/>
      <c r="AR403" s="17"/>
      <c r="AS403" s="17"/>
      <c r="AT403" s="17"/>
    </row>
    <row r="404" spans="1:46" x14ac:dyDescent="0.25">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17"/>
      <c r="AB404" s="17"/>
      <c r="AC404" s="17"/>
      <c r="AD404" s="17"/>
      <c r="AE404" s="17"/>
      <c r="AF404" s="17"/>
      <c r="AG404" s="17"/>
      <c r="AH404" s="17"/>
      <c r="AI404" s="17"/>
      <c r="AJ404" s="17"/>
      <c r="AK404" s="17"/>
      <c r="AL404" s="17"/>
      <c r="AM404" s="17"/>
      <c r="AN404" s="17"/>
      <c r="AO404" s="17"/>
      <c r="AP404" s="17"/>
      <c r="AQ404" s="17"/>
      <c r="AR404" s="17"/>
      <c r="AS404" s="17"/>
      <c r="AT404" s="17"/>
    </row>
    <row r="405" spans="1:46" x14ac:dyDescent="0.25">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17"/>
      <c r="AB405" s="17"/>
      <c r="AC405" s="17"/>
      <c r="AD405" s="17"/>
      <c r="AE405" s="17"/>
      <c r="AF405" s="17"/>
      <c r="AG405" s="17"/>
      <c r="AH405" s="17"/>
      <c r="AI405" s="17"/>
      <c r="AJ405" s="17"/>
      <c r="AK405" s="17"/>
      <c r="AL405" s="17"/>
      <c r="AM405" s="17"/>
      <c r="AN405" s="17"/>
      <c r="AO405" s="17"/>
      <c r="AP405" s="17"/>
      <c r="AQ405" s="17"/>
      <c r="AR405" s="17"/>
      <c r="AS405" s="17"/>
      <c r="AT405" s="17"/>
    </row>
    <row r="406" spans="1:46" x14ac:dyDescent="0.25">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17"/>
      <c r="AB406" s="17"/>
      <c r="AC406" s="17"/>
      <c r="AD406" s="17"/>
      <c r="AE406" s="17"/>
      <c r="AF406" s="17"/>
      <c r="AG406" s="17"/>
      <c r="AH406" s="17"/>
      <c r="AI406" s="17"/>
      <c r="AJ406" s="17"/>
      <c r="AK406" s="17"/>
      <c r="AL406" s="17"/>
      <c r="AM406" s="17"/>
      <c r="AN406" s="17"/>
      <c r="AO406" s="17"/>
      <c r="AP406" s="17"/>
      <c r="AQ406" s="17"/>
      <c r="AR406" s="17"/>
      <c r="AS406" s="17"/>
      <c r="AT406" s="17"/>
    </row>
    <row r="407" spans="1:46" x14ac:dyDescent="0.25">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7"/>
      <c r="AI407" s="17"/>
      <c r="AJ407" s="17"/>
      <c r="AK407" s="17"/>
      <c r="AL407" s="17"/>
      <c r="AM407" s="17"/>
      <c r="AN407" s="17"/>
      <c r="AO407" s="17"/>
      <c r="AP407" s="17"/>
      <c r="AQ407" s="17"/>
      <c r="AR407" s="17"/>
      <c r="AS407" s="17"/>
      <c r="AT407" s="17"/>
    </row>
    <row r="408" spans="1:46" x14ac:dyDescent="0.25">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17"/>
      <c r="AB408" s="17"/>
      <c r="AC408" s="17"/>
      <c r="AD408" s="17"/>
      <c r="AE408" s="17"/>
      <c r="AF408" s="17"/>
      <c r="AG408" s="17"/>
      <c r="AH408" s="17"/>
      <c r="AI408" s="17"/>
      <c r="AJ408" s="17"/>
      <c r="AK408" s="17"/>
      <c r="AL408" s="17"/>
      <c r="AM408" s="17"/>
      <c r="AN408" s="17"/>
      <c r="AO408" s="17"/>
      <c r="AP408" s="17"/>
      <c r="AQ408" s="17"/>
      <c r="AR408" s="17"/>
      <c r="AS408" s="17"/>
      <c r="AT408" s="17"/>
    </row>
    <row r="409" spans="1:46" x14ac:dyDescent="0.25">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17"/>
      <c r="AB409" s="17"/>
      <c r="AC409" s="17"/>
      <c r="AD409" s="17"/>
      <c r="AE409" s="17"/>
      <c r="AF409" s="17"/>
      <c r="AG409" s="17"/>
      <c r="AH409" s="17"/>
      <c r="AI409" s="17"/>
      <c r="AJ409" s="17"/>
      <c r="AK409" s="17"/>
      <c r="AL409" s="17"/>
      <c r="AM409" s="17"/>
      <c r="AN409" s="17"/>
      <c r="AO409" s="17"/>
      <c r="AP409" s="17"/>
      <c r="AQ409" s="17"/>
      <c r="AR409" s="17"/>
      <c r="AS409" s="17"/>
      <c r="AT409" s="17"/>
    </row>
    <row r="410" spans="1:46" x14ac:dyDescent="0.25">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17"/>
      <c r="AB410" s="17"/>
      <c r="AC410" s="17"/>
      <c r="AD410" s="17"/>
      <c r="AE410" s="17"/>
      <c r="AF410" s="17"/>
      <c r="AG410" s="17"/>
      <c r="AH410" s="17"/>
      <c r="AI410" s="17"/>
      <c r="AJ410" s="17"/>
      <c r="AK410" s="17"/>
      <c r="AL410" s="17"/>
      <c r="AM410" s="17"/>
      <c r="AN410" s="17"/>
      <c r="AO410" s="17"/>
      <c r="AP410" s="17"/>
      <c r="AQ410" s="17"/>
      <c r="AR410" s="17"/>
      <c r="AS410" s="17"/>
      <c r="AT410" s="17"/>
    </row>
    <row r="411" spans="1:46" x14ac:dyDescent="0.25">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17"/>
      <c r="AB411" s="17"/>
      <c r="AC411" s="17"/>
      <c r="AD411" s="17"/>
      <c r="AE411" s="17"/>
      <c r="AF411" s="17"/>
      <c r="AG411" s="17"/>
      <c r="AH411" s="17"/>
      <c r="AI411" s="17"/>
      <c r="AJ411" s="17"/>
      <c r="AK411" s="17"/>
      <c r="AL411" s="17"/>
      <c r="AM411" s="17"/>
      <c r="AN411" s="17"/>
      <c r="AO411" s="17"/>
      <c r="AP411" s="17"/>
      <c r="AQ411" s="17"/>
      <c r="AR411" s="17"/>
      <c r="AS411" s="17"/>
      <c r="AT411" s="17"/>
    </row>
    <row r="412" spans="1:46" x14ac:dyDescent="0.25">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17"/>
      <c r="AB412" s="17"/>
      <c r="AC412" s="17"/>
      <c r="AD412" s="17"/>
      <c r="AE412" s="17"/>
      <c r="AF412" s="17"/>
      <c r="AG412" s="17"/>
      <c r="AH412" s="17"/>
      <c r="AI412" s="17"/>
      <c r="AJ412" s="17"/>
      <c r="AK412" s="17"/>
      <c r="AL412" s="17"/>
      <c r="AM412" s="17"/>
      <c r="AN412" s="17"/>
      <c r="AO412" s="17"/>
      <c r="AP412" s="17"/>
      <c r="AQ412" s="17"/>
      <c r="AR412" s="17"/>
      <c r="AS412" s="17"/>
      <c r="AT412" s="17"/>
    </row>
    <row r="413" spans="1:46" x14ac:dyDescent="0.25">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7"/>
      <c r="AI413" s="17"/>
      <c r="AJ413" s="17"/>
      <c r="AK413" s="17"/>
      <c r="AL413" s="17"/>
      <c r="AM413" s="17"/>
      <c r="AN413" s="17"/>
      <c r="AO413" s="17"/>
      <c r="AP413" s="17"/>
      <c r="AQ413" s="17"/>
      <c r="AR413" s="17"/>
      <c r="AS413" s="17"/>
      <c r="AT413" s="17"/>
    </row>
    <row r="414" spans="1:46" x14ac:dyDescent="0.25">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17"/>
      <c r="AB414" s="17"/>
      <c r="AC414" s="17"/>
      <c r="AD414" s="17"/>
      <c r="AE414" s="17"/>
      <c r="AF414" s="17"/>
      <c r="AG414" s="17"/>
      <c r="AH414" s="17"/>
      <c r="AI414" s="17"/>
      <c r="AJ414" s="17"/>
      <c r="AK414" s="17"/>
      <c r="AL414" s="17"/>
      <c r="AM414" s="17"/>
      <c r="AN414" s="17"/>
      <c r="AO414" s="17"/>
      <c r="AP414" s="17"/>
      <c r="AQ414" s="17"/>
      <c r="AR414" s="17"/>
      <c r="AS414" s="17"/>
      <c r="AT414" s="17"/>
    </row>
    <row r="415" spans="1:46" x14ac:dyDescent="0.25">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17"/>
      <c r="AB415" s="17"/>
      <c r="AC415" s="17"/>
      <c r="AD415" s="17"/>
      <c r="AE415" s="17"/>
      <c r="AF415" s="17"/>
      <c r="AG415" s="17"/>
      <c r="AH415" s="17"/>
      <c r="AI415" s="17"/>
      <c r="AJ415" s="17"/>
      <c r="AK415" s="17"/>
      <c r="AL415" s="17"/>
      <c r="AM415" s="17"/>
      <c r="AN415" s="17"/>
      <c r="AO415" s="17"/>
      <c r="AP415" s="17"/>
      <c r="AQ415" s="17"/>
      <c r="AR415" s="17"/>
      <c r="AS415" s="17"/>
      <c r="AT415" s="17"/>
    </row>
    <row r="416" spans="1:46" x14ac:dyDescent="0.25">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17"/>
      <c r="AB416" s="17"/>
      <c r="AC416" s="17"/>
      <c r="AD416" s="17"/>
      <c r="AE416" s="17"/>
      <c r="AF416" s="17"/>
      <c r="AG416" s="17"/>
      <c r="AH416" s="17"/>
      <c r="AI416" s="17"/>
      <c r="AJ416" s="17"/>
      <c r="AK416" s="17"/>
      <c r="AL416" s="17"/>
      <c r="AM416" s="17"/>
      <c r="AN416" s="17"/>
      <c r="AO416" s="17"/>
      <c r="AP416" s="17"/>
      <c r="AQ416" s="17"/>
      <c r="AR416" s="17"/>
      <c r="AS416" s="17"/>
      <c r="AT416" s="17"/>
    </row>
    <row r="417" spans="1:46" x14ac:dyDescent="0.25">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17"/>
      <c r="AB417" s="17"/>
      <c r="AC417" s="17"/>
      <c r="AD417" s="17"/>
      <c r="AE417" s="17"/>
      <c r="AF417" s="17"/>
      <c r="AG417" s="17"/>
      <c r="AH417" s="17"/>
      <c r="AI417" s="17"/>
      <c r="AJ417" s="17"/>
      <c r="AK417" s="17"/>
      <c r="AL417" s="17"/>
      <c r="AM417" s="17"/>
      <c r="AN417" s="17"/>
      <c r="AO417" s="17"/>
      <c r="AP417" s="17"/>
      <c r="AQ417" s="17"/>
      <c r="AR417" s="17"/>
      <c r="AS417" s="17"/>
      <c r="AT417" s="17"/>
    </row>
    <row r="418" spans="1:46" x14ac:dyDescent="0.25">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17"/>
      <c r="AB418" s="17"/>
      <c r="AC418" s="17"/>
      <c r="AD418" s="17"/>
      <c r="AE418" s="17"/>
      <c r="AF418" s="17"/>
      <c r="AG418" s="17"/>
      <c r="AH418" s="17"/>
      <c r="AI418" s="17"/>
      <c r="AJ418" s="17"/>
      <c r="AK418" s="17"/>
      <c r="AL418" s="17"/>
      <c r="AM418" s="17"/>
      <c r="AN418" s="17"/>
      <c r="AO418" s="17"/>
      <c r="AP418" s="17"/>
      <c r="AQ418" s="17"/>
      <c r="AR418" s="17"/>
      <c r="AS418" s="17"/>
      <c r="AT418" s="17"/>
    </row>
    <row r="419" spans="1:46" x14ac:dyDescent="0.25">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7"/>
      <c r="AI419" s="17"/>
      <c r="AJ419" s="17"/>
      <c r="AK419" s="17"/>
      <c r="AL419" s="17"/>
      <c r="AM419" s="17"/>
      <c r="AN419" s="17"/>
      <c r="AO419" s="17"/>
      <c r="AP419" s="17"/>
      <c r="AQ419" s="17"/>
      <c r="AR419" s="17"/>
      <c r="AS419" s="17"/>
      <c r="AT419" s="17"/>
    </row>
    <row r="420" spans="1:46" x14ac:dyDescent="0.25">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17"/>
      <c r="AB420" s="17"/>
      <c r="AC420" s="17"/>
      <c r="AD420" s="17"/>
      <c r="AE420" s="17"/>
      <c r="AF420" s="17"/>
      <c r="AG420" s="17"/>
      <c r="AH420" s="17"/>
      <c r="AI420" s="17"/>
      <c r="AJ420" s="17"/>
      <c r="AK420" s="17"/>
      <c r="AL420" s="17"/>
      <c r="AM420" s="17"/>
      <c r="AN420" s="17"/>
      <c r="AO420" s="17"/>
      <c r="AP420" s="17"/>
      <c r="AQ420" s="17"/>
      <c r="AR420" s="17"/>
      <c r="AS420" s="17"/>
      <c r="AT420" s="17"/>
    </row>
    <row r="421" spans="1:46" x14ac:dyDescent="0.25">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17"/>
      <c r="AB421" s="17"/>
      <c r="AC421" s="17"/>
      <c r="AD421" s="17"/>
      <c r="AE421" s="17"/>
      <c r="AF421" s="17"/>
      <c r="AG421" s="17"/>
      <c r="AH421" s="17"/>
      <c r="AI421" s="17"/>
      <c r="AJ421" s="17"/>
      <c r="AK421" s="17"/>
      <c r="AL421" s="17"/>
      <c r="AM421" s="17"/>
      <c r="AN421" s="17"/>
      <c r="AO421" s="17"/>
      <c r="AP421" s="17"/>
      <c r="AQ421" s="17"/>
      <c r="AR421" s="17"/>
      <c r="AS421" s="17"/>
      <c r="AT421" s="17"/>
    </row>
    <row r="422" spans="1:46" x14ac:dyDescent="0.25">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17"/>
      <c r="AB422" s="17"/>
      <c r="AC422" s="17"/>
      <c r="AD422" s="17"/>
      <c r="AE422" s="17"/>
      <c r="AF422" s="17"/>
      <c r="AG422" s="17"/>
      <c r="AH422" s="17"/>
      <c r="AI422" s="17"/>
      <c r="AJ422" s="17"/>
      <c r="AK422" s="17"/>
      <c r="AL422" s="17"/>
      <c r="AM422" s="17"/>
      <c r="AN422" s="17"/>
      <c r="AO422" s="17"/>
      <c r="AP422" s="17"/>
      <c r="AQ422" s="17"/>
      <c r="AR422" s="17"/>
      <c r="AS422" s="17"/>
      <c r="AT422" s="17"/>
    </row>
    <row r="423" spans="1:46" x14ac:dyDescent="0.25">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17"/>
      <c r="AB423" s="17"/>
      <c r="AC423" s="17"/>
      <c r="AD423" s="17"/>
      <c r="AE423" s="17"/>
      <c r="AF423" s="17"/>
      <c r="AG423" s="17"/>
      <c r="AH423" s="17"/>
      <c r="AI423" s="17"/>
      <c r="AJ423" s="17"/>
      <c r="AK423" s="17"/>
      <c r="AL423" s="17"/>
      <c r="AM423" s="17"/>
      <c r="AN423" s="17"/>
      <c r="AO423" s="17"/>
      <c r="AP423" s="17"/>
      <c r="AQ423" s="17"/>
      <c r="AR423" s="17"/>
      <c r="AS423" s="17"/>
      <c r="AT423" s="17"/>
    </row>
    <row r="424" spans="1:46" x14ac:dyDescent="0.25">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17"/>
      <c r="AB424" s="17"/>
      <c r="AC424" s="17"/>
      <c r="AD424" s="17"/>
      <c r="AE424" s="17"/>
      <c r="AF424" s="17"/>
      <c r="AG424" s="17"/>
      <c r="AH424" s="17"/>
      <c r="AI424" s="17"/>
      <c r="AJ424" s="17"/>
      <c r="AK424" s="17"/>
      <c r="AL424" s="17"/>
      <c r="AM424" s="17"/>
      <c r="AN424" s="17"/>
      <c r="AO424" s="17"/>
      <c r="AP424" s="17"/>
      <c r="AQ424" s="17"/>
      <c r="AR424" s="17"/>
      <c r="AS424" s="17"/>
      <c r="AT424" s="17"/>
    </row>
    <row r="425" spans="1:46" x14ac:dyDescent="0.25">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7"/>
      <c r="AI425" s="17"/>
      <c r="AJ425" s="17"/>
      <c r="AK425" s="17"/>
      <c r="AL425" s="17"/>
      <c r="AM425" s="17"/>
      <c r="AN425" s="17"/>
      <c r="AO425" s="17"/>
      <c r="AP425" s="17"/>
      <c r="AQ425" s="17"/>
      <c r="AR425" s="17"/>
      <c r="AS425" s="17"/>
      <c r="AT425" s="17"/>
    </row>
    <row r="426" spans="1:46" x14ac:dyDescent="0.25">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17"/>
      <c r="AB426" s="17"/>
      <c r="AC426" s="17"/>
      <c r="AD426" s="17"/>
      <c r="AE426" s="17"/>
      <c r="AF426" s="17"/>
      <c r="AG426" s="17"/>
      <c r="AH426" s="17"/>
      <c r="AI426" s="17"/>
      <c r="AJ426" s="17"/>
      <c r="AK426" s="17"/>
      <c r="AL426" s="17"/>
      <c r="AM426" s="17"/>
      <c r="AN426" s="17"/>
      <c r="AO426" s="17"/>
      <c r="AP426" s="17"/>
      <c r="AQ426" s="17"/>
      <c r="AR426" s="17"/>
      <c r="AS426" s="17"/>
      <c r="AT426" s="17"/>
    </row>
    <row r="427" spans="1:46" x14ac:dyDescent="0.25">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17"/>
      <c r="AB427" s="17"/>
      <c r="AC427" s="17"/>
      <c r="AD427" s="17"/>
      <c r="AE427" s="17"/>
      <c r="AF427" s="17"/>
      <c r="AG427" s="17"/>
      <c r="AH427" s="17"/>
      <c r="AI427" s="17"/>
      <c r="AJ427" s="17"/>
      <c r="AK427" s="17"/>
      <c r="AL427" s="17"/>
      <c r="AM427" s="17"/>
      <c r="AN427" s="17"/>
      <c r="AO427" s="17"/>
      <c r="AP427" s="17"/>
      <c r="AQ427" s="17"/>
      <c r="AR427" s="17"/>
      <c r="AS427" s="17"/>
      <c r="AT427" s="17"/>
    </row>
    <row r="428" spans="1:46" x14ac:dyDescent="0.25">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17"/>
      <c r="AB428" s="17"/>
      <c r="AC428" s="17"/>
      <c r="AD428" s="17"/>
      <c r="AE428" s="17"/>
      <c r="AF428" s="17"/>
      <c r="AG428" s="17"/>
      <c r="AH428" s="17"/>
      <c r="AI428" s="17"/>
      <c r="AJ428" s="17"/>
      <c r="AK428" s="17"/>
      <c r="AL428" s="17"/>
      <c r="AM428" s="17"/>
      <c r="AN428" s="17"/>
      <c r="AO428" s="17"/>
      <c r="AP428" s="17"/>
      <c r="AQ428" s="17"/>
      <c r="AR428" s="17"/>
      <c r="AS428" s="17"/>
      <c r="AT428" s="17"/>
    </row>
    <row r="429" spans="1:46" x14ac:dyDescent="0.25">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17"/>
      <c r="AB429" s="17"/>
      <c r="AC429" s="17"/>
      <c r="AD429" s="17"/>
      <c r="AE429" s="17"/>
      <c r="AF429" s="17"/>
      <c r="AG429" s="17"/>
      <c r="AH429" s="17"/>
      <c r="AI429" s="17"/>
      <c r="AJ429" s="17"/>
      <c r="AK429" s="17"/>
      <c r="AL429" s="17"/>
      <c r="AM429" s="17"/>
      <c r="AN429" s="17"/>
      <c r="AO429" s="17"/>
      <c r="AP429" s="17"/>
      <c r="AQ429" s="17"/>
      <c r="AR429" s="17"/>
      <c r="AS429" s="17"/>
      <c r="AT429" s="17"/>
    </row>
    <row r="430" spans="1:46" x14ac:dyDescent="0.25">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17"/>
      <c r="AB430" s="17"/>
      <c r="AC430" s="17"/>
      <c r="AD430" s="17"/>
      <c r="AE430" s="17"/>
      <c r="AF430" s="17"/>
      <c r="AG430" s="17"/>
      <c r="AH430" s="17"/>
      <c r="AI430" s="17"/>
      <c r="AJ430" s="17"/>
      <c r="AK430" s="17"/>
      <c r="AL430" s="17"/>
      <c r="AM430" s="17"/>
      <c r="AN430" s="17"/>
      <c r="AO430" s="17"/>
      <c r="AP430" s="17"/>
      <c r="AQ430" s="17"/>
      <c r="AR430" s="17"/>
      <c r="AS430" s="17"/>
      <c r="AT430" s="17"/>
    </row>
    <row r="431" spans="1:46" x14ac:dyDescent="0.25">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7"/>
      <c r="AI431" s="17"/>
      <c r="AJ431" s="17"/>
      <c r="AK431" s="17"/>
      <c r="AL431" s="17"/>
      <c r="AM431" s="17"/>
      <c r="AN431" s="17"/>
      <c r="AO431" s="17"/>
      <c r="AP431" s="17"/>
      <c r="AQ431" s="17"/>
      <c r="AR431" s="17"/>
      <c r="AS431" s="17"/>
      <c r="AT431" s="17"/>
    </row>
    <row r="432" spans="1:46" x14ac:dyDescent="0.25">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17"/>
      <c r="AB432" s="17"/>
      <c r="AC432" s="17"/>
      <c r="AD432" s="17"/>
      <c r="AE432" s="17"/>
      <c r="AF432" s="17"/>
      <c r="AG432" s="17"/>
      <c r="AH432" s="17"/>
      <c r="AI432" s="17"/>
      <c r="AJ432" s="17"/>
      <c r="AK432" s="17"/>
      <c r="AL432" s="17"/>
      <c r="AM432" s="17"/>
      <c r="AN432" s="17"/>
      <c r="AO432" s="17"/>
      <c r="AP432" s="17"/>
      <c r="AQ432" s="17"/>
      <c r="AR432" s="17"/>
      <c r="AS432" s="17"/>
      <c r="AT432" s="17"/>
    </row>
    <row r="433" spans="1:46" x14ac:dyDescent="0.25">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17"/>
      <c r="AB433" s="17"/>
      <c r="AC433" s="17"/>
      <c r="AD433" s="17"/>
      <c r="AE433" s="17"/>
      <c r="AF433" s="17"/>
      <c r="AG433" s="17"/>
      <c r="AH433" s="17"/>
      <c r="AI433" s="17"/>
      <c r="AJ433" s="17"/>
      <c r="AK433" s="17"/>
      <c r="AL433" s="17"/>
      <c r="AM433" s="17"/>
      <c r="AN433" s="17"/>
      <c r="AO433" s="17"/>
      <c r="AP433" s="17"/>
      <c r="AQ433" s="17"/>
      <c r="AR433" s="17"/>
      <c r="AS433" s="17"/>
      <c r="AT433" s="17"/>
    </row>
    <row r="434" spans="1:46" x14ac:dyDescent="0.25">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17"/>
      <c r="AB434" s="17"/>
      <c r="AC434" s="17"/>
      <c r="AD434" s="17"/>
      <c r="AE434" s="17"/>
      <c r="AF434" s="17"/>
      <c r="AG434" s="17"/>
      <c r="AH434" s="17"/>
      <c r="AI434" s="17"/>
      <c r="AJ434" s="17"/>
      <c r="AK434" s="17"/>
      <c r="AL434" s="17"/>
      <c r="AM434" s="17"/>
      <c r="AN434" s="17"/>
      <c r="AO434" s="17"/>
      <c r="AP434" s="17"/>
      <c r="AQ434" s="17"/>
      <c r="AR434" s="17"/>
      <c r="AS434" s="17"/>
      <c r="AT434" s="17"/>
    </row>
    <row r="435" spans="1:46" x14ac:dyDescent="0.25">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17"/>
      <c r="AB435" s="17"/>
      <c r="AC435" s="17"/>
      <c r="AD435" s="17"/>
      <c r="AE435" s="17"/>
      <c r="AF435" s="17"/>
      <c r="AG435" s="17"/>
      <c r="AH435" s="17"/>
      <c r="AI435" s="17"/>
      <c r="AJ435" s="17"/>
      <c r="AK435" s="17"/>
      <c r="AL435" s="17"/>
      <c r="AM435" s="17"/>
      <c r="AN435" s="17"/>
      <c r="AO435" s="17"/>
      <c r="AP435" s="17"/>
      <c r="AQ435" s="17"/>
      <c r="AR435" s="17"/>
      <c r="AS435" s="17"/>
      <c r="AT435" s="17"/>
    </row>
    <row r="436" spans="1:46" x14ac:dyDescent="0.25">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17"/>
      <c r="AB436" s="17"/>
      <c r="AC436" s="17"/>
      <c r="AD436" s="17"/>
      <c r="AE436" s="17"/>
      <c r="AF436" s="17"/>
      <c r="AG436" s="17"/>
      <c r="AH436" s="17"/>
      <c r="AI436" s="17"/>
      <c r="AJ436" s="17"/>
      <c r="AK436" s="17"/>
      <c r="AL436" s="17"/>
      <c r="AM436" s="17"/>
      <c r="AN436" s="17"/>
      <c r="AO436" s="17"/>
      <c r="AP436" s="17"/>
      <c r="AQ436" s="17"/>
      <c r="AR436" s="17"/>
      <c r="AS436" s="17"/>
      <c r="AT436" s="17"/>
    </row>
    <row r="437" spans="1:46" x14ac:dyDescent="0.25">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7"/>
      <c r="AI437" s="17"/>
      <c r="AJ437" s="17"/>
      <c r="AK437" s="17"/>
      <c r="AL437" s="17"/>
      <c r="AM437" s="17"/>
      <c r="AN437" s="17"/>
      <c r="AO437" s="17"/>
      <c r="AP437" s="17"/>
      <c r="AQ437" s="17"/>
      <c r="AR437" s="17"/>
      <c r="AS437" s="17"/>
      <c r="AT437" s="17"/>
    </row>
    <row r="438" spans="1:46" x14ac:dyDescent="0.25">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17"/>
      <c r="AB438" s="17"/>
      <c r="AC438" s="17"/>
      <c r="AD438" s="17"/>
      <c r="AE438" s="17"/>
      <c r="AF438" s="17"/>
      <c r="AG438" s="17"/>
      <c r="AH438" s="17"/>
      <c r="AI438" s="17"/>
      <c r="AJ438" s="17"/>
      <c r="AK438" s="17"/>
      <c r="AL438" s="17"/>
      <c r="AM438" s="17"/>
      <c r="AN438" s="17"/>
      <c r="AO438" s="17"/>
      <c r="AP438" s="17"/>
      <c r="AQ438" s="17"/>
      <c r="AR438" s="17"/>
      <c r="AS438" s="17"/>
      <c r="AT438" s="17"/>
    </row>
    <row r="439" spans="1:46" x14ac:dyDescent="0.25">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17"/>
      <c r="AB439" s="17"/>
      <c r="AC439" s="17"/>
      <c r="AD439" s="17"/>
      <c r="AE439" s="17"/>
      <c r="AF439" s="17"/>
      <c r="AG439" s="17"/>
      <c r="AH439" s="17"/>
      <c r="AI439" s="17"/>
      <c r="AJ439" s="17"/>
      <c r="AK439" s="17"/>
      <c r="AL439" s="17"/>
      <c r="AM439" s="17"/>
      <c r="AN439" s="17"/>
      <c r="AO439" s="17"/>
      <c r="AP439" s="17"/>
      <c r="AQ439" s="17"/>
      <c r="AR439" s="17"/>
      <c r="AS439" s="17"/>
      <c r="AT439" s="17"/>
    </row>
    <row r="440" spans="1:46" x14ac:dyDescent="0.25">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17"/>
      <c r="AB440" s="17"/>
      <c r="AC440" s="17"/>
      <c r="AD440" s="17"/>
      <c r="AE440" s="17"/>
      <c r="AF440" s="17"/>
      <c r="AG440" s="17"/>
      <c r="AH440" s="17"/>
      <c r="AI440" s="17"/>
      <c r="AJ440" s="17"/>
      <c r="AK440" s="17"/>
      <c r="AL440" s="17"/>
      <c r="AM440" s="17"/>
      <c r="AN440" s="17"/>
      <c r="AO440" s="17"/>
      <c r="AP440" s="17"/>
      <c r="AQ440" s="17"/>
      <c r="AR440" s="17"/>
      <c r="AS440" s="17"/>
      <c r="AT440" s="17"/>
    </row>
    <row r="441" spans="1:46" x14ac:dyDescent="0.25">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17"/>
      <c r="AB441" s="17"/>
      <c r="AC441" s="17"/>
      <c r="AD441" s="17"/>
      <c r="AE441" s="17"/>
      <c r="AF441" s="17"/>
      <c r="AG441" s="17"/>
      <c r="AH441" s="17"/>
      <c r="AI441" s="17"/>
      <c r="AJ441" s="17"/>
      <c r="AK441" s="17"/>
      <c r="AL441" s="17"/>
      <c r="AM441" s="17"/>
      <c r="AN441" s="17"/>
      <c r="AO441" s="17"/>
      <c r="AP441" s="17"/>
      <c r="AQ441" s="17"/>
      <c r="AR441" s="17"/>
      <c r="AS441" s="17"/>
      <c r="AT441" s="17"/>
    </row>
    <row r="442" spans="1:46" x14ac:dyDescent="0.25">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17"/>
      <c r="AB442" s="17"/>
      <c r="AC442" s="17"/>
      <c r="AD442" s="17"/>
      <c r="AE442" s="17"/>
      <c r="AF442" s="17"/>
      <c r="AG442" s="17"/>
      <c r="AH442" s="17"/>
      <c r="AI442" s="17"/>
      <c r="AJ442" s="17"/>
      <c r="AK442" s="17"/>
      <c r="AL442" s="17"/>
      <c r="AM442" s="17"/>
      <c r="AN442" s="17"/>
      <c r="AO442" s="17"/>
      <c r="AP442" s="17"/>
      <c r="AQ442" s="17"/>
      <c r="AR442" s="17"/>
      <c r="AS442" s="17"/>
      <c r="AT442" s="17"/>
    </row>
    <row r="443" spans="1:46" x14ac:dyDescent="0.25">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7"/>
      <c r="AI443" s="17"/>
      <c r="AJ443" s="17"/>
      <c r="AK443" s="17"/>
      <c r="AL443" s="17"/>
      <c r="AM443" s="17"/>
      <c r="AN443" s="17"/>
      <c r="AO443" s="17"/>
      <c r="AP443" s="17"/>
      <c r="AQ443" s="17"/>
      <c r="AR443" s="17"/>
      <c r="AS443" s="17"/>
      <c r="AT443" s="17"/>
    </row>
    <row r="444" spans="1:46" x14ac:dyDescent="0.25">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17"/>
      <c r="AB444" s="17"/>
      <c r="AC444" s="17"/>
      <c r="AD444" s="17"/>
      <c r="AE444" s="17"/>
      <c r="AF444" s="17"/>
      <c r="AG444" s="17"/>
      <c r="AH444" s="17"/>
      <c r="AI444" s="17"/>
      <c r="AJ444" s="17"/>
      <c r="AK444" s="17"/>
      <c r="AL444" s="17"/>
      <c r="AM444" s="17"/>
      <c r="AN444" s="17"/>
      <c r="AO444" s="17"/>
      <c r="AP444" s="17"/>
      <c r="AQ444" s="17"/>
      <c r="AR444" s="17"/>
      <c r="AS444" s="17"/>
      <c r="AT444" s="17"/>
    </row>
    <row r="445" spans="1:46" x14ac:dyDescent="0.25">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17"/>
      <c r="AB445" s="17"/>
      <c r="AC445" s="17"/>
      <c r="AD445" s="17"/>
      <c r="AE445" s="17"/>
      <c r="AF445" s="17"/>
      <c r="AG445" s="17"/>
      <c r="AH445" s="17"/>
      <c r="AI445" s="17"/>
      <c r="AJ445" s="17"/>
      <c r="AK445" s="17"/>
      <c r="AL445" s="17"/>
      <c r="AM445" s="17"/>
      <c r="AN445" s="17"/>
      <c r="AO445" s="17"/>
      <c r="AP445" s="17"/>
      <c r="AQ445" s="17"/>
      <c r="AR445" s="17"/>
      <c r="AS445" s="17"/>
      <c r="AT445" s="17"/>
    </row>
    <row r="446" spans="1:46" x14ac:dyDescent="0.25">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17"/>
      <c r="AB446" s="17"/>
      <c r="AC446" s="17"/>
      <c r="AD446" s="17"/>
      <c r="AE446" s="17"/>
      <c r="AF446" s="17"/>
      <c r="AG446" s="17"/>
      <c r="AH446" s="17"/>
      <c r="AI446" s="17"/>
      <c r="AJ446" s="17"/>
      <c r="AK446" s="17"/>
      <c r="AL446" s="17"/>
      <c r="AM446" s="17"/>
      <c r="AN446" s="17"/>
      <c r="AO446" s="17"/>
      <c r="AP446" s="17"/>
      <c r="AQ446" s="17"/>
      <c r="AR446" s="17"/>
      <c r="AS446" s="17"/>
      <c r="AT446" s="17"/>
    </row>
    <row r="447" spans="1:46" x14ac:dyDescent="0.25">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17"/>
      <c r="AB447" s="17"/>
      <c r="AC447" s="17"/>
      <c r="AD447" s="17"/>
      <c r="AE447" s="17"/>
      <c r="AF447" s="17"/>
      <c r="AG447" s="17"/>
      <c r="AH447" s="17"/>
      <c r="AI447" s="17"/>
      <c r="AJ447" s="17"/>
      <c r="AK447" s="17"/>
      <c r="AL447" s="17"/>
      <c r="AM447" s="17"/>
      <c r="AN447" s="17"/>
      <c r="AO447" s="17"/>
      <c r="AP447" s="17"/>
      <c r="AQ447" s="17"/>
      <c r="AR447" s="17"/>
      <c r="AS447" s="17"/>
      <c r="AT447" s="17"/>
    </row>
    <row r="448" spans="1:46" x14ac:dyDescent="0.25">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17"/>
      <c r="AB448" s="17"/>
      <c r="AC448" s="17"/>
      <c r="AD448" s="17"/>
      <c r="AE448" s="17"/>
      <c r="AF448" s="17"/>
      <c r="AG448" s="17"/>
      <c r="AH448" s="17"/>
      <c r="AI448" s="17"/>
      <c r="AJ448" s="17"/>
      <c r="AK448" s="17"/>
      <c r="AL448" s="17"/>
      <c r="AM448" s="17"/>
      <c r="AN448" s="17"/>
      <c r="AO448" s="17"/>
      <c r="AP448" s="17"/>
      <c r="AQ448" s="17"/>
      <c r="AR448" s="17"/>
      <c r="AS448" s="17"/>
      <c r="AT448" s="17"/>
    </row>
    <row r="449" spans="1:46" x14ac:dyDescent="0.25">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7"/>
      <c r="AI449" s="17"/>
      <c r="AJ449" s="17"/>
      <c r="AK449" s="17"/>
      <c r="AL449" s="17"/>
      <c r="AM449" s="17"/>
      <c r="AN449" s="17"/>
      <c r="AO449" s="17"/>
      <c r="AP449" s="17"/>
      <c r="AQ449" s="17"/>
      <c r="AR449" s="17"/>
      <c r="AS449" s="17"/>
      <c r="AT449" s="17"/>
    </row>
    <row r="450" spans="1:46" x14ac:dyDescent="0.25">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17"/>
      <c r="AB450" s="17"/>
      <c r="AC450" s="17"/>
      <c r="AD450" s="17"/>
      <c r="AE450" s="17"/>
      <c r="AF450" s="17"/>
      <c r="AG450" s="17"/>
      <c r="AH450" s="17"/>
      <c r="AI450" s="17"/>
      <c r="AJ450" s="17"/>
      <c r="AK450" s="17"/>
      <c r="AL450" s="17"/>
      <c r="AM450" s="17"/>
      <c r="AN450" s="17"/>
      <c r="AO450" s="17"/>
      <c r="AP450" s="17"/>
      <c r="AQ450" s="17"/>
      <c r="AR450" s="17"/>
      <c r="AS450" s="17"/>
      <c r="AT450" s="17"/>
    </row>
    <row r="451" spans="1:46" x14ac:dyDescent="0.25">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17"/>
      <c r="AB451" s="17"/>
      <c r="AC451" s="17"/>
      <c r="AD451" s="17"/>
      <c r="AE451" s="17"/>
      <c r="AF451" s="17"/>
      <c r="AG451" s="17"/>
      <c r="AH451" s="17"/>
      <c r="AI451" s="17"/>
      <c r="AJ451" s="17"/>
      <c r="AK451" s="17"/>
      <c r="AL451" s="17"/>
      <c r="AM451" s="17"/>
      <c r="AN451" s="17"/>
      <c r="AO451" s="17"/>
      <c r="AP451" s="17"/>
      <c r="AQ451" s="17"/>
      <c r="AR451" s="17"/>
      <c r="AS451" s="17"/>
      <c r="AT451" s="17"/>
    </row>
    <row r="452" spans="1:46" x14ac:dyDescent="0.25">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17"/>
      <c r="AB452" s="17"/>
      <c r="AC452" s="17"/>
      <c r="AD452" s="17"/>
      <c r="AE452" s="17"/>
      <c r="AF452" s="17"/>
      <c r="AG452" s="17"/>
      <c r="AH452" s="17"/>
      <c r="AI452" s="17"/>
      <c r="AJ452" s="17"/>
      <c r="AK452" s="17"/>
      <c r="AL452" s="17"/>
      <c r="AM452" s="17"/>
      <c r="AN452" s="17"/>
      <c r="AO452" s="17"/>
      <c r="AP452" s="17"/>
      <c r="AQ452" s="17"/>
      <c r="AR452" s="17"/>
      <c r="AS452" s="17"/>
      <c r="AT452" s="17"/>
    </row>
    <row r="453" spans="1:46" x14ac:dyDescent="0.25">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17"/>
      <c r="AB453" s="17"/>
      <c r="AC453" s="17"/>
      <c r="AD453" s="17"/>
      <c r="AE453" s="17"/>
      <c r="AF453" s="17"/>
      <c r="AG453" s="17"/>
      <c r="AH453" s="17"/>
      <c r="AI453" s="17"/>
      <c r="AJ453" s="17"/>
      <c r="AK453" s="17"/>
      <c r="AL453" s="17"/>
      <c r="AM453" s="17"/>
      <c r="AN453" s="17"/>
      <c r="AO453" s="17"/>
      <c r="AP453" s="17"/>
      <c r="AQ453" s="17"/>
      <c r="AR453" s="17"/>
      <c r="AS453" s="17"/>
      <c r="AT453" s="17"/>
    </row>
    <row r="454" spans="1:46" x14ac:dyDescent="0.25">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17"/>
      <c r="AB454" s="17"/>
      <c r="AC454" s="17"/>
      <c r="AD454" s="17"/>
      <c r="AE454" s="17"/>
      <c r="AF454" s="17"/>
      <c r="AG454" s="17"/>
      <c r="AH454" s="17"/>
      <c r="AI454" s="17"/>
      <c r="AJ454" s="17"/>
      <c r="AK454" s="17"/>
      <c r="AL454" s="17"/>
      <c r="AM454" s="17"/>
      <c r="AN454" s="17"/>
      <c r="AO454" s="17"/>
      <c r="AP454" s="17"/>
      <c r="AQ454" s="17"/>
      <c r="AR454" s="17"/>
      <c r="AS454" s="17"/>
      <c r="AT454" s="17"/>
    </row>
    <row r="455" spans="1:46" x14ac:dyDescent="0.25">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7"/>
      <c r="AI455" s="17"/>
      <c r="AJ455" s="17"/>
      <c r="AK455" s="17"/>
      <c r="AL455" s="17"/>
      <c r="AM455" s="17"/>
      <c r="AN455" s="17"/>
      <c r="AO455" s="17"/>
      <c r="AP455" s="17"/>
      <c r="AQ455" s="17"/>
      <c r="AR455" s="17"/>
      <c r="AS455" s="17"/>
      <c r="AT455" s="17"/>
    </row>
    <row r="456" spans="1:46" x14ac:dyDescent="0.25">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17"/>
      <c r="AB456" s="17"/>
      <c r="AC456" s="17"/>
      <c r="AD456" s="17"/>
      <c r="AE456" s="17"/>
      <c r="AF456" s="17"/>
      <c r="AG456" s="17"/>
      <c r="AH456" s="17"/>
      <c r="AI456" s="17"/>
      <c r="AJ456" s="17"/>
      <c r="AK456" s="17"/>
      <c r="AL456" s="17"/>
      <c r="AM456" s="17"/>
      <c r="AN456" s="17"/>
      <c r="AO456" s="17"/>
      <c r="AP456" s="17"/>
      <c r="AQ456" s="17"/>
      <c r="AR456" s="17"/>
      <c r="AS456" s="17"/>
      <c r="AT456" s="17"/>
    </row>
    <row r="457" spans="1:46" x14ac:dyDescent="0.25">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17"/>
      <c r="AB457" s="17"/>
      <c r="AC457" s="17"/>
      <c r="AD457" s="17"/>
      <c r="AE457" s="17"/>
      <c r="AF457" s="17"/>
      <c r="AG457" s="17"/>
      <c r="AH457" s="17"/>
      <c r="AI457" s="17"/>
      <c r="AJ457" s="17"/>
      <c r="AK457" s="17"/>
      <c r="AL457" s="17"/>
      <c r="AM457" s="17"/>
      <c r="AN457" s="17"/>
      <c r="AO457" s="17"/>
      <c r="AP457" s="17"/>
      <c r="AQ457" s="17"/>
      <c r="AR457" s="17"/>
      <c r="AS457" s="17"/>
      <c r="AT457" s="17"/>
    </row>
    <row r="458" spans="1:46" x14ac:dyDescent="0.25">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17"/>
      <c r="AB458" s="17"/>
      <c r="AC458" s="17"/>
      <c r="AD458" s="17"/>
      <c r="AE458" s="17"/>
      <c r="AF458" s="17"/>
      <c r="AG458" s="17"/>
      <c r="AH458" s="17"/>
      <c r="AI458" s="17"/>
      <c r="AJ458" s="17"/>
      <c r="AK458" s="17"/>
      <c r="AL458" s="17"/>
      <c r="AM458" s="17"/>
      <c r="AN458" s="17"/>
      <c r="AO458" s="17"/>
      <c r="AP458" s="17"/>
      <c r="AQ458" s="17"/>
      <c r="AR458" s="17"/>
      <c r="AS458" s="17"/>
      <c r="AT458" s="17"/>
    </row>
    <row r="459" spans="1:46" x14ac:dyDescent="0.25">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17"/>
      <c r="AB459" s="17"/>
      <c r="AC459" s="17"/>
      <c r="AD459" s="17"/>
      <c r="AE459" s="17"/>
      <c r="AF459" s="17"/>
      <c r="AG459" s="17"/>
      <c r="AH459" s="17"/>
      <c r="AI459" s="17"/>
      <c r="AJ459" s="17"/>
      <c r="AK459" s="17"/>
      <c r="AL459" s="17"/>
      <c r="AM459" s="17"/>
      <c r="AN459" s="17"/>
      <c r="AO459" s="17"/>
      <c r="AP459" s="17"/>
      <c r="AQ459" s="17"/>
      <c r="AR459" s="17"/>
      <c r="AS459" s="17"/>
      <c r="AT459" s="17"/>
    </row>
    <row r="460" spans="1:46" x14ac:dyDescent="0.25">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17"/>
      <c r="AB460" s="17"/>
      <c r="AC460" s="17"/>
      <c r="AD460" s="17"/>
      <c r="AE460" s="17"/>
      <c r="AF460" s="17"/>
      <c r="AG460" s="17"/>
      <c r="AH460" s="17"/>
      <c r="AI460" s="17"/>
      <c r="AJ460" s="17"/>
      <c r="AK460" s="17"/>
      <c r="AL460" s="17"/>
      <c r="AM460" s="17"/>
      <c r="AN460" s="17"/>
      <c r="AO460" s="17"/>
      <c r="AP460" s="17"/>
      <c r="AQ460" s="17"/>
      <c r="AR460" s="17"/>
      <c r="AS460" s="17"/>
      <c r="AT460" s="17"/>
    </row>
    <row r="461" spans="1:46" x14ac:dyDescent="0.25">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7"/>
      <c r="AI461" s="17"/>
      <c r="AJ461" s="17"/>
      <c r="AK461" s="17"/>
      <c r="AL461" s="17"/>
      <c r="AM461" s="17"/>
      <c r="AN461" s="17"/>
      <c r="AO461" s="17"/>
      <c r="AP461" s="17"/>
      <c r="AQ461" s="17"/>
      <c r="AR461" s="17"/>
      <c r="AS461" s="17"/>
      <c r="AT461" s="17"/>
    </row>
    <row r="462" spans="1:46" x14ac:dyDescent="0.25">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17"/>
      <c r="AB462" s="17"/>
      <c r="AC462" s="17"/>
      <c r="AD462" s="17"/>
      <c r="AE462" s="17"/>
      <c r="AF462" s="17"/>
      <c r="AG462" s="17"/>
      <c r="AH462" s="17"/>
      <c r="AI462" s="17"/>
      <c r="AJ462" s="17"/>
      <c r="AK462" s="17"/>
      <c r="AL462" s="17"/>
      <c r="AM462" s="17"/>
      <c r="AN462" s="17"/>
      <c r="AO462" s="17"/>
      <c r="AP462" s="17"/>
      <c r="AQ462" s="17"/>
      <c r="AR462" s="17"/>
      <c r="AS462" s="17"/>
      <c r="AT462" s="17"/>
    </row>
    <row r="463" spans="1:46" x14ac:dyDescent="0.25">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17"/>
      <c r="AB463" s="17"/>
      <c r="AC463" s="17"/>
      <c r="AD463" s="17"/>
      <c r="AE463" s="17"/>
      <c r="AF463" s="17"/>
      <c r="AG463" s="17"/>
      <c r="AH463" s="17"/>
      <c r="AI463" s="17"/>
      <c r="AJ463" s="17"/>
      <c r="AK463" s="17"/>
      <c r="AL463" s="17"/>
      <c r="AM463" s="17"/>
      <c r="AN463" s="17"/>
      <c r="AO463" s="17"/>
      <c r="AP463" s="17"/>
      <c r="AQ463" s="17"/>
      <c r="AR463" s="17"/>
      <c r="AS463" s="17"/>
      <c r="AT463" s="17"/>
    </row>
    <row r="464" spans="1:46" x14ac:dyDescent="0.25">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17"/>
      <c r="AB464" s="17"/>
      <c r="AC464" s="17"/>
      <c r="AD464" s="17"/>
      <c r="AE464" s="17"/>
      <c r="AF464" s="17"/>
      <c r="AG464" s="17"/>
      <c r="AH464" s="17"/>
      <c r="AI464" s="17"/>
      <c r="AJ464" s="17"/>
      <c r="AK464" s="17"/>
      <c r="AL464" s="17"/>
      <c r="AM464" s="17"/>
      <c r="AN464" s="17"/>
      <c r="AO464" s="17"/>
      <c r="AP464" s="17"/>
      <c r="AQ464" s="17"/>
      <c r="AR464" s="17"/>
      <c r="AS464" s="17"/>
      <c r="AT464" s="17"/>
    </row>
    <row r="465" spans="1:46" x14ac:dyDescent="0.25">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17"/>
      <c r="AB465" s="17"/>
      <c r="AC465" s="17"/>
      <c r="AD465" s="17"/>
      <c r="AE465" s="17"/>
      <c r="AF465" s="17"/>
      <c r="AG465" s="17"/>
      <c r="AH465" s="17"/>
      <c r="AI465" s="17"/>
      <c r="AJ465" s="17"/>
      <c r="AK465" s="17"/>
      <c r="AL465" s="17"/>
      <c r="AM465" s="17"/>
      <c r="AN465" s="17"/>
      <c r="AO465" s="17"/>
      <c r="AP465" s="17"/>
      <c r="AQ465" s="17"/>
      <c r="AR465" s="17"/>
      <c r="AS465" s="17"/>
      <c r="AT465" s="17"/>
    </row>
    <row r="466" spans="1:46" x14ac:dyDescent="0.25">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17"/>
      <c r="AB466" s="17"/>
      <c r="AC466" s="17"/>
      <c r="AD466" s="17"/>
      <c r="AE466" s="17"/>
      <c r="AF466" s="17"/>
      <c r="AG466" s="17"/>
      <c r="AH466" s="17"/>
      <c r="AI466" s="17"/>
      <c r="AJ466" s="17"/>
      <c r="AK466" s="17"/>
      <c r="AL466" s="17"/>
      <c r="AM466" s="17"/>
      <c r="AN466" s="17"/>
      <c r="AO466" s="17"/>
      <c r="AP466" s="17"/>
      <c r="AQ466" s="17"/>
      <c r="AR466" s="17"/>
      <c r="AS466" s="17"/>
      <c r="AT466" s="17"/>
    </row>
    <row r="467" spans="1:46" x14ac:dyDescent="0.25">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7"/>
      <c r="AI467" s="17"/>
      <c r="AJ467" s="17"/>
      <c r="AK467" s="17"/>
      <c r="AL467" s="17"/>
      <c r="AM467" s="17"/>
      <c r="AN467" s="17"/>
      <c r="AO467" s="17"/>
      <c r="AP467" s="17"/>
      <c r="AQ467" s="17"/>
      <c r="AR467" s="17"/>
      <c r="AS467" s="17"/>
      <c r="AT467" s="17"/>
    </row>
    <row r="468" spans="1:46" x14ac:dyDescent="0.25">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17"/>
      <c r="AB468" s="17"/>
      <c r="AC468" s="17"/>
      <c r="AD468" s="17"/>
      <c r="AE468" s="17"/>
      <c r="AF468" s="17"/>
      <c r="AG468" s="17"/>
      <c r="AH468" s="17"/>
      <c r="AI468" s="17"/>
      <c r="AJ468" s="17"/>
      <c r="AK468" s="17"/>
      <c r="AL468" s="17"/>
      <c r="AM468" s="17"/>
      <c r="AN468" s="17"/>
      <c r="AO468" s="17"/>
      <c r="AP468" s="17"/>
      <c r="AQ468" s="17"/>
      <c r="AR468" s="17"/>
      <c r="AS468" s="17"/>
      <c r="AT468" s="17"/>
    </row>
    <row r="469" spans="1:46" x14ac:dyDescent="0.25">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17"/>
      <c r="AB469" s="17"/>
      <c r="AC469" s="17"/>
      <c r="AD469" s="17"/>
      <c r="AE469" s="17"/>
      <c r="AF469" s="17"/>
      <c r="AG469" s="17"/>
      <c r="AH469" s="17"/>
      <c r="AI469" s="17"/>
      <c r="AJ469" s="17"/>
      <c r="AK469" s="17"/>
      <c r="AL469" s="17"/>
      <c r="AM469" s="17"/>
      <c r="AN469" s="17"/>
      <c r="AO469" s="17"/>
      <c r="AP469" s="17"/>
      <c r="AQ469" s="17"/>
      <c r="AR469" s="17"/>
      <c r="AS469" s="17"/>
      <c r="AT469" s="17"/>
    </row>
    <row r="470" spans="1:46" x14ac:dyDescent="0.25">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17"/>
      <c r="AB470" s="17"/>
      <c r="AC470" s="17"/>
      <c r="AD470" s="17"/>
      <c r="AE470" s="17"/>
      <c r="AF470" s="17"/>
      <c r="AG470" s="17"/>
      <c r="AH470" s="17"/>
      <c r="AI470" s="17"/>
      <c r="AJ470" s="17"/>
      <c r="AK470" s="17"/>
      <c r="AL470" s="17"/>
      <c r="AM470" s="17"/>
      <c r="AN470" s="17"/>
      <c r="AO470" s="17"/>
      <c r="AP470" s="17"/>
      <c r="AQ470" s="17"/>
      <c r="AR470" s="17"/>
      <c r="AS470" s="17"/>
      <c r="AT470" s="17"/>
    </row>
    <row r="471" spans="1:46" x14ac:dyDescent="0.25">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17"/>
      <c r="AB471" s="17"/>
      <c r="AC471" s="17"/>
      <c r="AD471" s="17"/>
      <c r="AE471" s="17"/>
      <c r="AF471" s="17"/>
      <c r="AG471" s="17"/>
      <c r="AH471" s="17"/>
      <c r="AI471" s="17"/>
      <c r="AJ471" s="17"/>
      <c r="AK471" s="17"/>
      <c r="AL471" s="17"/>
      <c r="AM471" s="17"/>
      <c r="AN471" s="17"/>
      <c r="AO471" s="17"/>
      <c r="AP471" s="17"/>
      <c r="AQ471" s="17"/>
      <c r="AR471" s="17"/>
      <c r="AS471" s="17"/>
      <c r="AT471" s="17"/>
    </row>
    <row r="472" spans="1:46" x14ac:dyDescent="0.25">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17"/>
      <c r="AB472" s="17"/>
      <c r="AC472" s="17"/>
      <c r="AD472" s="17"/>
      <c r="AE472" s="17"/>
      <c r="AF472" s="17"/>
      <c r="AG472" s="17"/>
      <c r="AH472" s="17"/>
      <c r="AI472" s="17"/>
      <c r="AJ472" s="17"/>
      <c r="AK472" s="17"/>
      <c r="AL472" s="17"/>
      <c r="AM472" s="17"/>
      <c r="AN472" s="17"/>
      <c r="AO472" s="17"/>
      <c r="AP472" s="17"/>
      <c r="AQ472" s="17"/>
      <c r="AR472" s="17"/>
      <c r="AS472" s="17"/>
      <c r="AT472" s="17"/>
    </row>
    <row r="473" spans="1:46" x14ac:dyDescent="0.25">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7"/>
      <c r="AI473" s="17"/>
      <c r="AJ473" s="17"/>
      <c r="AK473" s="17"/>
      <c r="AL473" s="17"/>
      <c r="AM473" s="17"/>
      <c r="AN473" s="17"/>
      <c r="AO473" s="17"/>
      <c r="AP473" s="17"/>
      <c r="AQ473" s="17"/>
      <c r="AR473" s="17"/>
      <c r="AS473" s="17"/>
      <c r="AT473" s="17"/>
    </row>
    <row r="474" spans="1:46" x14ac:dyDescent="0.25">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17"/>
      <c r="AB474" s="17"/>
      <c r="AC474" s="17"/>
      <c r="AD474" s="17"/>
      <c r="AE474" s="17"/>
      <c r="AF474" s="17"/>
      <c r="AG474" s="17"/>
      <c r="AH474" s="17"/>
      <c r="AI474" s="17"/>
      <c r="AJ474" s="17"/>
      <c r="AK474" s="17"/>
      <c r="AL474" s="17"/>
      <c r="AM474" s="17"/>
      <c r="AN474" s="17"/>
      <c r="AO474" s="17"/>
      <c r="AP474" s="17"/>
      <c r="AQ474" s="17"/>
      <c r="AR474" s="17"/>
      <c r="AS474" s="17"/>
      <c r="AT474" s="17"/>
    </row>
    <row r="475" spans="1:46" x14ac:dyDescent="0.25">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17"/>
      <c r="AB475" s="17"/>
      <c r="AC475" s="17"/>
      <c r="AD475" s="17"/>
      <c r="AE475" s="17"/>
      <c r="AF475" s="17"/>
      <c r="AG475" s="17"/>
      <c r="AH475" s="17"/>
      <c r="AI475" s="17"/>
      <c r="AJ475" s="17"/>
      <c r="AK475" s="17"/>
      <c r="AL475" s="17"/>
      <c r="AM475" s="17"/>
      <c r="AN475" s="17"/>
      <c r="AO475" s="17"/>
      <c r="AP475" s="17"/>
      <c r="AQ475" s="17"/>
      <c r="AR475" s="17"/>
      <c r="AS475" s="17"/>
      <c r="AT475" s="17"/>
    </row>
    <row r="476" spans="1:46" x14ac:dyDescent="0.25">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17"/>
      <c r="AB476" s="17"/>
      <c r="AC476" s="17"/>
      <c r="AD476" s="17"/>
      <c r="AE476" s="17"/>
      <c r="AF476" s="17"/>
      <c r="AG476" s="17"/>
      <c r="AH476" s="17"/>
      <c r="AI476" s="17"/>
      <c r="AJ476" s="17"/>
      <c r="AK476" s="17"/>
      <c r="AL476" s="17"/>
      <c r="AM476" s="17"/>
      <c r="AN476" s="17"/>
      <c r="AO476" s="17"/>
      <c r="AP476" s="17"/>
      <c r="AQ476" s="17"/>
      <c r="AR476" s="17"/>
      <c r="AS476" s="17"/>
      <c r="AT476" s="17"/>
    </row>
    <row r="477" spans="1:46" x14ac:dyDescent="0.25">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17"/>
      <c r="AB477" s="17"/>
      <c r="AC477" s="17"/>
      <c r="AD477" s="17"/>
      <c r="AE477" s="17"/>
      <c r="AF477" s="17"/>
      <c r="AG477" s="17"/>
      <c r="AH477" s="17"/>
      <c r="AI477" s="17"/>
      <c r="AJ477" s="17"/>
      <c r="AK477" s="17"/>
      <c r="AL477" s="17"/>
      <c r="AM477" s="17"/>
      <c r="AN477" s="17"/>
      <c r="AO477" s="17"/>
      <c r="AP477" s="17"/>
      <c r="AQ477" s="17"/>
      <c r="AR477" s="17"/>
      <c r="AS477" s="17"/>
      <c r="AT477" s="17"/>
    </row>
    <row r="478" spans="1:46" x14ac:dyDescent="0.25">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17"/>
      <c r="AB478" s="17"/>
      <c r="AC478" s="17"/>
      <c r="AD478" s="17"/>
      <c r="AE478" s="17"/>
      <c r="AF478" s="17"/>
      <c r="AG478" s="17"/>
      <c r="AH478" s="17"/>
      <c r="AI478" s="17"/>
      <c r="AJ478" s="17"/>
      <c r="AK478" s="17"/>
      <c r="AL478" s="17"/>
      <c r="AM478" s="17"/>
      <c r="AN478" s="17"/>
      <c r="AO478" s="17"/>
      <c r="AP478" s="17"/>
      <c r="AQ478" s="17"/>
      <c r="AR478" s="17"/>
      <c r="AS478" s="17"/>
      <c r="AT478" s="17"/>
    </row>
    <row r="479" spans="1:46" x14ac:dyDescent="0.25">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7"/>
      <c r="AI479" s="17"/>
      <c r="AJ479" s="17"/>
      <c r="AK479" s="17"/>
      <c r="AL479" s="17"/>
      <c r="AM479" s="17"/>
      <c r="AN479" s="17"/>
      <c r="AO479" s="17"/>
      <c r="AP479" s="17"/>
      <c r="AQ479" s="17"/>
      <c r="AR479" s="17"/>
      <c r="AS479" s="17"/>
      <c r="AT479" s="17"/>
    </row>
    <row r="480" spans="1:46" x14ac:dyDescent="0.25">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17"/>
      <c r="AB480" s="17"/>
      <c r="AC480" s="17"/>
      <c r="AD480" s="17"/>
      <c r="AE480" s="17"/>
      <c r="AF480" s="17"/>
      <c r="AG480" s="17"/>
      <c r="AH480" s="17"/>
      <c r="AI480" s="17"/>
      <c r="AJ480" s="17"/>
      <c r="AK480" s="17"/>
      <c r="AL480" s="17"/>
      <c r="AM480" s="17"/>
      <c r="AN480" s="17"/>
      <c r="AO480" s="17"/>
      <c r="AP480" s="17"/>
      <c r="AQ480" s="17"/>
      <c r="AR480" s="17"/>
      <c r="AS480" s="17"/>
      <c r="AT480" s="17"/>
    </row>
    <row r="481" spans="1:46" x14ac:dyDescent="0.25">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17"/>
      <c r="AB481" s="17"/>
      <c r="AC481" s="17"/>
      <c r="AD481" s="17"/>
      <c r="AE481" s="17"/>
      <c r="AF481" s="17"/>
      <c r="AG481" s="17"/>
      <c r="AH481" s="17"/>
      <c r="AI481" s="17"/>
      <c r="AJ481" s="17"/>
      <c r="AK481" s="17"/>
      <c r="AL481" s="17"/>
      <c r="AM481" s="17"/>
      <c r="AN481" s="17"/>
      <c r="AO481" s="17"/>
      <c r="AP481" s="17"/>
      <c r="AQ481" s="17"/>
      <c r="AR481" s="17"/>
      <c r="AS481" s="17"/>
      <c r="AT481" s="17"/>
    </row>
    <row r="482" spans="1:46" x14ac:dyDescent="0.25">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17"/>
      <c r="AB482" s="17"/>
      <c r="AC482" s="17"/>
      <c r="AD482" s="17"/>
      <c r="AE482" s="17"/>
      <c r="AF482" s="17"/>
      <c r="AG482" s="17"/>
      <c r="AH482" s="17"/>
      <c r="AI482" s="17"/>
      <c r="AJ482" s="17"/>
      <c r="AK482" s="17"/>
      <c r="AL482" s="17"/>
      <c r="AM482" s="17"/>
      <c r="AN482" s="17"/>
      <c r="AO482" s="17"/>
      <c r="AP482" s="17"/>
      <c r="AQ482" s="17"/>
      <c r="AR482" s="17"/>
      <c r="AS482" s="17"/>
      <c r="AT482" s="17"/>
    </row>
    <row r="483" spans="1:46" x14ac:dyDescent="0.25">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17"/>
      <c r="AB483" s="17"/>
      <c r="AC483" s="17"/>
      <c r="AD483" s="17"/>
      <c r="AE483" s="17"/>
      <c r="AF483" s="17"/>
      <c r="AG483" s="17"/>
      <c r="AH483" s="17"/>
      <c r="AI483" s="17"/>
      <c r="AJ483" s="17"/>
      <c r="AK483" s="17"/>
      <c r="AL483" s="17"/>
      <c r="AM483" s="17"/>
      <c r="AN483" s="17"/>
      <c r="AO483" s="17"/>
      <c r="AP483" s="17"/>
      <c r="AQ483" s="17"/>
      <c r="AR483" s="17"/>
      <c r="AS483" s="17"/>
      <c r="AT483" s="17"/>
    </row>
    <row r="484" spans="1:46" x14ac:dyDescent="0.25">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c r="AT484" s="17"/>
    </row>
    <row r="485" spans="1:46" x14ac:dyDescent="0.25">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7"/>
      <c r="AI485" s="17"/>
      <c r="AJ485" s="17"/>
      <c r="AK485" s="17"/>
      <c r="AL485" s="17"/>
      <c r="AM485" s="17"/>
      <c r="AN485" s="17"/>
      <c r="AO485" s="17"/>
      <c r="AP485" s="17"/>
      <c r="AQ485" s="17"/>
      <c r="AR485" s="17"/>
      <c r="AS485" s="17"/>
      <c r="AT485" s="17"/>
    </row>
    <row r="486" spans="1:46" x14ac:dyDescent="0.25">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17"/>
      <c r="AB486" s="17"/>
      <c r="AC486" s="17"/>
      <c r="AD486" s="17"/>
      <c r="AE486" s="17"/>
      <c r="AF486" s="17"/>
      <c r="AG486" s="17"/>
      <c r="AH486" s="17"/>
      <c r="AI486" s="17"/>
      <c r="AJ486" s="17"/>
      <c r="AK486" s="17"/>
      <c r="AL486" s="17"/>
      <c r="AM486" s="17"/>
      <c r="AN486" s="17"/>
      <c r="AO486" s="17"/>
      <c r="AP486" s="17"/>
      <c r="AQ486" s="17"/>
      <c r="AR486" s="17"/>
      <c r="AS486" s="17"/>
      <c r="AT486" s="17"/>
    </row>
    <row r="487" spans="1:46" x14ac:dyDescent="0.25">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17"/>
      <c r="AB487" s="17"/>
      <c r="AC487" s="17"/>
      <c r="AD487" s="17"/>
      <c r="AE487" s="17"/>
      <c r="AF487" s="17"/>
      <c r="AG487" s="17"/>
      <c r="AH487" s="17"/>
      <c r="AI487" s="17"/>
      <c r="AJ487" s="17"/>
      <c r="AK487" s="17"/>
      <c r="AL487" s="17"/>
      <c r="AM487" s="17"/>
      <c r="AN487" s="17"/>
      <c r="AO487" s="17"/>
      <c r="AP487" s="17"/>
      <c r="AQ487" s="17"/>
      <c r="AR487" s="17"/>
      <c r="AS487" s="17"/>
      <c r="AT487" s="17"/>
    </row>
    <row r="488" spans="1:46" x14ac:dyDescent="0.25">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7"/>
      <c r="AI488" s="17"/>
      <c r="AJ488" s="17"/>
      <c r="AK488" s="17"/>
      <c r="AL488" s="17"/>
      <c r="AM488" s="17"/>
      <c r="AN488" s="17"/>
      <c r="AO488" s="17"/>
      <c r="AP488" s="17"/>
      <c r="AQ488" s="17"/>
      <c r="AR488" s="17"/>
      <c r="AS488" s="17"/>
      <c r="AT488" s="17"/>
    </row>
    <row r="489" spans="1:46" x14ac:dyDescent="0.25">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17"/>
      <c r="AB489" s="17"/>
      <c r="AC489" s="17"/>
      <c r="AD489" s="17"/>
      <c r="AE489" s="17"/>
      <c r="AF489" s="17"/>
      <c r="AG489" s="17"/>
      <c r="AH489" s="17"/>
      <c r="AI489" s="17"/>
      <c r="AJ489" s="17"/>
      <c r="AK489" s="17"/>
      <c r="AL489" s="17"/>
      <c r="AM489" s="17"/>
      <c r="AN489" s="17"/>
      <c r="AO489" s="17"/>
      <c r="AP489" s="17"/>
      <c r="AQ489" s="17"/>
      <c r="AR489" s="17"/>
      <c r="AS489" s="17"/>
      <c r="AT489" s="17"/>
    </row>
    <row r="490" spans="1:46" x14ac:dyDescent="0.25">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17"/>
      <c r="AB490" s="17"/>
      <c r="AC490" s="17"/>
      <c r="AD490" s="17"/>
      <c r="AE490" s="17"/>
      <c r="AF490" s="17"/>
      <c r="AG490" s="17"/>
      <c r="AH490" s="17"/>
      <c r="AI490" s="17"/>
      <c r="AJ490" s="17"/>
      <c r="AK490" s="17"/>
      <c r="AL490" s="17"/>
      <c r="AM490" s="17"/>
      <c r="AN490" s="17"/>
      <c r="AO490" s="17"/>
      <c r="AP490" s="17"/>
      <c r="AQ490" s="17"/>
      <c r="AR490" s="17"/>
      <c r="AS490" s="17"/>
      <c r="AT490" s="17"/>
    </row>
    <row r="491" spans="1:46" x14ac:dyDescent="0.25">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7"/>
      <c r="AI491" s="17"/>
      <c r="AJ491" s="17"/>
      <c r="AK491" s="17"/>
      <c r="AL491" s="17"/>
      <c r="AM491" s="17"/>
      <c r="AN491" s="17"/>
      <c r="AO491" s="17"/>
      <c r="AP491" s="17"/>
      <c r="AQ491" s="17"/>
      <c r="AR491" s="17"/>
      <c r="AS491" s="17"/>
      <c r="AT491" s="17"/>
    </row>
    <row r="492" spans="1:46" x14ac:dyDescent="0.25">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17"/>
      <c r="AB492" s="17"/>
      <c r="AC492" s="17"/>
      <c r="AD492" s="17"/>
      <c r="AE492" s="17"/>
      <c r="AF492" s="17"/>
      <c r="AG492" s="17"/>
      <c r="AH492" s="17"/>
      <c r="AI492" s="17"/>
      <c r="AJ492" s="17"/>
      <c r="AK492" s="17"/>
      <c r="AL492" s="17"/>
      <c r="AM492" s="17"/>
      <c r="AN492" s="17"/>
      <c r="AO492" s="17"/>
      <c r="AP492" s="17"/>
      <c r="AQ492" s="17"/>
      <c r="AR492" s="17"/>
      <c r="AS492" s="17"/>
      <c r="AT492" s="17"/>
    </row>
    <row r="493" spans="1:46" x14ac:dyDescent="0.25">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17"/>
      <c r="AB493" s="17"/>
      <c r="AC493" s="17"/>
      <c r="AD493" s="17"/>
      <c r="AE493" s="17"/>
      <c r="AF493" s="17"/>
      <c r="AG493" s="17"/>
      <c r="AH493" s="17"/>
      <c r="AI493" s="17"/>
      <c r="AJ493" s="17"/>
      <c r="AK493" s="17"/>
      <c r="AL493" s="17"/>
      <c r="AM493" s="17"/>
      <c r="AN493" s="17"/>
      <c r="AO493" s="17"/>
      <c r="AP493" s="17"/>
      <c r="AQ493" s="17"/>
      <c r="AR493" s="17"/>
      <c r="AS493" s="17"/>
      <c r="AT493" s="17"/>
    </row>
    <row r="494" spans="1:46" x14ac:dyDescent="0.25">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17"/>
      <c r="AB494" s="17"/>
      <c r="AC494" s="17"/>
      <c r="AD494" s="17"/>
      <c r="AE494" s="17"/>
      <c r="AF494" s="17"/>
      <c r="AG494" s="17"/>
      <c r="AH494" s="17"/>
      <c r="AI494" s="17"/>
      <c r="AJ494" s="17"/>
      <c r="AK494" s="17"/>
      <c r="AL494" s="17"/>
      <c r="AM494" s="17"/>
      <c r="AN494" s="17"/>
      <c r="AO494" s="17"/>
      <c r="AP494" s="17"/>
      <c r="AQ494" s="17"/>
      <c r="AR494" s="17"/>
      <c r="AS494" s="17"/>
      <c r="AT494" s="17"/>
    </row>
    <row r="495" spans="1:46" x14ac:dyDescent="0.25">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17"/>
      <c r="AB495" s="17"/>
      <c r="AC495" s="17"/>
      <c r="AD495" s="17"/>
      <c r="AE495" s="17"/>
      <c r="AF495" s="17"/>
      <c r="AG495" s="17"/>
      <c r="AH495" s="17"/>
      <c r="AI495" s="17"/>
      <c r="AJ495" s="17"/>
      <c r="AK495" s="17"/>
      <c r="AL495" s="17"/>
      <c r="AM495" s="17"/>
      <c r="AN495" s="17"/>
      <c r="AO495" s="17"/>
      <c r="AP495" s="17"/>
      <c r="AQ495" s="17"/>
      <c r="AR495" s="17"/>
      <c r="AS495" s="17"/>
      <c r="AT495" s="17"/>
    </row>
    <row r="496" spans="1:46" x14ac:dyDescent="0.25">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17"/>
      <c r="AB496" s="17"/>
      <c r="AC496" s="17"/>
      <c r="AD496" s="17"/>
      <c r="AE496" s="17"/>
      <c r="AF496" s="17"/>
      <c r="AG496" s="17"/>
      <c r="AH496" s="17"/>
      <c r="AI496" s="17"/>
      <c r="AJ496" s="17"/>
      <c r="AK496" s="17"/>
      <c r="AL496" s="17"/>
      <c r="AM496" s="17"/>
      <c r="AN496" s="17"/>
      <c r="AO496" s="17"/>
      <c r="AP496" s="17"/>
      <c r="AQ496" s="17"/>
      <c r="AR496" s="17"/>
      <c r="AS496" s="17"/>
      <c r="AT496" s="17"/>
    </row>
    <row r="497" spans="1:46" x14ac:dyDescent="0.25">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7"/>
      <c r="AI497" s="17"/>
      <c r="AJ497" s="17"/>
      <c r="AK497" s="17"/>
      <c r="AL497" s="17"/>
      <c r="AM497" s="17"/>
      <c r="AN497" s="17"/>
      <c r="AO497" s="17"/>
      <c r="AP497" s="17"/>
      <c r="AQ497" s="17"/>
      <c r="AR497" s="17"/>
      <c r="AS497" s="17"/>
      <c r="AT497" s="17"/>
    </row>
    <row r="498" spans="1:46" x14ac:dyDescent="0.25">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17"/>
      <c r="AB498" s="17"/>
      <c r="AC498" s="17"/>
      <c r="AD498" s="17"/>
      <c r="AE498" s="17"/>
      <c r="AF498" s="17"/>
      <c r="AG498" s="17"/>
      <c r="AH498" s="17"/>
      <c r="AI498" s="17"/>
      <c r="AJ498" s="17"/>
      <c r="AK498" s="17"/>
      <c r="AL498" s="17"/>
      <c r="AM498" s="17"/>
      <c r="AN498" s="17"/>
      <c r="AO498" s="17"/>
      <c r="AP498" s="17"/>
      <c r="AQ498" s="17"/>
      <c r="AR498" s="17"/>
      <c r="AS498" s="17"/>
      <c r="AT498" s="17"/>
    </row>
    <row r="499" spans="1:46" x14ac:dyDescent="0.25">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17"/>
      <c r="AB499" s="17"/>
      <c r="AC499" s="17"/>
      <c r="AD499" s="17"/>
      <c r="AE499" s="17"/>
      <c r="AF499" s="17"/>
      <c r="AG499" s="17"/>
      <c r="AH499" s="17"/>
      <c r="AI499" s="17"/>
      <c r="AJ499" s="17"/>
      <c r="AK499" s="17"/>
      <c r="AL499" s="17"/>
      <c r="AM499" s="17"/>
      <c r="AN499" s="17"/>
      <c r="AO499" s="17"/>
      <c r="AP499" s="17"/>
      <c r="AQ499" s="17"/>
      <c r="AR499" s="17"/>
      <c r="AS499" s="17"/>
      <c r="AT499" s="17"/>
    </row>
    <row r="500" spans="1:46" x14ac:dyDescent="0.25">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17"/>
      <c r="AB500" s="17"/>
      <c r="AC500" s="17"/>
      <c r="AD500" s="17"/>
      <c r="AE500" s="17"/>
      <c r="AF500" s="17"/>
      <c r="AG500" s="17"/>
      <c r="AH500" s="17"/>
      <c r="AI500" s="17"/>
      <c r="AJ500" s="17"/>
      <c r="AK500" s="17"/>
      <c r="AL500" s="17"/>
      <c r="AM500" s="17"/>
      <c r="AN500" s="17"/>
      <c r="AO500" s="17"/>
      <c r="AP500" s="17"/>
      <c r="AQ500" s="17"/>
      <c r="AR500" s="17"/>
      <c r="AS500" s="17"/>
      <c r="AT500" s="17"/>
    </row>
    <row r="501" spans="1:46" x14ac:dyDescent="0.25">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17"/>
      <c r="AB501" s="17"/>
      <c r="AC501" s="17"/>
      <c r="AD501" s="17"/>
      <c r="AE501" s="17"/>
      <c r="AF501" s="17"/>
      <c r="AG501" s="17"/>
      <c r="AH501" s="17"/>
      <c r="AI501" s="17"/>
      <c r="AJ501" s="17"/>
      <c r="AK501" s="17"/>
      <c r="AL501" s="17"/>
      <c r="AM501" s="17"/>
      <c r="AN501" s="17"/>
      <c r="AO501" s="17"/>
      <c r="AP501" s="17"/>
      <c r="AQ501" s="17"/>
      <c r="AR501" s="17"/>
      <c r="AS501" s="17"/>
      <c r="AT501" s="17"/>
    </row>
    <row r="502" spans="1:46" x14ac:dyDescent="0.25">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17"/>
      <c r="AB502" s="17"/>
      <c r="AC502" s="17"/>
      <c r="AD502" s="17"/>
      <c r="AE502" s="17"/>
      <c r="AF502" s="17"/>
      <c r="AG502" s="17"/>
      <c r="AH502" s="17"/>
      <c r="AI502" s="17"/>
      <c r="AJ502" s="17"/>
      <c r="AK502" s="17"/>
      <c r="AL502" s="17"/>
      <c r="AM502" s="17"/>
      <c r="AN502" s="17"/>
      <c r="AO502" s="17"/>
      <c r="AP502" s="17"/>
      <c r="AQ502" s="17"/>
      <c r="AR502" s="17"/>
      <c r="AS502" s="17"/>
      <c r="AT502" s="17"/>
    </row>
    <row r="503" spans="1:46" x14ac:dyDescent="0.25">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7"/>
      <c r="AI503" s="17"/>
      <c r="AJ503" s="17"/>
      <c r="AK503" s="17"/>
      <c r="AL503" s="17"/>
      <c r="AM503" s="17"/>
      <c r="AN503" s="17"/>
      <c r="AO503" s="17"/>
      <c r="AP503" s="17"/>
      <c r="AQ503" s="17"/>
      <c r="AR503" s="17"/>
      <c r="AS503" s="17"/>
      <c r="AT503" s="17"/>
    </row>
    <row r="504" spans="1:46" x14ac:dyDescent="0.25">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row>
    <row r="505" spans="1:46" x14ac:dyDescent="0.25">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17"/>
      <c r="AB505" s="17"/>
      <c r="AC505" s="17"/>
      <c r="AD505" s="17"/>
      <c r="AE505" s="17"/>
      <c r="AF505" s="17"/>
      <c r="AG505" s="17"/>
      <c r="AH505" s="17"/>
      <c r="AI505" s="17"/>
      <c r="AJ505" s="17"/>
      <c r="AK505" s="17"/>
      <c r="AL505" s="17"/>
      <c r="AM505" s="17"/>
      <c r="AN505" s="17"/>
      <c r="AO505" s="17"/>
      <c r="AP505" s="17"/>
      <c r="AQ505" s="17"/>
      <c r="AR505" s="17"/>
      <c r="AS505" s="17"/>
      <c r="AT505" s="17"/>
    </row>
    <row r="506" spans="1:46" x14ac:dyDescent="0.25">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17"/>
      <c r="AB506" s="17"/>
      <c r="AC506" s="17"/>
      <c r="AD506" s="17"/>
      <c r="AE506" s="17"/>
      <c r="AF506" s="17"/>
      <c r="AG506" s="17"/>
      <c r="AH506" s="17"/>
      <c r="AI506" s="17"/>
      <c r="AJ506" s="17"/>
      <c r="AK506" s="17"/>
      <c r="AL506" s="17"/>
      <c r="AM506" s="17"/>
      <c r="AN506" s="17"/>
      <c r="AO506" s="17"/>
      <c r="AP506" s="17"/>
      <c r="AQ506" s="17"/>
      <c r="AR506" s="17"/>
      <c r="AS506" s="17"/>
      <c r="AT506" s="17"/>
    </row>
    <row r="507" spans="1:46" x14ac:dyDescent="0.25">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17"/>
      <c r="AB507" s="17"/>
      <c r="AC507" s="17"/>
      <c r="AD507" s="17"/>
      <c r="AE507" s="17"/>
      <c r="AF507" s="17"/>
      <c r="AG507" s="17"/>
      <c r="AH507" s="17"/>
      <c r="AI507" s="17"/>
      <c r="AJ507" s="17"/>
      <c r="AK507" s="17"/>
      <c r="AL507" s="17"/>
      <c r="AM507" s="17"/>
      <c r="AN507" s="17"/>
      <c r="AO507" s="17"/>
      <c r="AP507" s="17"/>
      <c r="AQ507" s="17"/>
      <c r="AR507" s="17"/>
      <c r="AS507" s="17"/>
      <c r="AT507" s="17"/>
    </row>
    <row r="508" spans="1:46" x14ac:dyDescent="0.25">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17"/>
      <c r="AB508" s="17"/>
      <c r="AC508" s="17"/>
      <c r="AD508" s="17"/>
      <c r="AE508" s="17"/>
      <c r="AF508" s="17"/>
      <c r="AG508" s="17"/>
      <c r="AH508" s="17"/>
      <c r="AI508" s="17"/>
      <c r="AJ508" s="17"/>
      <c r="AK508" s="17"/>
      <c r="AL508" s="17"/>
      <c r="AM508" s="17"/>
      <c r="AN508" s="17"/>
      <c r="AO508" s="17"/>
      <c r="AP508" s="17"/>
      <c r="AQ508" s="17"/>
      <c r="AR508" s="17"/>
      <c r="AS508" s="17"/>
      <c r="AT508" s="17"/>
    </row>
    <row r="509" spans="1:46" x14ac:dyDescent="0.25">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7"/>
      <c r="AI509" s="17"/>
      <c r="AJ509" s="17"/>
      <c r="AK509" s="17"/>
      <c r="AL509" s="17"/>
      <c r="AM509" s="17"/>
      <c r="AN509" s="17"/>
      <c r="AO509" s="17"/>
      <c r="AP509" s="17"/>
      <c r="AQ509" s="17"/>
      <c r="AR509" s="17"/>
      <c r="AS509" s="17"/>
      <c r="AT509" s="17"/>
    </row>
    <row r="510" spans="1:46" x14ac:dyDescent="0.25">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17"/>
      <c r="AB510" s="17"/>
      <c r="AC510" s="17"/>
      <c r="AD510" s="17"/>
      <c r="AE510" s="17"/>
      <c r="AF510" s="17"/>
      <c r="AG510" s="17"/>
      <c r="AH510" s="17"/>
      <c r="AI510" s="17"/>
      <c r="AJ510" s="17"/>
      <c r="AK510" s="17"/>
      <c r="AL510" s="17"/>
      <c r="AM510" s="17"/>
      <c r="AN510" s="17"/>
      <c r="AO510" s="17"/>
      <c r="AP510" s="17"/>
      <c r="AQ510" s="17"/>
      <c r="AR510" s="17"/>
      <c r="AS510" s="17"/>
      <c r="AT510" s="17"/>
    </row>
    <row r="511" spans="1:46" x14ac:dyDescent="0.25">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17"/>
      <c r="AB511" s="17"/>
      <c r="AC511" s="17"/>
      <c r="AD511" s="17"/>
      <c r="AE511" s="17"/>
      <c r="AF511" s="17"/>
      <c r="AG511" s="17"/>
      <c r="AH511" s="17"/>
      <c r="AI511" s="17"/>
      <c r="AJ511" s="17"/>
      <c r="AK511" s="17"/>
      <c r="AL511" s="17"/>
      <c r="AM511" s="17"/>
      <c r="AN511" s="17"/>
      <c r="AO511" s="17"/>
      <c r="AP511" s="17"/>
      <c r="AQ511" s="17"/>
      <c r="AR511" s="17"/>
      <c r="AS511" s="17"/>
      <c r="AT511" s="17"/>
    </row>
    <row r="512" spans="1:46" x14ac:dyDescent="0.25">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17"/>
      <c r="AB512" s="17"/>
      <c r="AC512" s="17"/>
      <c r="AD512" s="17"/>
      <c r="AE512" s="17"/>
      <c r="AF512" s="17"/>
      <c r="AG512" s="17"/>
      <c r="AH512" s="17"/>
      <c r="AI512" s="17"/>
      <c r="AJ512" s="17"/>
      <c r="AK512" s="17"/>
      <c r="AL512" s="17"/>
      <c r="AM512" s="17"/>
      <c r="AN512" s="17"/>
      <c r="AO512" s="17"/>
      <c r="AP512" s="17"/>
      <c r="AQ512" s="17"/>
      <c r="AR512" s="17"/>
      <c r="AS512" s="17"/>
      <c r="AT512" s="17"/>
    </row>
    <row r="513" spans="1:46" x14ac:dyDescent="0.25">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row>
    <row r="514" spans="1:46" x14ac:dyDescent="0.25">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17"/>
      <c r="AB514" s="17"/>
      <c r="AC514" s="17"/>
      <c r="AD514" s="17"/>
      <c r="AE514" s="17"/>
      <c r="AF514" s="17"/>
      <c r="AG514" s="17"/>
      <c r="AH514" s="17"/>
      <c r="AI514" s="17"/>
      <c r="AJ514" s="17"/>
      <c r="AK514" s="17"/>
      <c r="AL514" s="17"/>
      <c r="AM514" s="17"/>
      <c r="AN514" s="17"/>
      <c r="AO514" s="17"/>
      <c r="AP514" s="17"/>
      <c r="AQ514" s="17"/>
      <c r="AR514" s="17"/>
      <c r="AS514" s="17"/>
      <c r="AT514" s="17"/>
    </row>
    <row r="515" spans="1:46" x14ac:dyDescent="0.25">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7"/>
      <c r="AI515" s="17"/>
      <c r="AJ515" s="17"/>
      <c r="AK515" s="17"/>
      <c r="AL515" s="17"/>
      <c r="AM515" s="17"/>
      <c r="AN515" s="17"/>
      <c r="AO515" s="17"/>
      <c r="AP515" s="17"/>
      <c r="AQ515" s="17"/>
      <c r="AR515" s="17"/>
      <c r="AS515" s="17"/>
      <c r="AT515" s="17"/>
    </row>
    <row r="516" spans="1:46" x14ac:dyDescent="0.25">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17"/>
      <c r="AB516" s="17"/>
      <c r="AC516" s="17"/>
      <c r="AD516" s="17"/>
      <c r="AE516" s="17"/>
      <c r="AF516" s="17"/>
      <c r="AG516" s="17"/>
      <c r="AH516" s="17"/>
      <c r="AI516" s="17"/>
      <c r="AJ516" s="17"/>
      <c r="AK516" s="17"/>
      <c r="AL516" s="17"/>
      <c r="AM516" s="17"/>
      <c r="AN516" s="17"/>
      <c r="AO516" s="17"/>
      <c r="AP516" s="17"/>
      <c r="AQ516" s="17"/>
      <c r="AR516" s="17"/>
      <c r="AS516" s="17"/>
      <c r="AT516" s="17"/>
    </row>
    <row r="517" spans="1:46" x14ac:dyDescent="0.25">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17"/>
      <c r="AB517" s="17"/>
      <c r="AC517" s="17"/>
      <c r="AD517" s="17"/>
      <c r="AE517" s="17"/>
      <c r="AF517" s="17"/>
      <c r="AG517" s="17"/>
      <c r="AH517" s="17"/>
      <c r="AI517" s="17"/>
      <c r="AJ517" s="17"/>
      <c r="AK517" s="17"/>
      <c r="AL517" s="17"/>
      <c r="AM517" s="17"/>
      <c r="AN517" s="17"/>
      <c r="AO517" s="17"/>
      <c r="AP517" s="17"/>
      <c r="AQ517" s="17"/>
      <c r="AR517" s="17"/>
      <c r="AS517" s="17"/>
      <c r="AT517" s="17"/>
    </row>
    <row r="518" spans="1:46" x14ac:dyDescent="0.25">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17"/>
      <c r="AB518" s="17"/>
      <c r="AC518" s="17"/>
      <c r="AD518" s="17"/>
      <c r="AE518" s="17"/>
      <c r="AF518" s="17"/>
      <c r="AG518" s="17"/>
      <c r="AH518" s="17"/>
      <c r="AI518" s="17"/>
      <c r="AJ518" s="17"/>
      <c r="AK518" s="17"/>
      <c r="AL518" s="17"/>
      <c r="AM518" s="17"/>
      <c r="AN518" s="17"/>
      <c r="AO518" s="17"/>
      <c r="AP518" s="17"/>
      <c r="AQ518" s="17"/>
      <c r="AR518" s="17"/>
      <c r="AS518" s="17"/>
      <c r="AT518" s="17"/>
    </row>
    <row r="519" spans="1:46" x14ac:dyDescent="0.25">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17"/>
      <c r="AB519" s="17"/>
      <c r="AC519" s="17"/>
      <c r="AD519" s="17"/>
      <c r="AE519" s="17"/>
      <c r="AF519" s="17"/>
      <c r="AG519" s="17"/>
      <c r="AH519" s="17"/>
      <c r="AI519" s="17"/>
      <c r="AJ519" s="17"/>
      <c r="AK519" s="17"/>
      <c r="AL519" s="17"/>
      <c r="AM519" s="17"/>
      <c r="AN519" s="17"/>
      <c r="AO519" s="17"/>
      <c r="AP519" s="17"/>
      <c r="AQ519" s="17"/>
      <c r="AR519" s="17"/>
      <c r="AS519" s="17"/>
      <c r="AT519" s="17"/>
    </row>
    <row r="520" spans="1:46" x14ac:dyDescent="0.25">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17"/>
      <c r="AB520" s="17"/>
      <c r="AC520" s="17"/>
      <c r="AD520" s="17"/>
      <c r="AE520" s="17"/>
      <c r="AF520" s="17"/>
      <c r="AG520" s="17"/>
      <c r="AH520" s="17"/>
      <c r="AI520" s="17"/>
      <c r="AJ520" s="17"/>
      <c r="AK520" s="17"/>
      <c r="AL520" s="17"/>
      <c r="AM520" s="17"/>
      <c r="AN520" s="17"/>
      <c r="AO520" s="17"/>
      <c r="AP520" s="17"/>
      <c r="AQ520" s="17"/>
      <c r="AR520" s="17"/>
      <c r="AS520" s="17"/>
      <c r="AT520" s="17"/>
    </row>
    <row r="521" spans="1:46" x14ac:dyDescent="0.25">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7"/>
      <c r="AI521" s="17"/>
      <c r="AJ521" s="17"/>
      <c r="AK521" s="17"/>
      <c r="AL521" s="17"/>
      <c r="AM521" s="17"/>
      <c r="AN521" s="17"/>
      <c r="AO521" s="17"/>
      <c r="AP521" s="17"/>
      <c r="AQ521" s="17"/>
      <c r="AR521" s="17"/>
      <c r="AS521" s="17"/>
      <c r="AT521" s="17"/>
    </row>
    <row r="522" spans="1:46" x14ac:dyDescent="0.25">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17"/>
      <c r="AB522" s="17"/>
      <c r="AC522" s="17"/>
      <c r="AD522" s="17"/>
      <c r="AE522" s="17"/>
      <c r="AF522" s="17"/>
      <c r="AG522" s="17"/>
      <c r="AH522" s="17"/>
      <c r="AI522" s="17"/>
      <c r="AJ522" s="17"/>
      <c r="AK522" s="17"/>
      <c r="AL522" s="17"/>
      <c r="AM522" s="17"/>
      <c r="AN522" s="17"/>
      <c r="AO522" s="17"/>
      <c r="AP522" s="17"/>
      <c r="AQ522" s="17"/>
      <c r="AR522" s="17"/>
      <c r="AS522" s="17"/>
      <c r="AT522" s="17"/>
    </row>
    <row r="523" spans="1:46" x14ac:dyDescent="0.25">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17"/>
      <c r="AB523" s="17"/>
      <c r="AC523" s="17"/>
      <c r="AD523" s="17"/>
      <c r="AE523" s="17"/>
      <c r="AF523" s="17"/>
      <c r="AG523" s="17"/>
      <c r="AH523" s="17"/>
      <c r="AI523" s="17"/>
      <c r="AJ523" s="17"/>
      <c r="AK523" s="17"/>
      <c r="AL523" s="17"/>
      <c r="AM523" s="17"/>
      <c r="AN523" s="17"/>
      <c r="AO523" s="17"/>
      <c r="AP523" s="17"/>
      <c r="AQ523" s="17"/>
      <c r="AR523" s="17"/>
      <c r="AS523" s="17"/>
      <c r="AT523" s="17"/>
    </row>
    <row r="524" spans="1:46" x14ac:dyDescent="0.25">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17"/>
      <c r="AB524" s="17"/>
      <c r="AC524" s="17"/>
      <c r="AD524" s="17"/>
      <c r="AE524" s="17"/>
      <c r="AF524" s="17"/>
      <c r="AG524" s="17"/>
      <c r="AH524" s="17"/>
      <c r="AI524" s="17"/>
      <c r="AJ524" s="17"/>
      <c r="AK524" s="17"/>
      <c r="AL524" s="17"/>
      <c r="AM524" s="17"/>
      <c r="AN524" s="17"/>
      <c r="AO524" s="17"/>
      <c r="AP524" s="17"/>
      <c r="AQ524" s="17"/>
      <c r="AR524" s="17"/>
      <c r="AS524" s="17"/>
      <c r="AT524" s="17"/>
    </row>
    <row r="525" spans="1:46" x14ac:dyDescent="0.25">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17"/>
      <c r="AB525" s="17"/>
      <c r="AC525" s="17"/>
      <c r="AD525" s="17"/>
      <c r="AE525" s="17"/>
      <c r="AF525" s="17"/>
      <c r="AG525" s="17"/>
      <c r="AH525" s="17"/>
      <c r="AI525" s="17"/>
      <c r="AJ525" s="17"/>
      <c r="AK525" s="17"/>
      <c r="AL525" s="17"/>
      <c r="AM525" s="17"/>
      <c r="AN525" s="17"/>
      <c r="AO525" s="17"/>
      <c r="AP525" s="17"/>
      <c r="AQ525" s="17"/>
      <c r="AR525" s="17"/>
      <c r="AS525" s="17"/>
      <c r="AT525" s="17"/>
    </row>
    <row r="526" spans="1:46" x14ac:dyDescent="0.25">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17"/>
      <c r="AB526" s="17"/>
      <c r="AC526" s="17"/>
      <c r="AD526" s="17"/>
      <c r="AE526" s="17"/>
      <c r="AF526" s="17"/>
      <c r="AG526" s="17"/>
      <c r="AH526" s="17"/>
      <c r="AI526" s="17"/>
      <c r="AJ526" s="17"/>
      <c r="AK526" s="17"/>
      <c r="AL526" s="17"/>
      <c r="AM526" s="17"/>
      <c r="AN526" s="17"/>
      <c r="AO526" s="17"/>
      <c r="AP526" s="17"/>
      <c r="AQ526" s="17"/>
      <c r="AR526" s="17"/>
      <c r="AS526" s="17"/>
      <c r="AT526" s="17"/>
    </row>
    <row r="527" spans="1:46" x14ac:dyDescent="0.25">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7"/>
      <c r="AI527" s="17"/>
      <c r="AJ527" s="17"/>
      <c r="AK527" s="17"/>
      <c r="AL527" s="17"/>
      <c r="AM527" s="17"/>
      <c r="AN527" s="17"/>
      <c r="AO527" s="17"/>
      <c r="AP527" s="17"/>
      <c r="AQ527" s="17"/>
      <c r="AR527" s="17"/>
      <c r="AS527" s="17"/>
      <c r="AT527" s="17"/>
    </row>
    <row r="528" spans="1:46" x14ac:dyDescent="0.25">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17"/>
      <c r="AB528" s="17"/>
      <c r="AC528" s="17"/>
      <c r="AD528" s="17"/>
      <c r="AE528" s="17"/>
      <c r="AF528" s="17"/>
      <c r="AG528" s="17"/>
      <c r="AH528" s="17"/>
      <c r="AI528" s="17"/>
      <c r="AJ528" s="17"/>
      <c r="AK528" s="17"/>
      <c r="AL528" s="17"/>
      <c r="AM528" s="17"/>
      <c r="AN528" s="17"/>
      <c r="AO528" s="17"/>
      <c r="AP528" s="17"/>
      <c r="AQ528" s="17"/>
      <c r="AR528" s="17"/>
      <c r="AS528" s="17"/>
      <c r="AT528" s="17"/>
    </row>
    <row r="529" spans="1:46" x14ac:dyDescent="0.25">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17"/>
      <c r="AB529" s="17"/>
      <c r="AC529" s="17"/>
      <c r="AD529" s="17"/>
      <c r="AE529" s="17"/>
      <c r="AF529" s="17"/>
      <c r="AG529" s="17"/>
      <c r="AH529" s="17"/>
      <c r="AI529" s="17"/>
      <c r="AJ529" s="17"/>
      <c r="AK529" s="17"/>
      <c r="AL529" s="17"/>
      <c r="AM529" s="17"/>
      <c r="AN529" s="17"/>
      <c r="AO529" s="17"/>
      <c r="AP529" s="17"/>
      <c r="AQ529" s="17"/>
      <c r="AR529" s="17"/>
      <c r="AS529" s="17"/>
      <c r="AT529" s="17"/>
    </row>
    <row r="530" spans="1:46" x14ac:dyDescent="0.25">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17"/>
      <c r="AB530" s="17"/>
      <c r="AC530" s="17"/>
      <c r="AD530" s="17"/>
      <c r="AE530" s="17"/>
      <c r="AF530" s="17"/>
      <c r="AG530" s="17"/>
      <c r="AH530" s="17"/>
      <c r="AI530" s="17"/>
      <c r="AJ530" s="17"/>
      <c r="AK530" s="17"/>
      <c r="AL530" s="17"/>
      <c r="AM530" s="17"/>
      <c r="AN530" s="17"/>
      <c r="AO530" s="17"/>
      <c r="AP530" s="17"/>
      <c r="AQ530" s="17"/>
      <c r="AR530" s="17"/>
      <c r="AS530" s="17"/>
      <c r="AT530" s="17"/>
    </row>
    <row r="531" spans="1:46" x14ac:dyDescent="0.25">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17"/>
      <c r="AB531" s="17"/>
      <c r="AC531" s="17"/>
      <c r="AD531" s="17"/>
      <c r="AE531" s="17"/>
      <c r="AF531" s="17"/>
      <c r="AG531" s="17"/>
      <c r="AH531" s="17"/>
      <c r="AI531" s="17"/>
      <c r="AJ531" s="17"/>
      <c r="AK531" s="17"/>
      <c r="AL531" s="17"/>
      <c r="AM531" s="17"/>
      <c r="AN531" s="17"/>
      <c r="AO531" s="17"/>
      <c r="AP531" s="17"/>
      <c r="AQ531" s="17"/>
      <c r="AR531" s="17"/>
      <c r="AS531" s="17"/>
      <c r="AT531" s="17"/>
    </row>
    <row r="532" spans="1:46" x14ac:dyDescent="0.25">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17"/>
      <c r="AB532" s="17"/>
      <c r="AC532" s="17"/>
      <c r="AD532" s="17"/>
      <c r="AE532" s="17"/>
      <c r="AF532" s="17"/>
      <c r="AG532" s="17"/>
      <c r="AH532" s="17"/>
      <c r="AI532" s="17"/>
      <c r="AJ532" s="17"/>
      <c r="AK532" s="17"/>
      <c r="AL532" s="17"/>
      <c r="AM532" s="17"/>
      <c r="AN532" s="17"/>
      <c r="AO532" s="17"/>
      <c r="AP532" s="17"/>
      <c r="AQ532" s="17"/>
      <c r="AR532" s="17"/>
      <c r="AS532" s="17"/>
      <c r="AT532" s="17"/>
    </row>
    <row r="533" spans="1:46" x14ac:dyDescent="0.25">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7"/>
      <c r="AI533" s="17"/>
      <c r="AJ533" s="17"/>
      <c r="AK533" s="17"/>
      <c r="AL533" s="17"/>
      <c r="AM533" s="17"/>
      <c r="AN533" s="17"/>
      <c r="AO533" s="17"/>
      <c r="AP533" s="17"/>
      <c r="AQ533" s="17"/>
      <c r="AR533" s="17"/>
      <c r="AS533" s="17"/>
      <c r="AT533" s="17"/>
    </row>
    <row r="534" spans="1:46" x14ac:dyDescent="0.25">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17"/>
      <c r="AB534" s="17"/>
      <c r="AC534" s="17"/>
      <c r="AD534" s="17"/>
      <c r="AE534" s="17"/>
      <c r="AF534" s="17"/>
      <c r="AG534" s="17"/>
      <c r="AH534" s="17"/>
      <c r="AI534" s="17"/>
      <c r="AJ534" s="17"/>
      <c r="AK534" s="17"/>
      <c r="AL534" s="17"/>
      <c r="AM534" s="17"/>
      <c r="AN534" s="17"/>
      <c r="AO534" s="17"/>
      <c r="AP534" s="17"/>
      <c r="AQ534" s="17"/>
      <c r="AR534" s="17"/>
      <c r="AS534" s="17"/>
      <c r="AT534" s="17"/>
    </row>
    <row r="535" spans="1:46" x14ac:dyDescent="0.25">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17"/>
      <c r="AB535" s="17"/>
      <c r="AC535" s="17"/>
      <c r="AD535" s="17"/>
      <c r="AE535" s="17"/>
      <c r="AF535" s="17"/>
      <c r="AG535" s="17"/>
      <c r="AH535" s="17"/>
      <c r="AI535" s="17"/>
      <c r="AJ535" s="17"/>
      <c r="AK535" s="17"/>
      <c r="AL535" s="17"/>
      <c r="AM535" s="17"/>
      <c r="AN535" s="17"/>
      <c r="AO535" s="17"/>
      <c r="AP535" s="17"/>
      <c r="AQ535" s="17"/>
      <c r="AR535" s="17"/>
      <c r="AS535" s="17"/>
      <c r="AT535" s="17"/>
    </row>
    <row r="536" spans="1:46" x14ac:dyDescent="0.25">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17"/>
      <c r="AB536" s="17"/>
      <c r="AC536" s="17"/>
      <c r="AD536" s="17"/>
      <c r="AE536" s="17"/>
      <c r="AF536" s="17"/>
      <c r="AG536" s="17"/>
      <c r="AH536" s="17"/>
      <c r="AI536" s="17"/>
      <c r="AJ536" s="17"/>
      <c r="AK536" s="17"/>
      <c r="AL536" s="17"/>
      <c r="AM536" s="17"/>
      <c r="AN536" s="17"/>
      <c r="AO536" s="17"/>
      <c r="AP536" s="17"/>
      <c r="AQ536" s="17"/>
      <c r="AR536" s="17"/>
      <c r="AS536" s="17"/>
      <c r="AT536" s="17"/>
    </row>
    <row r="537" spans="1:46" x14ac:dyDescent="0.25">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17"/>
      <c r="AB537" s="17"/>
      <c r="AC537" s="17"/>
      <c r="AD537" s="17"/>
      <c r="AE537" s="17"/>
      <c r="AF537" s="17"/>
      <c r="AG537" s="17"/>
      <c r="AH537" s="17"/>
      <c r="AI537" s="17"/>
      <c r="AJ537" s="17"/>
      <c r="AK537" s="17"/>
      <c r="AL537" s="17"/>
      <c r="AM537" s="17"/>
      <c r="AN537" s="17"/>
      <c r="AO537" s="17"/>
      <c r="AP537" s="17"/>
      <c r="AQ537" s="17"/>
      <c r="AR537" s="17"/>
      <c r="AS537" s="17"/>
      <c r="AT537" s="17"/>
    </row>
    <row r="538" spans="1:46" x14ac:dyDescent="0.25">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17"/>
      <c r="AB538" s="17"/>
      <c r="AC538" s="17"/>
      <c r="AD538" s="17"/>
      <c r="AE538" s="17"/>
      <c r="AF538" s="17"/>
      <c r="AG538" s="17"/>
      <c r="AH538" s="17"/>
      <c r="AI538" s="17"/>
      <c r="AJ538" s="17"/>
      <c r="AK538" s="17"/>
      <c r="AL538" s="17"/>
      <c r="AM538" s="17"/>
      <c r="AN538" s="17"/>
      <c r="AO538" s="17"/>
      <c r="AP538" s="17"/>
      <c r="AQ538" s="17"/>
      <c r="AR538" s="17"/>
      <c r="AS538" s="17"/>
      <c r="AT538" s="17"/>
    </row>
    <row r="539" spans="1:46" x14ac:dyDescent="0.25">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7"/>
      <c r="AI539" s="17"/>
      <c r="AJ539" s="17"/>
      <c r="AK539" s="17"/>
      <c r="AL539" s="17"/>
      <c r="AM539" s="17"/>
      <c r="AN539" s="17"/>
      <c r="AO539" s="17"/>
      <c r="AP539" s="17"/>
      <c r="AQ539" s="17"/>
      <c r="AR539" s="17"/>
      <c r="AS539" s="17"/>
      <c r="AT539" s="17"/>
    </row>
    <row r="540" spans="1:46" x14ac:dyDescent="0.25">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17"/>
      <c r="AB540" s="17"/>
      <c r="AC540" s="17"/>
      <c r="AD540" s="17"/>
      <c r="AE540" s="17"/>
      <c r="AF540" s="17"/>
      <c r="AG540" s="17"/>
      <c r="AH540" s="17"/>
      <c r="AI540" s="17"/>
      <c r="AJ540" s="17"/>
      <c r="AK540" s="17"/>
      <c r="AL540" s="17"/>
      <c r="AM540" s="17"/>
      <c r="AN540" s="17"/>
      <c r="AO540" s="17"/>
      <c r="AP540" s="17"/>
      <c r="AQ540" s="17"/>
      <c r="AR540" s="17"/>
      <c r="AS540" s="17"/>
      <c r="AT540" s="17"/>
    </row>
    <row r="541" spans="1:46" x14ac:dyDescent="0.25">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17"/>
      <c r="AB541" s="17"/>
      <c r="AC541" s="17"/>
      <c r="AD541" s="17"/>
      <c r="AE541" s="17"/>
      <c r="AF541" s="17"/>
      <c r="AG541" s="17"/>
      <c r="AH541" s="17"/>
      <c r="AI541" s="17"/>
      <c r="AJ541" s="17"/>
      <c r="AK541" s="17"/>
      <c r="AL541" s="17"/>
      <c r="AM541" s="17"/>
      <c r="AN541" s="17"/>
      <c r="AO541" s="17"/>
      <c r="AP541" s="17"/>
      <c r="AQ541" s="17"/>
      <c r="AR541" s="17"/>
      <c r="AS541" s="17"/>
      <c r="AT541" s="17"/>
    </row>
    <row r="542" spans="1:46" x14ac:dyDescent="0.25">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17"/>
      <c r="AB542" s="17"/>
      <c r="AC542" s="17"/>
      <c r="AD542" s="17"/>
      <c r="AE542" s="17"/>
      <c r="AF542" s="17"/>
      <c r="AG542" s="17"/>
      <c r="AH542" s="17"/>
      <c r="AI542" s="17"/>
      <c r="AJ542" s="17"/>
      <c r="AK542" s="17"/>
      <c r="AL542" s="17"/>
      <c r="AM542" s="17"/>
      <c r="AN542" s="17"/>
      <c r="AO542" s="17"/>
      <c r="AP542" s="17"/>
      <c r="AQ542" s="17"/>
      <c r="AR542" s="17"/>
      <c r="AS542" s="17"/>
      <c r="AT542" s="17"/>
    </row>
    <row r="543" spans="1:46" x14ac:dyDescent="0.25">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17"/>
      <c r="AB543" s="17"/>
      <c r="AC543" s="17"/>
      <c r="AD543" s="17"/>
      <c r="AE543" s="17"/>
      <c r="AF543" s="17"/>
      <c r="AG543" s="17"/>
      <c r="AH543" s="17"/>
      <c r="AI543" s="17"/>
      <c r="AJ543" s="17"/>
      <c r="AK543" s="17"/>
      <c r="AL543" s="17"/>
      <c r="AM543" s="17"/>
      <c r="AN543" s="17"/>
      <c r="AO543" s="17"/>
      <c r="AP543" s="17"/>
      <c r="AQ543" s="17"/>
      <c r="AR543" s="17"/>
      <c r="AS543" s="17"/>
      <c r="AT543" s="17"/>
    </row>
    <row r="544" spans="1:46" x14ac:dyDescent="0.25">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c r="AQ544" s="17"/>
      <c r="AR544" s="17"/>
      <c r="AS544" s="17"/>
      <c r="AT544" s="17"/>
    </row>
    <row r="545" spans="1:46" x14ac:dyDescent="0.25">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7"/>
      <c r="AI545" s="17"/>
      <c r="AJ545" s="17"/>
      <c r="AK545" s="17"/>
      <c r="AL545" s="17"/>
      <c r="AM545" s="17"/>
      <c r="AN545" s="17"/>
      <c r="AO545" s="17"/>
      <c r="AP545" s="17"/>
      <c r="AQ545" s="17"/>
      <c r="AR545" s="17"/>
      <c r="AS545" s="17"/>
      <c r="AT545" s="17"/>
    </row>
    <row r="546" spans="1:46" x14ac:dyDescent="0.25">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17"/>
      <c r="AB546" s="17"/>
      <c r="AC546" s="17"/>
      <c r="AD546" s="17"/>
      <c r="AE546" s="17"/>
      <c r="AF546" s="17"/>
      <c r="AG546" s="17"/>
      <c r="AH546" s="17"/>
      <c r="AI546" s="17"/>
      <c r="AJ546" s="17"/>
      <c r="AK546" s="17"/>
      <c r="AL546" s="17"/>
      <c r="AM546" s="17"/>
      <c r="AN546" s="17"/>
      <c r="AO546" s="17"/>
      <c r="AP546" s="17"/>
      <c r="AQ546" s="17"/>
      <c r="AR546" s="17"/>
      <c r="AS546" s="17"/>
      <c r="AT546" s="17"/>
    </row>
    <row r="547" spans="1:46" x14ac:dyDescent="0.25">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17"/>
      <c r="AB547" s="17"/>
      <c r="AC547" s="17"/>
      <c r="AD547" s="17"/>
      <c r="AE547" s="17"/>
      <c r="AF547" s="17"/>
      <c r="AG547" s="17"/>
      <c r="AH547" s="17"/>
      <c r="AI547" s="17"/>
      <c r="AJ547" s="17"/>
      <c r="AK547" s="17"/>
      <c r="AL547" s="17"/>
      <c r="AM547" s="17"/>
      <c r="AN547" s="17"/>
      <c r="AO547" s="17"/>
      <c r="AP547" s="17"/>
      <c r="AQ547" s="17"/>
      <c r="AR547" s="17"/>
      <c r="AS547" s="17"/>
      <c r="AT547" s="17"/>
    </row>
    <row r="548" spans="1:46" x14ac:dyDescent="0.25">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17"/>
      <c r="AB548" s="17"/>
      <c r="AC548" s="17"/>
      <c r="AD548" s="17"/>
      <c r="AE548" s="17"/>
      <c r="AF548" s="17"/>
      <c r="AG548" s="17"/>
      <c r="AH548" s="17"/>
      <c r="AI548" s="17"/>
      <c r="AJ548" s="17"/>
      <c r="AK548" s="17"/>
      <c r="AL548" s="17"/>
      <c r="AM548" s="17"/>
      <c r="AN548" s="17"/>
      <c r="AO548" s="17"/>
      <c r="AP548" s="17"/>
      <c r="AQ548" s="17"/>
      <c r="AR548" s="17"/>
      <c r="AS548" s="17"/>
      <c r="AT548" s="17"/>
    </row>
    <row r="549" spans="1:46" x14ac:dyDescent="0.25">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17"/>
      <c r="AB549" s="17"/>
      <c r="AC549" s="17"/>
      <c r="AD549" s="17"/>
      <c r="AE549" s="17"/>
      <c r="AF549" s="17"/>
      <c r="AG549" s="17"/>
      <c r="AH549" s="17"/>
      <c r="AI549" s="17"/>
      <c r="AJ549" s="17"/>
      <c r="AK549" s="17"/>
      <c r="AL549" s="17"/>
      <c r="AM549" s="17"/>
      <c r="AN549" s="17"/>
      <c r="AO549" s="17"/>
      <c r="AP549" s="17"/>
      <c r="AQ549" s="17"/>
      <c r="AR549" s="17"/>
      <c r="AS549" s="17"/>
      <c r="AT549" s="17"/>
    </row>
    <row r="550" spans="1:46" x14ac:dyDescent="0.25">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17"/>
      <c r="AB550" s="17"/>
      <c r="AC550" s="17"/>
      <c r="AD550" s="17"/>
      <c r="AE550" s="17"/>
      <c r="AF550" s="17"/>
      <c r="AG550" s="17"/>
      <c r="AH550" s="17"/>
      <c r="AI550" s="17"/>
      <c r="AJ550" s="17"/>
      <c r="AK550" s="17"/>
      <c r="AL550" s="17"/>
      <c r="AM550" s="17"/>
      <c r="AN550" s="17"/>
      <c r="AO550" s="17"/>
      <c r="AP550" s="17"/>
      <c r="AQ550" s="17"/>
      <c r="AR550" s="17"/>
      <c r="AS550" s="17"/>
      <c r="AT550" s="17"/>
    </row>
    <row r="551" spans="1:46" x14ac:dyDescent="0.25">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7"/>
      <c r="AI551" s="17"/>
      <c r="AJ551" s="17"/>
      <c r="AK551" s="17"/>
      <c r="AL551" s="17"/>
      <c r="AM551" s="17"/>
      <c r="AN551" s="17"/>
      <c r="AO551" s="17"/>
      <c r="AP551" s="17"/>
      <c r="AQ551" s="17"/>
      <c r="AR551" s="17"/>
      <c r="AS551" s="17"/>
      <c r="AT551" s="17"/>
    </row>
    <row r="552" spans="1:46" x14ac:dyDescent="0.25">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17"/>
      <c r="AB552" s="17"/>
      <c r="AC552" s="17"/>
      <c r="AD552" s="17"/>
      <c r="AE552" s="17"/>
      <c r="AF552" s="17"/>
      <c r="AG552" s="17"/>
      <c r="AH552" s="17"/>
      <c r="AI552" s="17"/>
      <c r="AJ552" s="17"/>
      <c r="AK552" s="17"/>
      <c r="AL552" s="17"/>
      <c r="AM552" s="17"/>
      <c r="AN552" s="17"/>
      <c r="AO552" s="17"/>
      <c r="AP552" s="17"/>
      <c r="AQ552" s="17"/>
      <c r="AR552" s="17"/>
      <c r="AS552" s="17"/>
      <c r="AT552" s="17"/>
    </row>
    <row r="553" spans="1:46" x14ac:dyDescent="0.25">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17"/>
      <c r="AB553" s="17"/>
      <c r="AC553" s="17"/>
      <c r="AD553" s="17"/>
      <c r="AE553" s="17"/>
      <c r="AF553" s="17"/>
      <c r="AG553" s="17"/>
      <c r="AH553" s="17"/>
      <c r="AI553" s="17"/>
      <c r="AJ553" s="17"/>
      <c r="AK553" s="17"/>
      <c r="AL553" s="17"/>
      <c r="AM553" s="17"/>
      <c r="AN553" s="17"/>
      <c r="AO553" s="17"/>
      <c r="AP553" s="17"/>
      <c r="AQ553" s="17"/>
      <c r="AR553" s="17"/>
      <c r="AS553" s="17"/>
      <c r="AT553" s="17"/>
    </row>
    <row r="554" spans="1:46" x14ac:dyDescent="0.25">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17"/>
      <c r="AB554" s="17"/>
      <c r="AC554" s="17"/>
      <c r="AD554" s="17"/>
      <c r="AE554" s="17"/>
      <c r="AF554" s="17"/>
      <c r="AG554" s="17"/>
      <c r="AH554" s="17"/>
      <c r="AI554" s="17"/>
      <c r="AJ554" s="17"/>
      <c r="AK554" s="17"/>
      <c r="AL554" s="17"/>
      <c r="AM554" s="17"/>
      <c r="AN554" s="17"/>
      <c r="AO554" s="17"/>
      <c r="AP554" s="17"/>
      <c r="AQ554" s="17"/>
      <c r="AR554" s="17"/>
      <c r="AS554" s="17"/>
      <c r="AT554" s="17"/>
    </row>
    <row r="555" spans="1:46" x14ac:dyDescent="0.25">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17"/>
      <c r="AB555" s="17"/>
      <c r="AC555" s="17"/>
      <c r="AD555" s="17"/>
      <c r="AE555" s="17"/>
      <c r="AF555" s="17"/>
      <c r="AG555" s="17"/>
      <c r="AH555" s="17"/>
      <c r="AI555" s="17"/>
      <c r="AJ555" s="17"/>
      <c r="AK555" s="17"/>
      <c r="AL555" s="17"/>
      <c r="AM555" s="17"/>
      <c r="AN555" s="17"/>
      <c r="AO555" s="17"/>
      <c r="AP555" s="17"/>
      <c r="AQ555" s="17"/>
      <c r="AR555" s="17"/>
      <c r="AS555" s="17"/>
      <c r="AT555" s="17"/>
    </row>
    <row r="556" spans="1:46" x14ac:dyDescent="0.25">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17"/>
      <c r="AB556" s="17"/>
      <c r="AC556" s="17"/>
      <c r="AD556" s="17"/>
      <c r="AE556" s="17"/>
      <c r="AF556" s="17"/>
      <c r="AG556" s="17"/>
      <c r="AH556" s="17"/>
      <c r="AI556" s="17"/>
      <c r="AJ556" s="17"/>
      <c r="AK556" s="17"/>
      <c r="AL556" s="17"/>
      <c r="AM556" s="17"/>
      <c r="AN556" s="17"/>
      <c r="AO556" s="17"/>
      <c r="AP556" s="17"/>
      <c r="AQ556" s="17"/>
      <c r="AR556" s="17"/>
      <c r="AS556" s="17"/>
      <c r="AT556" s="17"/>
    </row>
    <row r="557" spans="1:46" x14ac:dyDescent="0.25">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c r="AQ557" s="17"/>
      <c r="AR557" s="17"/>
      <c r="AS557" s="17"/>
      <c r="AT557" s="17"/>
    </row>
    <row r="558" spans="1:46" x14ac:dyDescent="0.25">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17"/>
      <c r="AB558" s="17"/>
      <c r="AC558" s="17"/>
      <c r="AD558" s="17"/>
      <c r="AE558" s="17"/>
      <c r="AF558" s="17"/>
      <c r="AG558" s="17"/>
      <c r="AH558" s="17"/>
      <c r="AI558" s="17"/>
      <c r="AJ558" s="17"/>
      <c r="AK558" s="17"/>
      <c r="AL558" s="17"/>
      <c r="AM558" s="17"/>
      <c r="AN558" s="17"/>
      <c r="AO558" s="17"/>
      <c r="AP558" s="17"/>
      <c r="AQ558" s="17"/>
      <c r="AR558" s="17"/>
      <c r="AS558" s="17"/>
      <c r="AT558" s="17"/>
    </row>
    <row r="559" spans="1:46" x14ac:dyDescent="0.25">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17"/>
      <c r="AB559" s="17"/>
      <c r="AC559" s="17"/>
      <c r="AD559" s="17"/>
      <c r="AE559" s="17"/>
      <c r="AF559" s="17"/>
      <c r="AG559" s="17"/>
      <c r="AH559" s="17"/>
      <c r="AI559" s="17"/>
      <c r="AJ559" s="17"/>
      <c r="AK559" s="17"/>
      <c r="AL559" s="17"/>
      <c r="AM559" s="17"/>
      <c r="AN559" s="17"/>
      <c r="AO559" s="17"/>
      <c r="AP559" s="17"/>
      <c r="AQ559" s="17"/>
      <c r="AR559" s="17"/>
      <c r="AS559" s="17"/>
      <c r="AT559" s="17"/>
    </row>
    <row r="560" spans="1:46" x14ac:dyDescent="0.25">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17"/>
      <c r="AB560" s="17"/>
      <c r="AC560" s="17"/>
      <c r="AD560" s="17"/>
      <c r="AE560" s="17"/>
      <c r="AF560" s="17"/>
      <c r="AG560" s="17"/>
      <c r="AH560" s="17"/>
      <c r="AI560" s="17"/>
      <c r="AJ560" s="17"/>
      <c r="AK560" s="17"/>
      <c r="AL560" s="17"/>
      <c r="AM560" s="17"/>
      <c r="AN560" s="17"/>
      <c r="AO560" s="17"/>
      <c r="AP560" s="17"/>
      <c r="AQ560" s="17"/>
      <c r="AR560" s="17"/>
      <c r="AS560" s="17"/>
      <c r="AT560" s="17"/>
    </row>
    <row r="561" spans="1:46" x14ac:dyDescent="0.25">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17"/>
      <c r="AB561" s="17"/>
      <c r="AC561" s="17"/>
      <c r="AD561" s="17"/>
      <c r="AE561" s="17"/>
      <c r="AF561" s="17"/>
      <c r="AG561" s="17"/>
      <c r="AH561" s="17"/>
      <c r="AI561" s="17"/>
      <c r="AJ561" s="17"/>
      <c r="AK561" s="17"/>
      <c r="AL561" s="17"/>
      <c r="AM561" s="17"/>
      <c r="AN561" s="17"/>
      <c r="AO561" s="17"/>
      <c r="AP561" s="17"/>
      <c r="AQ561" s="17"/>
      <c r="AR561" s="17"/>
      <c r="AS561" s="17"/>
      <c r="AT561" s="17"/>
    </row>
    <row r="562" spans="1:46" x14ac:dyDescent="0.25">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17"/>
      <c r="AB562" s="17"/>
      <c r="AC562" s="17"/>
      <c r="AD562" s="17"/>
      <c r="AE562" s="17"/>
      <c r="AF562" s="17"/>
      <c r="AG562" s="17"/>
      <c r="AH562" s="17"/>
      <c r="AI562" s="17"/>
      <c r="AJ562" s="17"/>
      <c r="AK562" s="17"/>
      <c r="AL562" s="17"/>
      <c r="AM562" s="17"/>
      <c r="AN562" s="17"/>
      <c r="AO562" s="17"/>
      <c r="AP562" s="17"/>
      <c r="AQ562" s="17"/>
      <c r="AR562" s="17"/>
      <c r="AS562" s="17"/>
      <c r="AT562" s="17"/>
    </row>
    <row r="563" spans="1:46" x14ac:dyDescent="0.25">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7"/>
      <c r="AI563" s="17"/>
      <c r="AJ563" s="17"/>
      <c r="AK563" s="17"/>
      <c r="AL563" s="17"/>
      <c r="AM563" s="17"/>
      <c r="AN563" s="17"/>
      <c r="AO563" s="17"/>
      <c r="AP563" s="17"/>
      <c r="AQ563" s="17"/>
      <c r="AR563" s="17"/>
      <c r="AS563" s="17"/>
      <c r="AT563" s="17"/>
    </row>
    <row r="564" spans="1:46" x14ac:dyDescent="0.25">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17"/>
      <c r="AB564" s="17"/>
      <c r="AC564" s="17"/>
      <c r="AD564" s="17"/>
      <c r="AE564" s="17"/>
      <c r="AF564" s="17"/>
      <c r="AG564" s="17"/>
      <c r="AH564" s="17"/>
      <c r="AI564" s="17"/>
      <c r="AJ564" s="17"/>
      <c r="AK564" s="17"/>
      <c r="AL564" s="17"/>
      <c r="AM564" s="17"/>
      <c r="AN564" s="17"/>
      <c r="AO564" s="17"/>
      <c r="AP564" s="17"/>
      <c r="AQ564" s="17"/>
      <c r="AR564" s="17"/>
      <c r="AS564" s="17"/>
      <c r="AT564" s="17"/>
    </row>
    <row r="565" spans="1:46" x14ac:dyDescent="0.25">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17"/>
      <c r="AB565" s="17"/>
      <c r="AC565" s="17"/>
      <c r="AD565" s="17"/>
      <c r="AE565" s="17"/>
      <c r="AF565" s="17"/>
      <c r="AG565" s="17"/>
      <c r="AH565" s="17"/>
      <c r="AI565" s="17"/>
      <c r="AJ565" s="17"/>
      <c r="AK565" s="17"/>
      <c r="AL565" s="17"/>
      <c r="AM565" s="17"/>
      <c r="AN565" s="17"/>
      <c r="AO565" s="17"/>
      <c r="AP565" s="17"/>
      <c r="AQ565" s="17"/>
      <c r="AR565" s="17"/>
      <c r="AS565" s="17"/>
      <c r="AT565" s="17"/>
    </row>
    <row r="566" spans="1:46" x14ac:dyDescent="0.25">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17"/>
      <c r="AB566" s="17"/>
      <c r="AC566" s="17"/>
      <c r="AD566" s="17"/>
      <c r="AE566" s="17"/>
      <c r="AF566" s="17"/>
      <c r="AG566" s="17"/>
      <c r="AH566" s="17"/>
      <c r="AI566" s="17"/>
      <c r="AJ566" s="17"/>
      <c r="AK566" s="17"/>
      <c r="AL566" s="17"/>
      <c r="AM566" s="17"/>
      <c r="AN566" s="17"/>
      <c r="AO566" s="17"/>
      <c r="AP566" s="17"/>
      <c r="AQ566" s="17"/>
      <c r="AR566" s="17"/>
      <c r="AS566" s="17"/>
      <c r="AT566" s="17"/>
    </row>
    <row r="567" spans="1:46" x14ac:dyDescent="0.25">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17"/>
      <c r="AB567" s="17"/>
      <c r="AC567" s="17"/>
      <c r="AD567" s="17"/>
      <c r="AE567" s="17"/>
      <c r="AF567" s="17"/>
      <c r="AG567" s="17"/>
      <c r="AH567" s="17"/>
      <c r="AI567" s="17"/>
      <c r="AJ567" s="17"/>
      <c r="AK567" s="17"/>
      <c r="AL567" s="17"/>
      <c r="AM567" s="17"/>
      <c r="AN567" s="17"/>
      <c r="AO567" s="17"/>
      <c r="AP567" s="17"/>
      <c r="AQ567" s="17"/>
      <c r="AR567" s="17"/>
      <c r="AS567" s="17"/>
      <c r="AT567" s="17"/>
    </row>
    <row r="568" spans="1:46" x14ac:dyDescent="0.25">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17"/>
      <c r="AB568" s="17"/>
      <c r="AC568" s="17"/>
      <c r="AD568" s="17"/>
      <c r="AE568" s="17"/>
      <c r="AF568" s="17"/>
      <c r="AG568" s="17"/>
      <c r="AH568" s="17"/>
      <c r="AI568" s="17"/>
      <c r="AJ568" s="17"/>
      <c r="AK568" s="17"/>
      <c r="AL568" s="17"/>
      <c r="AM568" s="17"/>
      <c r="AN568" s="17"/>
      <c r="AO568" s="17"/>
      <c r="AP568" s="17"/>
      <c r="AQ568" s="17"/>
      <c r="AR568" s="17"/>
      <c r="AS568" s="17"/>
      <c r="AT568" s="17"/>
    </row>
    <row r="569" spans="1:46" x14ac:dyDescent="0.25">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7"/>
      <c r="AI569" s="17"/>
      <c r="AJ569" s="17"/>
      <c r="AK569" s="17"/>
      <c r="AL569" s="17"/>
      <c r="AM569" s="17"/>
      <c r="AN569" s="17"/>
      <c r="AO569" s="17"/>
      <c r="AP569" s="17"/>
      <c r="AQ569" s="17"/>
      <c r="AR569" s="17"/>
      <c r="AS569" s="17"/>
      <c r="AT569" s="17"/>
    </row>
    <row r="570" spans="1:46" x14ac:dyDescent="0.25">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17"/>
      <c r="AB570" s="17"/>
      <c r="AC570" s="17"/>
      <c r="AD570" s="17"/>
      <c r="AE570" s="17"/>
      <c r="AF570" s="17"/>
      <c r="AG570" s="17"/>
      <c r="AH570" s="17"/>
      <c r="AI570" s="17"/>
      <c r="AJ570" s="17"/>
      <c r="AK570" s="17"/>
      <c r="AL570" s="17"/>
      <c r="AM570" s="17"/>
      <c r="AN570" s="17"/>
      <c r="AO570" s="17"/>
      <c r="AP570" s="17"/>
      <c r="AQ570" s="17"/>
      <c r="AR570" s="17"/>
      <c r="AS570" s="17"/>
      <c r="AT570" s="17"/>
    </row>
    <row r="571" spans="1:46" x14ac:dyDescent="0.25">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17"/>
      <c r="AB571" s="17"/>
      <c r="AC571" s="17"/>
      <c r="AD571" s="17"/>
      <c r="AE571" s="17"/>
      <c r="AF571" s="17"/>
      <c r="AG571" s="17"/>
      <c r="AH571" s="17"/>
      <c r="AI571" s="17"/>
      <c r="AJ571" s="17"/>
      <c r="AK571" s="17"/>
      <c r="AL571" s="17"/>
      <c r="AM571" s="17"/>
      <c r="AN571" s="17"/>
      <c r="AO571" s="17"/>
      <c r="AP571" s="17"/>
      <c r="AQ571" s="17"/>
      <c r="AR571" s="17"/>
      <c r="AS571" s="17"/>
      <c r="AT571" s="17"/>
    </row>
    <row r="572" spans="1:46" x14ac:dyDescent="0.25">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17"/>
      <c r="AB572" s="17"/>
      <c r="AC572" s="17"/>
      <c r="AD572" s="17"/>
      <c r="AE572" s="17"/>
      <c r="AF572" s="17"/>
      <c r="AG572" s="17"/>
      <c r="AH572" s="17"/>
      <c r="AI572" s="17"/>
      <c r="AJ572" s="17"/>
      <c r="AK572" s="17"/>
      <c r="AL572" s="17"/>
      <c r="AM572" s="17"/>
      <c r="AN572" s="17"/>
      <c r="AO572" s="17"/>
      <c r="AP572" s="17"/>
      <c r="AQ572" s="17"/>
      <c r="AR572" s="17"/>
      <c r="AS572" s="17"/>
      <c r="AT572" s="17"/>
    </row>
    <row r="573" spans="1:46" x14ac:dyDescent="0.25">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17"/>
      <c r="AB573" s="17"/>
      <c r="AC573" s="17"/>
      <c r="AD573" s="17"/>
      <c r="AE573" s="17"/>
      <c r="AF573" s="17"/>
      <c r="AG573" s="17"/>
      <c r="AH573" s="17"/>
      <c r="AI573" s="17"/>
      <c r="AJ573" s="17"/>
      <c r="AK573" s="17"/>
      <c r="AL573" s="17"/>
      <c r="AM573" s="17"/>
      <c r="AN573" s="17"/>
      <c r="AO573" s="17"/>
      <c r="AP573" s="17"/>
      <c r="AQ573" s="17"/>
      <c r="AR573" s="17"/>
      <c r="AS573" s="17"/>
      <c r="AT573" s="17"/>
    </row>
    <row r="574" spans="1:46" x14ac:dyDescent="0.25">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17"/>
      <c r="AB574" s="17"/>
      <c r="AC574" s="17"/>
      <c r="AD574" s="17"/>
      <c r="AE574" s="17"/>
      <c r="AF574" s="17"/>
      <c r="AG574" s="17"/>
      <c r="AH574" s="17"/>
      <c r="AI574" s="17"/>
      <c r="AJ574" s="17"/>
      <c r="AK574" s="17"/>
      <c r="AL574" s="17"/>
      <c r="AM574" s="17"/>
      <c r="AN574" s="17"/>
      <c r="AO574" s="17"/>
      <c r="AP574" s="17"/>
      <c r="AQ574" s="17"/>
      <c r="AR574" s="17"/>
      <c r="AS574" s="17"/>
      <c r="AT574" s="17"/>
    </row>
    <row r="575" spans="1:46" x14ac:dyDescent="0.25">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7"/>
      <c r="AI575" s="17"/>
      <c r="AJ575" s="17"/>
      <c r="AK575" s="17"/>
      <c r="AL575" s="17"/>
      <c r="AM575" s="17"/>
      <c r="AN575" s="17"/>
      <c r="AO575" s="17"/>
      <c r="AP575" s="17"/>
      <c r="AQ575" s="17"/>
      <c r="AR575" s="17"/>
      <c r="AS575" s="17"/>
      <c r="AT575" s="17"/>
    </row>
    <row r="576" spans="1:46" x14ac:dyDescent="0.25">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17"/>
      <c r="AB576" s="17"/>
      <c r="AC576" s="17"/>
      <c r="AD576" s="17"/>
      <c r="AE576" s="17"/>
      <c r="AF576" s="17"/>
      <c r="AG576" s="17"/>
      <c r="AH576" s="17"/>
      <c r="AI576" s="17"/>
      <c r="AJ576" s="17"/>
      <c r="AK576" s="17"/>
      <c r="AL576" s="17"/>
      <c r="AM576" s="17"/>
      <c r="AN576" s="17"/>
      <c r="AO576" s="17"/>
      <c r="AP576" s="17"/>
      <c r="AQ576" s="17"/>
      <c r="AR576" s="17"/>
      <c r="AS576" s="17"/>
      <c r="AT576" s="17"/>
    </row>
    <row r="577" spans="1:46" x14ac:dyDescent="0.25">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17"/>
      <c r="AB577" s="17"/>
      <c r="AC577" s="17"/>
      <c r="AD577" s="17"/>
      <c r="AE577" s="17"/>
      <c r="AF577" s="17"/>
      <c r="AG577" s="17"/>
      <c r="AH577" s="17"/>
      <c r="AI577" s="17"/>
      <c r="AJ577" s="17"/>
      <c r="AK577" s="17"/>
      <c r="AL577" s="17"/>
      <c r="AM577" s="17"/>
      <c r="AN577" s="17"/>
      <c r="AO577" s="17"/>
      <c r="AP577" s="17"/>
      <c r="AQ577" s="17"/>
      <c r="AR577" s="17"/>
      <c r="AS577" s="17"/>
      <c r="AT577" s="17"/>
    </row>
    <row r="578" spans="1:46" x14ac:dyDescent="0.25">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17"/>
      <c r="AB578" s="17"/>
      <c r="AC578" s="17"/>
      <c r="AD578" s="17"/>
      <c r="AE578" s="17"/>
      <c r="AF578" s="17"/>
      <c r="AG578" s="17"/>
      <c r="AH578" s="17"/>
      <c r="AI578" s="17"/>
      <c r="AJ578" s="17"/>
      <c r="AK578" s="17"/>
      <c r="AL578" s="17"/>
      <c r="AM578" s="17"/>
      <c r="AN578" s="17"/>
      <c r="AO578" s="17"/>
      <c r="AP578" s="17"/>
      <c r="AQ578" s="17"/>
      <c r="AR578" s="17"/>
      <c r="AS578" s="17"/>
      <c r="AT578" s="17"/>
    </row>
    <row r="579" spans="1:46" x14ac:dyDescent="0.25">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17"/>
      <c r="AB579" s="17"/>
      <c r="AC579" s="17"/>
      <c r="AD579" s="17"/>
      <c r="AE579" s="17"/>
      <c r="AF579" s="17"/>
      <c r="AG579" s="17"/>
      <c r="AH579" s="17"/>
      <c r="AI579" s="17"/>
      <c r="AJ579" s="17"/>
      <c r="AK579" s="17"/>
      <c r="AL579" s="17"/>
      <c r="AM579" s="17"/>
      <c r="AN579" s="17"/>
      <c r="AO579" s="17"/>
      <c r="AP579" s="17"/>
      <c r="AQ579" s="17"/>
      <c r="AR579" s="17"/>
      <c r="AS579" s="17"/>
      <c r="AT579" s="17"/>
    </row>
    <row r="580" spans="1:46" x14ac:dyDescent="0.25">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17"/>
      <c r="AB580" s="17"/>
      <c r="AC580" s="17"/>
      <c r="AD580" s="17"/>
      <c r="AE580" s="17"/>
      <c r="AF580" s="17"/>
      <c r="AG580" s="17"/>
      <c r="AH580" s="17"/>
      <c r="AI580" s="17"/>
      <c r="AJ580" s="17"/>
      <c r="AK580" s="17"/>
      <c r="AL580" s="17"/>
      <c r="AM580" s="17"/>
      <c r="AN580" s="17"/>
      <c r="AO580" s="17"/>
      <c r="AP580" s="17"/>
      <c r="AQ580" s="17"/>
      <c r="AR580" s="17"/>
      <c r="AS580" s="17"/>
      <c r="AT580" s="17"/>
    </row>
    <row r="581" spans="1:46" x14ac:dyDescent="0.25">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7"/>
      <c r="AI581" s="17"/>
      <c r="AJ581" s="17"/>
      <c r="AK581" s="17"/>
      <c r="AL581" s="17"/>
      <c r="AM581" s="17"/>
      <c r="AN581" s="17"/>
      <c r="AO581" s="17"/>
      <c r="AP581" s="17"/>
      <c r="AQ581" s="17"/>
      <c r="AR581" s="17"/>
      <c r="AS581" s="17"/>
      <c r="AT581" s="17"/>
    </row>
    <row r="582" spans="1:46" x14ac:dyDescent="0.25">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17"/>
      <c r="AB582" s="17"/>
      <c r="AC582" s="17"/>
      <c r="AD582" s="17"/>
      <c r="AE582" s="17"/>
      <c r="AF582" s="17"/>
      <c r="AG582" s="17"/>
      <c r="AH582" s="17"/>
      <c r="AI582" s="17"/>
      <c r="AJ582" s="17"/>
      <c r="AK582" s="17"/>
      <c r="AL582" s="17"/>
      <c r="AM582" s="17"/>
      <c r="AN582" s="17"/>
      <c r="AO582" s="17"/>
      <c r="AP582" s="17"/>
      <c r="AQ582" s="17"/>
      <c r="AR582" s="17"/>
      <c r="AS582" s="17"/>
      <c r="AT582" s="17"/>
    </row>
    <row r="583" spans="1:46" x14ac:dyDescent="0.25">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17"/>
      <c r="AB583" s="17"/>
      <c r="AC583" s="17"/>
      <c r="AD583" s="17"/>
      <c r="AE583" s="17"/>
      <c r="AF583" s="17"/>
      <c r="AG583" s="17"/>
      <c r="AH583" s="17"/>
      <c r="AI583" s="17"/>
      <c r="AJ583" s="17"/>
      <c r="AK583" s="17"/>
      <c r="AL583" s="17"/>
      <c r="AM583" s="17"/>
      <c r="AN583" s="17"/>
      <c r="AO583" s="17"/>
      <c r="AP583" s="17"/>
      <c r="AQ583" s="17"/>
      <c r="AR583" s="17"/>
      <c r="AS583" s="17"/>
      <c r="AT583" s="17"/>
    </row>
    <row r="584" spans="1:46" x14ac:dyDescent="0.25">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17"/>
      <c r="AB584" s="17"/>
      <c r="AC584" s="17"/>
      <c r="AD584" s="17"/>
      <c r="AE584" s="17"/>
      <c r="AF584" s="17"/>
      <c r="AG584" s="17"/>
      <c r="AH584" s="17"/>
      <c r="AI584" s="17"/>
      <c r="AJ584" s="17"/>
      <c r="AK584" s="17"/>
      <c r="AL584" s="17"/>
      <c r="AM584" s="17"/>
      <c r="AN584" s="17"/>
      <c r="AO584" s="17"/>
      <c r="AP584" s="17"/>
      <c r="AQ584" s="17"/>
      <c r="AR584" s="17"/>
      <c r="AS584" s="17"/>
      <c r="AT584" s="17"/>
    </row>
    <row r="585" spans="1:46" x14ac:dyDescent="0.25">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17"/>
      <c r="AB585" s="17"/>
      <c r="AC585" s="17"/>
      <c r="AD585" s="17"/>
      <c r="AE585" s="17"/>
      <c r="AF585" s="17"/>
      <c r="AG585" s="17"/>
      <c r="AH585" s="17"/>
      <c r="AI585" s="17"/>
      <c r="AJ585" s="17"/>
      <c r="AK585" s="17"/>
      <c r="AL585" s="17"/>
      <c r="AM585" s="17"/>
      <c r="AN585" s="17"/>
      <c r="AO585" s="17"/>
      <c r="AP585" s="17"/>
      <c r="AQ585" s="17"/>
      <c r="AR585" s="17"/>
      <c r="AS585" s="17"/>
      <c r="AT585" s="17"/>
    </row>
    <row r="586" spans="1:46" x14ac:dyDescent="0.25">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17"/>
      <c r="AB586" s="17"/>
      <c r="AC586" s="17"/>
      <c r="AD586" s="17"/>
      <c r="AE586" s="17"/>
      <c r="AF586" s="17"/>
      <c r="AG586" s="17"/>
      <c r="AH586" s="17"/>
      <c r="AI586" s="17"/>
      <c r="AJ586" s="17"/>
      <c r="AK586" s="17"/>
      <c r="AL586" s="17"/>
      <c r="AM586" s="17"/>
      <c r="AN586" s="17"/>
      <c r="AO586" s="17"/>
      <c r="AP586" s="17"/>
      <c r="AQ586" s="17"/>
      <c r="AR586" s="17"/>
      <c r="AS586" s="17"/>
      <c r="AT586" s="17"/>
    </row>
    <row r="587" spans="1:46" x14ac:dyDescent="0.25">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7"/>
      <c r="AI587" s="17"/>
      <c r="AJ587" s="17"/>
      <c r="AK587" s="17"/>
      <c r="AL587" s="17"/>
      <c r="AM587" s="17"/>
      <c r="AN587" s="17"/>
      <c r="AO587" s="17"/>
      <c r="AP587" s="17"/>
      <c r="AQ587" s="17"/>
      <c r="AR587" s="17"/>
      <c r="AS587" s="17"/>
      <c r="AT587" s="17"/>
    </row>
    <row r="588" spans="1:46" x14ac:dyDescent="0.25">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17"/>
      <c r="AB588" s="17"/>
      <c r="AC588" s="17"/>
      <c r="AD588" s="17"/>
      <c r="AE588" s="17"/>
      <c r="AF588" s="17"/>
      <c r="AG588" s="17"/>
      <c r="AH588" s="17"/>
      <c r="AI588" s="17"/>
      <c r="AJ588" s="17"/>
      <c r="AK588" s="17"/>
      <c r="AL588" s="17"/>
      <c r="AM588" s="17"/>
      <c r="AN588" s="17"/>
      <c r="AO588" s="17"/>
      <c r="AP588" s="17"/>
      <c r="AQ588" s="17"/>
      <c r="AR588" s="17"/>
      <c r="AS588" s="17"/>
      <c r="AT588" s="17"/>
    </row>
    <row r="589" spans="1:46" x14ac:dyDescent="0.25">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17"/>
      <c r="AB589" s="17"/>
      <c r="AC589" s="17"/>
      <c r="AD589" s="17"/>
      <c r="AE589" s="17"/>
      <c r="AF589" s="17"/>
      <c r="AG589" s="17"/>
      <c r="AH589" s="17"/>
      <c r="AI589" s="17"/>
      <c r="AJ589" s="17"/>
      <c r="AK589" s="17"/>
      <c r="AL589" s="17"/>
      <c r="AM589" s="17"/>
      <c r="AN589" s="17"/>
      <c r="AO589" s="17"/>
      <c r="AP589" s="17"/>
      <c r="AQ589" s="17"/>
      <c r="AR589" s="17"/>
      <c r="AS589" s="17"/>
      <c r="AT589" s="17"/>
    </row>
    <row r="590" spans="1:46" x14ac:dyDescent="0.25">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17"/>
      <c r="AB590" s="17"/>
      <c r="AC590" s="17"/>
      <c r="AD590" s="17"/>
      <c r="AE590" s="17"/>
      <c r="AF590" s="17"/>
      <c r="AG590" s="17"/>
      <c r="AH590" s="17"/>
      <c r="AI590" s="17"/>
      <c r="AJ590" s="17"/>
      <c r="AK590" s="17"/>
      <c r="AL590" s="17"/>
      <c r="AM590" s="17"/>
      <c r="AN590" s="17"/>
      <c r="AO590" s="17"/>
      <c r="AP590" s="17"/>
      <c r="AQ590" s="17"/>
      <c r="AR590" s="17"/>
      <c r="AS590" s="17"/>
      <c r="AT590" s="17"/>
    </row>
    <row r="591" spans="1:46" x14ac:dyDescent="0.25">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17"/>
      <c r="AB591" s="17"/>
      <c r="AC591" s="17"/>
      <c r="AD591" s="17"/>
      <c r="AE591" s="17"/>
      <c r="AF591" s="17"/>
      <c r="AG591" s="17"/>
      <c r="AH591" s="17"/>
      <c r="AI591" s="17"/>
      <c r="AJ591" s="17"/>
      <c r="AK591" s="17"/>
      <c r="AL591" s="17"/>
      <c r="AM591" s="17"/>
      <c r="AN591" s="17"/>
      <c r="AO591" s="17"/>
      <c r="AP591" s="17"/>
      <c r="AQ591" s="17"/>
      <c r="AR591" s="17"/>
    </row>
    <row r="592" spans="1:46" x14ac:dyDescent="0.25">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17"/>
      <c r="AB592" s="17"/>
      <c r="AC592" s="17"/>
      <c r="AD592" s="17"/>
      <c r="AE592" s="17"/>
      <c r="AF592" s="17"/>
      <c r="AG592" s="17"/>
      <c r="AH592" s="17"/>
      <c r="AI592" s="17"/>
      <c r="AJ592" s="17"/>
      <c r="AK592" s="17"/>
      <c r="AL592" s="17"/>
      <c r="AM592" s="17"/>
      <c r="AN592" s="17"/>
      <c r="AO592" s="17"/>
      <c r="AP592" s="17"/>
      <c r="AQ592" s="17"/>
      <c r="AR592" s="17"/>
    </row>
  </sheetData>
  <mergeCells count="1">
    <mergeCell ref="E20:H20"/>
  </mergeCells>
  <phoneticPr fontId="15" type="noConversion"/>
  <conditionalFormatting sqref="E24">
    <cfRule type="notContainsBlanks" dxfId="71" priority="2">
      <formula>LEN(TRIM(E24))&gt;0</formula>
    </cfRule>
  </conditionalFormatting>
  <conditionalFormatting sqref="G24">
    <cfRule type="notContainsBlanks" dxfId="70" priority="1">
      <formula>LEN(TRIM(G24))&gt;0</formula>
    </cfRule>
  </conditionalFormatting>
  <hyperlinks>
    <hyperlink ref="C236" r:id="rId1" xr:uid="{EA9CC93B-0A1A-49B0-8DA5-339EB671BBE0}"/>
    <hyperlink ref="C237" r:id="rId2" xr:uid="{7CACD6E4-BA13-46D5-B18E-E94036C1F382}"/>
    <hyperlink ref="C238" r:id="rId3" xr:uid="{2F638017-FB11-44D5-A11D-30D11898D235}"/>
    <hyperlink ref="C239" r:id="rId4" xr:uid="{C48C699A-F94E-4DB9-A35B-0F520A77DF9F}"/>
    <hyperlink ref="C240" r:id="rId5" xr:uid="{F84DBCD9-13DD-4D48-9326-ADDA5A25E598}"/>
    <hyperlink ref="C241" r:id="rId6" xr:uid="{F12F36FB-9155-492A-80DC-F44AA989CD91}"/>
    <hyperlink ref="C242" r:id="rId7" xr:uid="{672CA481-6F88-4C47-87B4-F199EFD89F40}"/>
    <hyperlink ref="C243" r:id="rId8" xr:uid="{36F77033-1CB6-4430-BEF8-53220CA0F8A3}"/>
    <hyperlink ref="C244" r:id="rId9" xr:uid="{3934CF74-664D-4FCC-BC03-396AF7C087E9}"/>
    <hyperlink ref="C251" r:id="rId10" xr:uid="{B87FC149-B2FF-40EC-BF6F-F951399EC469}"/>
    <hyperlink ref="C252:C254" r:id="rId11" display="Song" xr:uid="{9077B5FC-61BC-4BFD-A66C-40322EA91280}"/>
    <hyperlink ref="C255" r:id="rId12" xr:uid="{74AB91CC-0314-42D9-B201-4D6CBFC69BBF}"/>
    <hyperlink ref="C256:C260" r:id="rId13" display="Bradic" xr:uid="{DF76F148-EC4B-49A1-98FA-EAF2653E1F37}"/>
    <hyperlink ref="C261" r:id="rId14" xr:uid="{1B05C695-7E82-401D-8121-639E8E6984DB}"/>
    <hyperlink ref="C262:C268" r:id="rId15" display="Payne" xr:uid="{E137932D-7A3C-4196-B8EE-D4B2218DC9CE}"/>
    <hyperlink ref="C271" r:id="rId16" xr:uid="{87D81252-71D4-46ED-8FA6-8C5E748D7EED}"/>
    <hyperlink ref="C272" r:id="rId17" xr:uid="{14CC30AD-1B45-4A81-8F46-9484A9BCEBFE}"/>
    <hyperlink ref="C273:C274" r:id="rId18" display="Silva" xr:uid="{0B71EF72-D19D-4FC2-B895-7FBEFBAC6CE5}"/>
    <hyperlink ref="C275" r:id="rId19" xr:uid="{BF6480BB-451D-4A84-89EF-2FB41F59A1C9}"/>
    <hyperlink ref="C276" r:id="rId20" xr:uid="{13A2FF82-0349-462E-A4E3-C3DFB38C5E8A}"/>
    <hyperlink ref="C277:C278" r:id="rId21" display="Silva" xr:uid="{36F9F628-83DD-4A2A-BC41-B41B7AA727EB}"/>
    <hyperlink ref="C287:C292" r:id="rId22" display="Gerodimos" xr:uid="{D60BC920-9DE8-4B09-8F7A-64411F92A98A}"/>
    <hyperlink ref="C293:C298" r:id="rId23" display="Gerodimos" xr:uid="{6BD74C50-7C70-4759-AEEA-1C71F1F46CEF}"/>
    <hyperlink ref="C299:C304" r:id="rId24" display="Gerodimos" xr:uid="{88506567-E7CC-4774-9745-C4E409BE8B3B}"/>
    <hyperlink ref="C305:C310" r:id="rId25" display="Gerodimos" xr:uid="{5A22FFF2-7B42-418D-B2D1-5FDC9C7462A0}"/>
    <hyperlink ref="C311" r:id="rId26" xr:uid="{913FF918-4862-42E4-8580-F3EB60B6B013}"/>
    <hyperlink ref="C312" r:id="rId27" xr:uid="{C830EE2E-C4A6-4A3B-88B5-1F841708BE8C}"/>
    <hyperlink ref="C313:C318" r:id="rId28" display="Wang" xr:uid="{1E259B38-8211-4AC5-A9ED-37B91FA61D90}"/>
    <hyperlink ref="C319" r:id="rId29" xr:uid="{BEF830F6-DED8-4B4C-A7BD-C2BF99C246DD}"/>
    <hyperlink ref="C320:C322" r:id="rId30" display="Ordway" xr:uid="{F8F23FD1-BF22-463E-A59B-43900F64ED05}"/>
    <hyperlink ref="C323" r:id="rId31" xr:uid="{90D4ABE2-0155-4E4F-9163-A23567837D65}"/>
    <hyperlink ref="C269" r:id="rId32" xr:uid="{FA402B93-930D-48B0-8CA1-03D5F0E1F622}"/>
    <hyperlink ref="C270" r:id="rId33" xr:uid="{C5F9A5BB-A135-43A0-A32E-80FD5B45BC6F}"/>
    <hyperlink ref="C333" r:id="rId34" xr:uid="{A2894BB5-8B5F-474E-9357-5D1D2B5E7456}"/>
    <hyperlink ref="C334:C339" r:id="rId35" display="Song" xr:uid="{13234E5B-325D-4597-BDED-D8E7D9EB2B54}"/>
    <hyperlink ref="C340" r:id="rId36" xr:uid="{20BB88AD-67AC-43D6-9682-5D66BD41A3BC}"/>
  </hyperlinks>
  <pageMargins left="0.7" right="0.7" top="0.75" bottom="0.75" header="0.3" footer="0.3"/>
  <pageSetup orientation="portrait" r:id="rId37"/>
  <drawing r:id="rId38"/>
  <legacyDrawing r:id="rId39"/>
  <controls>
    <mc:AlternateContent xmlns:mc="http://schemas.openxmlformats.org/markup-compatibility/2006">
      <mc:Choice Requires="x14">
        <control shapeId="6145" r:id="rId40" name="TextBox1">
          <controlPr defaultSize="0" autoLine="0" linkedCell="V2" r:id="rId41">
            <anchor moveWithCells="1">
              <from>
                <xdr:col>20</xdr:col>
                <xdr:colOff>400050</xdr:colOff>
                <xdr:row>1</xdr:row>
                <xdr:rowOff>0</xdr:rowOff>
              </from>
              <to>
                <xdr:col>23</xdr:col>
                <xdr:colOff>1543050</xdr:colOff>
                <xdr:row>2</xdr:row>
                <xdr:rowOff>9525</xdr:rowOff>
              </to>
            </anchor>
          </controlPr>
        </control>
      </mc:Choice>
      <mc:Fallback>
        <control shapeId="6145" r:id="rId40" name="TextBox1"/>
      </mc:Fallback>
    </mc:AlternateContent>
  </controls>
  <tableParts count="1">
    <tablePart r:id="rId42"/>
  </tableParts>
  <extLst>
    <ext xmlns:x15="http://schemas.microsoft.com/office/spreadsheetml/2010/11/main" uri="{3A4CF648-6AED-40f4-86FF-DC5316D8AED3}">
      <x14:slicerList xmlns:x14="http://schemas.microsoft.com/office/spreadsheetml/2009/9/main">
        <x14:slicer r:id="rId4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8165C-C809-47B1-B295-DA072095B0BF}">
  <sheetPr codeName="Sheet21"/>
  <dimension ref="A1:X2012"/>
  <sheetViews>
    <sheetView zoomScale="70" zoomScaleNormal="70" workbookViewId="0">
      <selection activeCell="E32" sqref="E32"/>
    </sheetView>
  </sheetViews>
  <sheetFormatPr defaultRowHeight="15" x14ac:dyDescent="0.25"/>
  <cols>
    <col min="1" max="7" width="16.85546875" customWidth="1"/>
    <col min="8" max="8" width="20.5703125" customWidth="1"/>
    <col min="9" max="19" width="16.85546875" customWidth="1"/>
    <col min="20" max="22" width="15.7109375" style="27" customWidth="1"/>
  </cols>
  <sheetData>
    <row r="1" spans="1:24" x14ac:dyDescent="0.25">
      <c r="A1" s="237"/>
      <c r="B1" s="236"/>
      <c r="C1" s="236"/>
      <c r="D1" s="236"/>
      <c r="E1" s="236"/>
      <c r="F1" s="236"/>
      <c r="G1" s="236"/>
      <c r="H1" s="236"/>
      <c r="I1" s="236"/>
      <c r="J1" s="236"/>
      <c r="K1" s="236"/>
      <c r="L1" s="236"/>
      <c r="M1" s="236"/>
      <c r="N1" s="236"/>
      <c r="O1" s="236"/>
      <c r="P1" s="236"/>
      <c r="Q1" s="236"/>
      <c r="R1" s="236"/>
      <c r="S1" s="236"/>
      <c r="T1" s="236"/>
      <c r="U1" s="236"/>
      <c r="V1" s="236"/>
      <c r="W1" s="238"/>
      <c r="X1" s="27"/>
    </row>
    <row r="2" spans="1:24" ht="28.5" x14ac:dyDescent="0.45">
      <c r="A2" s="314" t="s">
        <v>303</v>
      </c>
      <c r="B2" s="315"/>
      <c r="C2" s="315"/>
      <c r="D2" s="315"/>
      <c r="E2" s="315"/>
      <c r="F2" s="315"/>
      <c r="G2" s="315"/>
      <c r="H2" s="315"/>
      <c r="I2" s="315"/>
      <c r="J2" s="315"/>
      <c r="K2" s="315"/>
      <c r="L2" s="315"/>
      <c r="M2" s="315"/>
      <c r="N2" s="315"/>
      <c r="O2" s="315"/>
      <c r="P2" s="315"/>
      <c r="Q2" s="315"/>
      <c r="R2" s="315"/>
      <c r="S2" s="315"/>
      <c r="T2" s="315"/>
      <c r="U2" s="315"/>
      <c r="V2" s="315"/>
      <c r="W2" s="144"/>
      <c r="X2" s="27"/>
    </row>
    <row r="3" spans="1:24" x14ac:dyDescent="0.25">
      <c r="A3" s="143"/>
      <c r="B3" s="231"/>
      <c r="C3" s="231"/>
      <c r="D3" s="231"/>
      <c r="E3" s="231"/>
      <c r="F3" s="231"/>
      <c r="G3" s="231"/>
      <c r="H3" s="231"/>
      <c r="I3" s="231"/>
      <c r="J3" s="231"/>
      <c r="K3" s="231"/>
      <c r="L3" s="27"/>
      <c r="M3" s="27"/>
      <c r="N3" s="27"/>
      <c r="O3" s="27"/>
      <c r="P3" s="27"/>
      <c r="Q3" s="27"/>
      <c r="R3" s="27"/>
      <c r="S3" s="27"/>
      <c r="W3" s="144"/>
      <c r="X3" s="144"/>
    </row>
    <row r="4" spans="1:24" ht="15.75" thickBot="1" x14ac:dyDescent="0.3">
      <c r="A4" s="145"/>
      <c r="B4" s="146"/>
      <c r="C4" s="146"/>
      <c r="D4" s="146"/>
      <c r="E4" s="146"/>
      <c r="F4" s="146"/>
      <c r="G4" s="146"/>
      <c r="H4" s="146"/>
      <c r="I4" s="146"/>
      <c r="J4" s="146"/>
      <c r="K4" s="146"/>
      <c r="L4" s="147"/>
      <c r="M4" s="147"/>
      <c r="N4" s="147"/>
      <c r="O4" s="147"/>
      <c r="P4" s="147"/>
      <c r="Q4" s="147"/>
      <c r="R4" s="147"/>
      <c r="S4" s="147"/>
      <c r="T4" s="147"/>
      <c r="U4" s="147"/>
      <c r="V4" s="147"/>
      <c r="W4" s="144"/>
      <c r="X4" s="144"/>
    </row>
    <row r="5" spans="1:24" ht="28.5" customHeight="1" x14ac:dyDescent="0.4">
      <c r="A5" s="316" t="s">
        <v>304</v>
      </c>
      <c r="B5" s="317"/>
      <c r="C5" s="317"/>
      <c r="D5" s="318"/>
      <c r="E5" s="316" t="s">
        <v>309</v>
      </c>
      <c r="F5" s="317"/>
      <c r="G5" s="317"/>
      <c r="H5" s="318"/>
      <c r="I5" s="317" t="s">
        <v>310</v>
      </c>
      <c r="J5" s="317"/>
      <c r="K5" s="317"/>
      <c r="L5" s="318"/>
      <c r="M5" s="316" t="s">
        <v>311</v>
      </c>
      <c r="N5" s="317"/>
      <c r="O5" s="317"/>
      <c r="P5" s="318"/>
      <c r="Q5" s="262" t="s">
        <v>312</v>
      </c>
      <c r="R5" s="263"/>
      <c r="S5" s="264"/>
      <c r="T5" s="259" t="s">
        <v>399</v>
      </c>
      <c r="U5" s="260"/>
      <c r="V5" s="261"/>
      <c r="W5" s="144"/>
      <c r="X5" s="144"/>
    </row>
    <row r="6" spans="1:24" ht="32.25" customHeight="1" x14ac:dyDescent="0.4">
      <c r="A6" s="208"/>
      <c r="B6" s="232"/>
      <c r="C6" s="232"/>
      <c r="D6" s="209"/>
      <c r="E6" s="208"/>
      <c r="F6" s="232"/>
      <c r="G6" s="232"/>
      <c r="H6" s="209"/>
      <c r="I6" s="232"/>
      <c r="J6" s="232"/>
      <c r="K6" s="232"/>
      <c r="L6" s="209"/>
      <c r="M6" s="208"/>
      <c r="N6" s="232"/>
      <c r="O6" s="232"/>
      <c r="P6" s="209"/>
      <c r="Q6" s="262"/>
      <c r="R6" s="263"/>
      <c r="S6" s="264"/>
      <c r="T6" s="262"/>
      <c r="U6" s="263"/>
      <c r="V6" s="264"/>
      <c r="W6" s="144"/>
      <c r="X6" s="144"/>
    </row>
    <row r="7" spans="1:24" ht="11.25" customHeight="1" x14ac:dyDescent="0.4">
      <c r="A7" s="208"/>
      <c r="B7" s="232"/>
      <c r="C7" s="232"/>
      <c r="D7" s="209"/>
      <c r="E7" s="208"/>
      <c r="F7" s="232"/>
      <c r="G7" s="232"/>
      <c r="H7" s="209"/>
      <c r="I7" s="232"/>
      <c r="J7" s="232"/>
      <c r="K7" s="232"/>
      <c r="L7" s="209"/>
      <c r="M7" s="208"/>
      <c r="N7" s="232"/>
      <c r="O7" s="232"/>
      <c r="P7" s="209"/>
      <c r="Q7" s="262"/>
      <c r="R7" s="263"/>
      <c r="S7" s="264"/>
      <c r="T7" s="262"/>
      <c r="U7" s="263"/>
      <c r="V7" s="264"/>
      <c r="W7" s="144"/>
      <c r="X7" s="144"/>
    </row>
    <row r="8" spans="1:24" ht="15" customHeight="1" x14ac:dyDescent="0.25">
      <c r="A8" s="84"/>
      <c r="B8" s="233"/>
      <c r="C8" s="233"/>
      <c r="D8" s="85"/>
      <c r="E8" s="84"/>
      <c r="F8" s="233"/>
      <c r="G8" s="233"/>
      <c r="H8" s="85"/>
      <c r="I8" s="233"/>
      <c r="J8" s="233"/>
      <c r="K8" s="233"/>
      <c r="L8" s="85"/>
      <c r="M8" s="84"/>
      <c r="N8" s="233"/>
      <c r="O8" s="233"/>
      <c r="P8" s="85"/>
      <c r="Q8" s="262"/>
      <c r="R8" s="263"/>
      <c r="S8" s="264"/>
      <c r="T8" s="262"/>
      <c r="U8" s="263"/>
      <c r="V8" s="264"/>
      <c r="W8" s="144"/>
      <c r="X8" s="144"/>
    </row>
    <row r="9" spans="1:24" ht="15.75" customHeight="1" thickBot="1" x14ac:dyDescent="0.3">
      <c r="A9" s="84"/>
      <c r="B9" s="233"/>
      <c r="C9" s="233"/>
      <c r="D9" s="85"/>
      <c r="E9" s="84"/>
      <c r="F9" s="233"/>
      <c r="G9" s="233"/>
      <c r="H9" s="85"/>
      <c r="I9" s="233"/>
      <c r="J9" s="233"/>
      <c r="K9" s="233"/>
      <c r="L9" s="85"/>
      <c r="M9" s="84"/>
      <c r="N9" s="233"/>
      <c r="O9" s="233"/>
      <c r="P9" s="85"/>
      <c r="Q9" s="265"/>
      <c r="R9" s="266"/>
      <c r="S9" s="267"/>
      <c r="T9" s="265"/>
      <c r="U9" s="266"/>
      <c r="V9" s="267"/>
      <c r="W9" s="144"/>
      <c r="X9" s="144"/>
    </row>
    <row r="10" spans="1:24" ht="30" customHeight="1" thickBot="1" x14ac:dyDescent="0.5">
      <c r="A10" s="319" t="s">
        <v>305</v>
      </c>
      <c r="B10" s="320"/>
      <c r="C10" s="320"/>
      <c r="D10" s="321"/>
      <c r="E10" s="322" t="s">
        <v>393</v>
      </c>
      <c r="F10" s="323"/>
      <c r="G10" s="323"/>
      <c r="H10" s="324"/>
      <c r="I10" s="325" t="s">
        <v>1</v>
      </c>
      <c r="J10" s="326"/>
      <c r="K10" s="326"/>
      <c r="L10" s="327"/>
      <c r="M10" s="328" t="s">
        <v>368</v>
      </c>
      <c r="N10" s="329"/>
      <c r="O10" s="329"/>
      <c r="P10" s="330"/>
      <c r="Q10" s="271" t="s">
        <v>400</v>
      </c>
      <c r="R10" s="272"/>
      <c r="S10" s="273"/>
      <c r="T10" s="271" t="s">
        <v>400</v>
      </c>
      <c r="U10" s="272"/>
      <c r="V10" s="273"/>
      <c r="W10" s="144"/>
      <c r="X10" s="144"/>
    </row>
    <row r="11" spans="1:24" ht="45" customHeight="1" thickBot="1" x14ac:dyDescent="0.4">
      <c r="A11" s="331" t="s">
        <v>306</v>
      </c>
      <c r="B11" s="332"/>
      <c r="C11" s="280" t="s">
        <v>388</v>
      </c>
      <c r="D11" s="310"/>
      <c r="E11" s="280" t="s">
        <v>306</v>
      </c>
      <c r="F11" s="310"/>
      <c r="G11" s="281" t="s">
        <v>388</v>
      </c>
      <c r="H11" s="310"/>
      <c r="I11" s="280" t="s">
        <v>0</v>
      </c>
      <c r="J11" s="281"/>
      <c r="K11" s="281"/>
      <c r="L11" s="282"/>
      <c r="M11" s="280" t="s">
        <v>0</v>
      </c>
      <c r="N11" s="281"/>
      <c r="O11" s="281"/>
      <c r="P11" s="282"/>
      <c r="Q11" s="268" t="s">
        <v>0</v>
      </c>
      <c r="R11" s="269"/>
      <c r="S11" s="270"/>
      <c r="T11" s="268" t="s">
        <v>0</v>
      </c>
      <c r="U11" s="269"/>
      <c r="V11" s="270"/>
      <c r="W11" s="144"/>
      <c r="X11" s="144"/>
    </row>
    <row r="12" spans="1:24" ht="34.5" customHeight="1" x14ac:dyDescent="0.25">
      <c r="A12" s="333" t="s">
        <v>307</v>
      </c>
      <c r="B12" s="334"/>
      <c r="C12" s="363" t="s">
        <v>308</v>
      </c>
      <c r="D12" s="364"/>
      <c r="E12" s="311" t="s">
        <v>387</v>
      </c>
      <c r="F12" s="312"/>
      <c r="G12" s="311" t="s">
        <v>386</v>
      </c>
      <c r="H12" s="312"/>
      <c r="I12" s="289" t="s">
        <v>396</v>
      </c>
      <c r="J12" s="290"/>
      <c r="K12" s="290"/>
      <c r="L12" s="291"/>
      <c r="M12" s="277" t="s">
        <v>401</v>
      </c>
      <c r="N12" s="278"/>
      <c r="O12" s="278"/>
      <c r="P12" s="279"/>
      <c r="Q12" s="289" t="s">
        <v>416</v>
      </c>
      <c r="R12" s="290"/>
      <c r="S12" s="291"/>
      <c r="T12" s="139"/>
      <c r="U12" s="140"/>
      <c r="V12" s="138"/>
      <c r="W12" s="144"/>
      <c r="X12" s="144"/>
    </row>
    <row r="13" spans="1:24" ht="33" customHeight="1" x14ac:dyDescent="0.25">
      <c r="A13" s="365" t="s">
        <v>376</v>
      </c>
      <c r="B13" s="366"/>
      <c r="C13" s="367" t="s">
        <v>379</v>
      </c>
      <c r="D13" s="368"/>
      <c r="E13" s="304" t="s">
        <v>390</v>
      </c>
      <c r="F13" s="305"/>
      <c r="G13" s="304" t="s">
        <v>389</v>
      </c>
      <c r="H13" s="305"/>
      <c r="I13" s="308" t="s">
        <v>397</v>
      </c>
      <c r="J13" s="255"/>
      <c r="K13" s="255"/>
      <c r="L13" s="309"/>
      <c r="M13" s="86"/>
      <c r="N13" s="233"/>
      <c r="O13" s="233"/>
      <c r="P13" s="87"/>
      <c r="Q13" s="142"/>
      <c r="R13" s="64"/>
      <c r="S13" s="141"/>
      <c r="T13" s="142"/>
      <c r="U13" s="64"/>
      <c r="V13" s="141"/>
      <c r="W13" s="144"/>
      <c r="X13" s="144"/>
    </row>
    <row r="14" spans="1:24" ht="32.25" customHeight="1" thickBot="1" x14ac:dyDescent="0.3">
      <c r="A14" s="359" t="s">
        <v>378</v>
      </c>
      <c r="B14" s="360"/>
      <c r="C14" s="361" t="s">
        <v>377</v>
      </c>
      <c r="D14" s="362"/>
      <c r="E14" s="304" t="s">
        <v>391</v>
      </c>
      <c r="F14" s="305"/>
      <c r="G14" s="304" t="s">
        <v>392</v>
      </c>
      <c r="H14" s="305"/>
      <c r="I14" s="353" t="s">
        <v>398</v>
      </c>
      <c r="J14" s="354"/>
      <c r="K14" s="354"/>
      <c r="L14" s="355"/>
      <c r="M14" s="274" t="s">
        <v>402</v>
      </c>
      <c r="N14" s="275"/>
      <c r="O14" s="275"/>
      <c r="P14" s="276"/>
      <c r="Q14" s="274" t="s">
        <v>417</v>
      </c>
      <c r="R14" s="275"/>
      <c r="S14" s="276"/>
      <c r="T14" s="142"/>
      <c r="U14" s="64"/>
      <c r="V14" s="141"/>
      <c r="W14" s="144"/>
      <c r="X14" s="144"/>
    </row>
    <row r="15" spans="1:24" ht="33.75" customHeight="1" thickBot="1" x14ac:dyDescent="0.3">
      <c r="A15" s="304" t="s">
        <v>380</v>
      </c>
      <c r="B15" s="305"/>
      <c r="C15" s="190" t="s">
        <v>381</v>
      </c>
      <c r="D15" s="191"/>
      <c r="E15" s="304" t="s">
        <v>395</v>
      </c>
      <c r="F15" s="305"/>
      <c r="G15" s="306" t="s">
        <v>394</v>
      </c>
      <c r="H15" s="307"/>
      <c r="I15" s="353"/>
      <c r="J15" s="354"/>
      <c r="K15" s="354"/>
      <c r="L15" s="355"/>
      <c r="M15" s="346" t="s">
        <v>369</v>
      </c>
      <c r="N15" s="278"/>
      <c r="O15" s="278"/>
      <c r="P15" s="279"/>
      <c r="Q15" s="274" t="s">
        <v>418</v>
      </c>
      <c r="R15" s="275"/>
      <c r="S15" s="276"/>
      <c r="T15" s="142"/>
      <c r="U15" s="64"/>
      <c r="V15" s="141"/>
      <c r="W15" s="144"/>
      <c r="X15" s="144"/>
    </row>
    <row r="16" spans="1:24" ht="24.75" customHeight="1" x14ac:dyDescent="0.25">
      <c r="A16" s="304" t="s">
        <v>382</v>
      </c>
      <c r="B16" s="305"/>
      <c r="C16" s="361" t="s">
        <v>383</v>
      </c>
      <c r="D16" s="362"/>
      <c r="E16" s="84"/>
      <c r="F16" s="85"/>
      <c r="G16" s="233"/>
      <c r="H16" s="85"/>
      <c r="I16" s="353"/>
      <c r="J16" s="354"/>
      <c r="K16" s="354"/>
      <c r="L16" s="355"/>
      <c r="M16" s="347" t="s">
        <v>403</v>
      </c>
      <c r="N16" s="348"/>
      <c r="O16" s="283" t="s">
        <v>404</v>
      </c>
      <c r="P16" s="284"/>
      <c r="Q16" s="142"/>
      <c r="R16" s="64"/>
      <c r="S16" s="141"/>
      <c r="T16" s="142"/>
      <c r="U16" s="64"/>
      <c r="V16" s="141"/>
      <c r="W16" s="144"/>
      <c r="X16" s="144"/>
    </row>
    <row r="17" spans="1:24" ht="27" customHeight="1" x14ac:dyDescent="0.25">
      <c r="A17" s="304" t="s">
        <v>384</v>
      </c>
      <c r="B17" s="305"/>
      <c r="C17" s="359" t="s">
        <v>385</v>
      </c>
      <c r="D17" s="360"/>
      <c r="E17" s="84"/>
      <c r="F17" s="85"/>
      <c r="G17" s="233"/>
      <c r="H17" s="85"/>
      <c r="I17" s="353"/>
      <c r="J17" s="354"/>
      <c r="K17" s="354"/>
      <c r="L17" s="355"/>
      <c r="M17" s="349"/>
      <c r="N17" s="350"/>
      <c r="O17" s="285"/>
      <c r="P17" s="286"/>
      <c r="Q17" s="142"/>
      <c r="R17" s="64"/>
      <c r="S17" s="141"/>
      <c r="T17" s="142"/>
      <c r="U17" s="64"/>
      <c r="V17" s="141"/>
      <c r="W17" s="144"/>
      <c r="X17" s="144"/>
    </row>
    <row r="18" spans="1:24" ht="24.75" customHeight="1" x14ac:dyDescent="0.25">
      <c r="A18" s="343"/>
      <c r="B18" s="344"/>
      <c r="C18" s="343"/>
      <c r="D18" s="344"/>
      <c r="E18" s="84"/>
      <c r="F18" s="85"/>
      <c r="G18" s="233"/>
      <c r="H18" s="85"/>
      <c r="I18" s="353"/>
      <c r="J18" s="354"/>
      <c r="K18" s="354"/>
      <c r="L18" s="355"/>
      <c r="M18" s="349"/>
      <c r="N18" s="350"/>
      <c r="O18" s="285"/>
      <c r="P18" s="286"/>
      <c r="Q18" s="142"/>
      <c r="R18" s="64"/>
      <c r="S18" s="141"/>
      <c r="T18" s="142"/>
      <c r="U18" s="64"/>
      <c r="V18" s="141"/>
      <c r="W18" s="144"/>
      <c r="X18" s="144"/>
    </row>
    <row r="19" spans="1:24" x14ac:dyDescent="0.25">
      <c r="A19" s="84"/>
      <c r="B19" s="85"/>
      <c r="C19" s="233"/>
      <c r="D19" s="85"/>
      <c r="E19" s="84"/>
      <c r="F19" s="85"/>
      <c r="G19" s="233"/>
      <c r="H19" s="85"/>
      <c r="I19" s="353"/>
      <c r="J19" s="354"/>
      <c r="K19" s="354"/>
      <c r="L19" s="355"/>
      <c r="M19" s="349"/>
      <c r="N19" s="350"/>
      <c r="O19" s="285"/>
      <c r="P19" s="286"/>
      <c r="Q19" s="142"/>
      <c r="R19" s="64"/>
      <c r="S19" s="141"/>
      <c r="T19" s="142"/>
      <c r="U19" s="64"/>
      <c r="V19" s="141"/>
      <c r="W19" s="144"/>
      <c r="X19" s="144"/>
    </row>
    <row r="20" spans="1:24" x14ac:dyDescent="0.25">
      <c r="A20" s="84"/>
      <c r="B20" s="85"/>
      <c r="C20" s="233"/>
      <c r="D20" s="85"/>
      <c r="E20" s="84"/>
      <c r="F20" s="85"/>
      <c r="G20" s="233"/>
      <c r="H20" s="85"/>
      <c r="I20" s="353"/>
      <c r="J20" s="354"/>
      <c r="K20" s="354"/>
      <c r="L20" s="355"/>
      <c r="M20" s="349"/>
      <c r="N20" s="350"/>
      <c r="O20" s="285"/>
      <c r="P20" s="286"/>
      <c r="Q20" s="142"/>
      <c r="R20" s="64"/>
      <c r="S20" s="141"/>
      <c r="T20" s="142"/>
      <c r="U20" s="64"/>
      <c r="V20" s="141"/>
      <c r="W20" s="144"/>
      <c r="X20" s="144"/>
    </row>
    <row r="21" spans="1:24" x14ac:dyDescent="0.25">
      <c r="A21" s="84"/>
      <c r="B21" s="85"/>
      <c r="C21" s="233"/>
      <c r="D21" s="85"/>
      <c r="E21" s="84"/>
      <c r="F21" s="85"/>
      <c r="G21" s="233"/>
      <c r="H21" s="85"/>
      <c r="I21" s="353"/>
      <c r="J21" s="354"/>
      <c r="K21" s="354"/>
      <c r="L21" s="355"/>
      <c r="M21" s="349"/>
      <c r="N21" s="350"/>
      <c r="O21" s="285"/>
      <c r="P21" s="286"/>
      <c r="Q21" s="142"/>
      <c r="R21" s="64"/>
      <c r="S21" s="141"/>
      <c r="T21" s="142"/>
      <c r="U21" s="64"/>
      <c r="V21" s="141"/>
      <c r="W21" s="144"/>
      <c r="X21" s="144"/>
    </row>
    <row r="22" spans="1:24" ht="15.75" thickBot="1" x14ac:dyDescent="0.3">
      <c r="A22" s="84"/>
      <c r="B22" s="85"/>
      <c r="C22" s="233"/>
      <c r="D22" s="85"/>
      <c r="E22" s="84"/>
      <c r="F22" s="85"/>
      <c r="G22" s="233"/>
      <c r="H22" s="85"/>
      <c r="I22" s="353"/>
      <c r="J22" s="354"/>
      <c r="K22" s="354"/>
      <c r="L22" s="355"/>
      <c r="M22" s="351"/>
      <c r="N22" s="352"/>
      <c r="O22" s="287"/>
      <c r="P22" s="288"/>
      <c r="Q22" s="142"/>
      <c r="R22" s="64"/>
      <c r="S22" s="141"/>
      <c r="T22" s="142"/>
      <c r="U22" s="64"/>
      <c r="V22" s="141"/>
      <c r="W22" s="144"/>
      <c r="X22" s="144"/>
    </row>
    <row r="23" spans="1:24" ht="15.75" thickBot="1" x14ac:dyDescent="0.3">
      <c r="A23" s="88"/>
      <c r="B23" s="90"/>
      <c r="C23" s="89"/>
      <c r="D23" s="90"/>
      <c r="E23" s="88"/>
      <c r="F23" s="90"/>
      <c r="G23" s="89"/>
      <c r="H23" s="90"/>
      <c r="I23" s="356"/>
      <c r="J23" s="357"/>
      <c r="K23" s="357"/>
      <c r="L23" s="358"/>
      <c r="M23" s="289"/>
      <c r="N23" s="290"/>
      <c r="O23" s="290"/>
      <c r="P23" s="291"/>
      <c r="Q23" s="189"/>
      <c r="R23" s="65"/>
      <c r="S23" s="188"/>
      <c r="T23" s="189"/>
      <c r="U23" s="65"/>
      <c r="V23" s="188"/>
      <c r="W23" s="144"/>
      <c r="X23" s="144"/>
    </row>
    <row r="24" spans="1:24" x14ac:dyDescent="0.25">
      <c r="A24" s="143"/>
      <c r="B24" s="231"/>
      <c r="C24" s="231"/>
      <c r="D24" s="231"/>
      <c r="E24" s="231"/>
      <c r="F24" s="231"/>
      <c r="G24" s="231"/>
      <c r="H24" s="231"/>
      <c r="I24" s="231"/>
      <c r="J24" s="231"/>
      <c r="K24" s="231"/>
      <c r="L24" s="27"/>
      <c r="M24" s="274"/>
      <c r="N24" s="275"/>
      <c r="O24" s="275"/>
      <c r="P24" s="276"/>
      <c r="Q24" s="27"/>
      <c r="R24" s="27"/>
      <c r="S24" s="27"/>
      <c r="W24" s="144"/>
      <c r="X24" s="144"/>
    </row>
    <row r="25" spans="1:24" x14ac:dyDescent="0.25">
      <c r="A25" s="143"/>
      <c r="B25" s="231"/>
      <c r="C25" s="231"/>
      <c r="D25" s="231"/>
      <c r="E25" s="231"/>
      <c r="F25" s="231"/>
      <c r="G25" s="231"/>
      <c r="H25" s="231"/>
      <c r="I25" s="231"/>
      <c r="J25" s="231"/>
      <c r="K25" s="231"/>
      <c r="L25" s="27"/>
      <c r="M25" s="274"/>
      <c r="N25" s="275"/>
      <c r="O25" s="275"/>
      <c r="P25" s="276"/>
      <c r="Q25" s="27"/>
      <c r="R25" s="27"/>
      <c r="S25" s="27"/>
      <c r="W25" s="144"/>
      <c r="X25" s="144"/>
    </row>
    <row r="26" spans="1:24" x14ac:dyDescent="0.25">
      <c r="A26" s="143"/>
      <c r="B26" s="231"/>
      <c r="C26" s="231"/>
      <c r="D26" s="231"/>
      <c r="E26" s="231"/>
      <c r="F26" s="231"/>
      <c r="G26" s="231"/>
      <c r="H26" s="231"/>
      <c r="I26" s="231"/>
      <c r="J26" s="231"/>
      <c r="K26" s="231"/>
      <c r="L26" s="27"/>
      <c r="M26" s="274"/>
      <c r="N26" s="275"/>
      <c r="O26" s="275"/>
      <c r="P26" s="276"/>
      <c r="Q26" s="234"/>
      <c r="R26" s="234"/>
      <c r="S26" s="27"/>
      <c r="W26" s="144"/>
      <c r="X26" s="144"/>
    </row>
    <row r="27" spans="1:24" x14ac:dyDescent="0.25">
      <c r="A27" s="143"/>
      <c r="B27" s="231"/>
      <c r="C27" s="231"/>
      <c r="D27" s="231"/>
      <c r="E27" s="231"/>
      <c r="F27" s="231"/>
      <c r="G27" s="231"/>
      <c r="H27" s="231"/>
      <c r="I27" s="231"/>
      <c r="J27" s="231"/>
      <c r="K27" s="231"/>
      <c r="L27" s="27"/>
      <c r="M27" s="274"/>
      <c r="N27" s="275"/>
      <c r="O27" s="275"/>
      <c r="P27" s="276"/>
      <c r="Q27" s="235"/>
      <c r="R27" s="235"/>
      <c r="S27" s="27"/>
      <c r="W27" s="144"/>
      <c r="X27" s="144"/>
    </row>
    <row r="28" spans="1:24" ht="15.75" thickBot="1" x14ac:dyDescent="0.3">
      <c r="A28" s="143"/>
      <c r="B28" s="231"/>
      <c r="C28" s="231"/>
      <c r="D28" s="231"/>
      <c r="E28" s="231"/>
      <c r="F28" s="231"/>
      <c r="G28" s="231"/>
      <c r="H28" s="231"/>
      <c r="I28" s="231"/>
      <c r="J28" s="231"/>
      <c r="K28" s="231"/>
      <c r="L28" s="27"/>
      <c r="M28" s="292"/>
      <c r="N28" s="293"/>
      <c r="O28" s="293"/>
      <c r="P28" s="294"/>
      <c r="Q28" s="235"/>
      <c r="R28" s="235"/>
      <c r="S28" s="27"/>
      <c r="W28" s="144"/>
      <c r="X28" s="144"/>
    </row>
    <row r="29" spans="1:24" x14ac:dyDescent="0.25">
      <c r="A29" s="143"/>
      <c r="B29" s="231"/>
      <c r="C29" s="231"/>
      <c r="D29" s="231"/>
      <c r="E29" s="231"/>
      <c r="F29" s="231"/>
      <c r="G29" s="231"/>
      <c r="H29" s="231"/>
      <c r="I29" s="231"/>
      <c r="J29" s="231"/>
      <c r="K29" s="231"/>
      <c r="L29" s="27"/>
      <c r="M29" s="295"/>
      <c r="N29" s="296"/>
      <c r="O29" s="296"/>
      <c r="P29" s="297"/>
      <c r="Q29" s="235"/>
      <c r="R29" s="235"/>
      <c r="S29" s="27"/>
      <c r="W29" s="144"/>
      <c r="X29" s="144"/>
    </row>
    <row r="30" spans="1:24" x14ac:dyDescent="0.25">
      <c r="A30" s="143"/>
      <c r="B30" s="231"/>
      <c r="C30" s="231"/>
      <c r="D30" s="231"/>
      <c r="E30" s="231"/>
      <c r="F30" s="231"/>
      <c r="G30" s="231"/>
      <c r="H30" s="231"/>
      <c r="I30" s="231"/>
      <c r="J30" s="231"/>
      <c r="K30" s="231"/>
      <c r="L30" s="27"/>
      <c r="M30" s="298"/>
      <c r="N30" s="256"/>
      <c r="O30" s="256"/>
      <c r="P30" s="299"/>
      <c r="Q30" s="235"/>
      <c r="R30" s="235"/>
      <c r="S30" s="27"/>
      <c r="W30" s="144"/>
      <c r="X30" s="144"/>
    </row>
    <row r="31" spans="1:24" x14ac:dyDescent="0.25">
      <c r="A31" s="143"/>
      <c r="B31" s="231"/>
      <c r="C31" s="231"/>
      <c r="D31" s="231"/>
      <c r="E31" s="231"/>
      <c r="F31" s="231"/>
      <c r="G31" s="231"/>
      <c r="H31" s="231"/>
      <c r="I31" s="231"/>
      <c r="J31" s="231"/>
      <c r="K31" s="231"/>
      <c r="L31" s="27"/>
      <c r="M31" s="298"/>
      <c r="N31" s="256"/>
      <c r="O31" s="256"/>
      <c r="P31" s="299"/>
      <c r="Q31" s="235"/>
      <c r="R31" s="235"/>
      <c r="S31" s="27"/>
      <c r="W31" s="144"/>
      <c r="X31" s="144"/>
    </row>
    <row r="32" spans="1:24" x14ac:dyDescent="0.25">
      <c r="A32" s="143"/>
      <c r="B32" s="231"/>
      <c r="C32" s="231"/>
      <c r="D32" s="231"/>
      <c r="E32" s="231"/>
      <c r="F32" s="231"/>
      <c r="G32" s="231"/>
      <c r="H32" s="231"/>
      <c r="I32" s="231"/>
      <c r="J32" s="231"/>
      <c r="K32" s="231"/>
      <c r="L32" s="27"/>
      <c r="M32" s="298"/>
      <c r="N32" s="256"/>
      <c r="O32" s="256"/>
      <c r="P32" s="299"/>
      <c r="Q32" s="235"/>
      <c r="R32" s="235"/>
      <c r="S32" s="27"/>
      <c r="W32" s="144"/>
      <c r="X32" s="144"/>
    </row>
    <row r="33" spans="1:24" x14ac:dyDescent="0.25">
      <c r="A33" s="143"/>
      <c r="B33" s="231"/>
      <c r="C33" s="231"/>
      <c r="D33" s="231"/>
      <c r="E33" s="231"/>
      <c r="F33" s="231"/>
      <c r="G33" s="231"/>
      <c r="H33" s="231"/>
      <c r="I33" s="231"/>
      <c r="J33" s="231"/>
      <c r="K33" s="231"/>
      <c r="L33" s="27"/>
      <c r="M33" s="298"/>
      <c r="N33" s="256"/>
      <c r="O33" s="256"/>
      <c r="P33" s="299"/>
      <c r="Q33" s="235"/>
      <c r="R33" s="235"/>
      <c r="S33" s="27"/>
      <c r="W33" s="144"/>
      <c r="X33" s="144"/>
    </row>
    <row r="34" spans="1:24" ht="15" customHeight="1" thickBot="1" x14ac:dyDescent="0.3">
      <c r="A34" s="143"/>
      <c r="B34" s="231"/>
      <c r="C34" s="231"/>
      <c r="D34" s="231"/>
      <c r="E34" s="231"/>
      <c r="F34" s="231"/>
      <c r="G34" s="231"/>
      <c r="H34" s="231"/>
      <c r="I34" s="231"/>
      <c r="J34" s="231"/>
      <c r="K34" s="231"/>
      <c r="L34" s="27"/>
      <c r="M34" s="300"/>
      <c r="N34" s="301"/>
      <c r="O34" s="301"/>
      <c r="P34" s="302"/>
      <c r="Q34" s="235"/>
      <c r="R34" s="235"/>
      <c r="S34" s="27"/>
      <c r="W34" s="144"/>
      <c r="X34" s="144"/>
    </row>
    <row r="35" spans="1:24" ht="15" customHeight="1" x14ac:dyDescent="0.25">
      <c r="A35" s="143"/>
      <c r="B35" s="231"/>
      <c r="C35" s="231"/>
      <c r="D35" s="231"/>
      <c r="E35" s="231"/>
      <c r="F35" s="231"/>
      <c r="G35" s="231"/>
      <c r="H35" s="231"/>
      <c r="I35" s="231"/>
      <c r="J35" s="231"/>
      <c r="K35" s="231"/>
      <c r="L35" s="27"/>
      <c r="M35" s="100"/>
      <c r="N35" s="101"/>
      <c r="O35" s="101"/>
      <c r="P35" s="99"/>
      <c r="Q35" s="27"/>
      <c r="R35" s="27"/>
      <c r="S35" s="27"/>
      <c r="W35" s="144"/>
      <c r="X35" s="144"/>
    </row>
    <row r="36" spans="1:24" ht="70.5" customHeight="1" thickBot="1" x14ac:dyDescent="0.3">
      <c r="A36" s="145"/>
      <c r="B36" s="146"/>
      <c r="C36" s="146"/>
      <c r="D36" s="146"/>
      <c r="E36" s="146"/>
      <c r="F36" s="146"/>
      <c r="G36" s="146"/>
      <c r="H36" s="146"/>
      <c r="I36" s="146"/>
      <c r="J36" s="146"/>
      <c r="K36" s="146"/>
      <c r="L36" s="147"/>
      <c r="M36" s="98"/>
      <c r="N36" s="69"/>
      <c r="O36" s="69"/>
      <c r="P36" s="82"/>
      <c r="Q36" s="147"/>
      <c r="R36" s="147"/>
      <c r="S36" s="147"/>
      <c r="T36" s="147"/>
      <c r="U36" s="147"/>
      <c r="V36" s="147"/>
      <c r="W36" s="148"/>
      <c r="X36" s="148"/>
    </row>
    <row r="37" spans="1:24" x14ac:dyDescent="0.25">
      <c r="A37" s="20"/>
      <c r="B37" s="20"/>
      <c r="C37" s="20"/>
      <c r="D37" s="20"/>
      <c r="E37" s="20"/>
      <c r="F37" s="20"/>
      <c r="G37" s="20"/>
      <c r="H37" s="20"/>
      <c r="I37" s="20"/>
      <c r="J37" s="20"/>
      <c r="K37" s="20"/>
      <c r="T37"/>
      <c r="U37"/>
      <c r="V37"/>
    </row>
    <row r="38" spans="1:24" x14ac:dyDescent="0.25">
      <c r="A38" s="20"/>
      <c r="B38" s="20"/>
      <c r="C38" s="20"/>
      <c r="D38" s="20"/>
      <c r="E38" s="20"/>
      <c r="F38" s="20"/>
      <c r="G38" s="20"/>
      <c r="H38" s="20"/>
      <c r="I38" s="20"/>
      <c r="J38" s="20"/>
      <c r="K38" s="20"/>
      <c r="T38"/>
      <c r="U38"/>
      <c r="V38"/>
    </row>
    <row r="39" spans="1:24" x14ac:dyDescent="0.25">
      <c r="A39" s="20"/>
      <c r="B39" s="20"/>
      <c r="C39" s="20"/>
      <c r="D39" s="20"/>
      <c r="E39" s="20"/>
      <c r="F39" s="20"/>
      <c r="G39" s="20"/>
      <c r="H39" s="20"/>
      <c r="I39" s="20"/>
      <c r="J39" s="20"/>
      <c r="K39" s="20"/>
      <c r="T39"/>
      <c r="U39"/>
      <c r="V39"/>
    </row>
    <row r="40" spans="1:24" x14ac:dyDescent="0.25">
      <c r="A40" s="20"/>
      <c r="B40" s="20"/>
      <c r="C40" s="20"/>
      <c r="D40" s="20"/>
      <c r="E40" s="20"/>
      <c r="F40" s="20"/>
      <c r="G40" s="20"/>
      <c r="H40" s="20"/>
      <c r="I40" s="20"/>
      <c r="J40" s="20"/>
      <c r="K40" s="20"/>
      <c r="T40"/>
      <c r="U40"/>
      <c r="V40"/>
    </row>
    <row r="41" spans="1:24" x14ac:dyDescent="0.25">
      <c r="A41" s="20"/>
      <c r="B41" s="20"/>
      <c r="C41" s="20"/>
      <c r="D41" s="20"/>
      <c r="E41" s="20"/>
      <c r="F41" s="20"/>
      <c r="T41"/>
      <c r="U41"/>
      <c r="V41"/>
    </row>
    <row r="42" spans="1:24" x14ac:dyDescent="0.25">
      <c r="A42" s="20"/>
      <c r="B42" s="20"/>
      <c r="C42" s="20"/>
      <c r="D42" s="20"/>
      <c r="E42" s="20"/>
      <c r="F42" s="20"/>
      <c r="T42"/>
      <c r="U42"/>
      <c r="V42"/>
    </row>
    <row r="43" spans="1:24" x14ac:dyDescent="0.25">
      <c r="A43" s="20"/>
      <c r="B43" s="20"/>
      <c r="C43" s="20"/>
      <c r="D43" s="20"/>
      <c r="E43" s="20"/>
      <c r="F43" s="20"/>
      <c r="T43"/>
      <c r="U43"/>
      <c r="V43"/>
    </row>
    <row r="44" spans="1:24" x14ac:dyDescent="0.25">
      <c r="A44" s="20"/>
      <c r="B44" s="20"/>
      <c r="C44" s="20"/>
      <c r="D44" s="20"/>
      <c r="E44" s="20"/>
      <c r="F44" s="20"/>
      <c r="T44"/>
      <c r="U44"/>
      <c r="V44"/>
    </row>
    <row r="45" spans="1:24" x14ac:dyDescent="0.25">
      <c r="A45" s="20"/>
      <c r="B45" s="20"/>
      <c r="C45" s="20"/>
      <c r="D45" s="20"/>
      <c r="E45" s="20"/>
      <c r="F45" s="20"/>
      <c r="T45"/>
      <c r="U45"/>
      <c r="V45"/>
    </row>
    <row r="46" spans="1:24" x14ac:dyDescent="0.25">
      <c r="A46" s="20"/>
      <c r="B46" s="20"/>
      <c r="C46" s="20"/>
      <c r="D46" s="20"/>
      <c r="E46" s="20"/>
      <c r="F46" s="20"/>
      <c r="T46"/>
      <c r="U46"/>
      <c r="V46"/>
    </row>
    <row r="47" spans="1:24" x14ac:dyDescent="0.25">
      <c r="A47" s="20"/>
      <c r="B47" s="20"/>
      <c r="C47" s="20"/>
      <c r="D47" s="20"/>
      <c r="E47" s="20"/>
      <c r="F47" s="20"/>
      <c r="T47"/>
      <c r="U47"/>
      <c r="V47"/>
    </row>
    <row r="48" spans="1:24" ht="42" customHeight="1" x14ac:dyDescent="0.25">
      <c r="A48" s="20"/>
      <c r="B48" s="20"/>
      <c r="C48" s="20"/>
      <c r="D48" s="20"/>
      <c r="E48" s="20"/>
      <c r="F48" s="20"/>
      <c r="T48"/>
      <c r="U48"/>
      <c r="V48"/>
    </row>
    <row r="49" spans="1:22" x14ac:dyDescent="0.25">
      <c r="A49" s="20"/>
      <c r="B49" s="20"/>
      <c r="C49" s="20"/>
      <c r="D49" s="20"/>
      <c r="E49" s="20"/>
      <c r="F49" s="20"/>
      <c r="T49"/>
      <c r="U49"/>
      <c r="V49"/>
    </row>
    <row r="50" spans="1:22" x14ac:dyDescent="0.25">
      <c r="A50" s="20"/>
      <c r="B50" s="20"/>
      <c r="C50" s="20"/>
      <c r="D50" s="20"/>
      <c r="E50" s="20"/>
      <c r="F50" s="20"/>
      <c r="T50"/>
      <c r="U50"/>
      <c r="V50"/>
    </row>
    <row r="51" spans="1:22" x14ac:dyDescent="0.25">
      <c r="A51" s="20"/>
      <c r="B51" s="20"/>
      <c r="C51" s="20"/>
      <c r="D51" s="20"/>
      <c r="E51" s="20"/>
      <c r="F51" s="20"/>
      <c r="T51"/>
      <c r="U51"/>
      <c r="V51"/>
    </row>
    <row r="52" spans="1:22" x14ac:dyDescent="0.25">
      <c r="A52" s="20"/>
      <c r="B52" s="20"/>
      <c r="C52" s="20"/>
      <c r="D52" s="20"/>
      <c r="E52" s="20"/>
      <c r="F52" s="20"/>
      <c r="T52"/>
      <c r="U52"/>
      <c r="V52"/>
    </row>
    <row r="53" spans="1:22" x14ac:dyDescent="0.25">
      <c r="A53" s="20"/>
      <c r="B53" s="20"/>
      <c r="C53" s="20"/>
      <c r="D53" s="20"/>
      <c r="E53" s="20"/>
      <c r="F53" s="20"/>
      <c r="T53"/>
      <c r="U53"/>
      <c r="V53"/>
    </row>
    <row r="54" spans="1:22" x14ac:dyDescent="0.25">
      <c r="A54" s="20"/>
      <c r="B54" s="20"/>
      <c r="C54" s="20"/>
      <c r="D54" s="20"/>
      <c r="E54" s="20"/>
      <c r="F54" s="20"/>
      <c r="T54"/>
      <c r="U54"/>
      <c r="V54"/>
    </row>
    <row r="55" spans="1:22" x14ac:dyDescent="0.25">
      <c r="A55" s="20"/>
      <c r="B55" s="20"/>
      <c r="C55" s="20"/>
      <c r="D55" s="20"/>
      <c r="E55" s="20"/>
      <c r="F55" s="20"/>
      <c r="T55"/>
      <c r="U55"/>
      <c r="V55"/>
    </row>
    <row r="56" spans="1:22" x14ac:dyDescent="0.25">
      <c r="A56" s="20"/>
      <c r="B56" s="20"/>
      <c r="C56" s="20"/>
      <c r="D56" s="20"/>
      <c r="E56" s="20"/>
      <c r="F56" s="20"/>
      <c r="G56" t="s">
        <v>318</v>
      </c>
      <c r="T56"/>
      <c r="U56"/>
      <c r="V56"/>
    </row>
    <row r="57" spans="1:22" x14ac:dyDescent="0.25">
      <c r="A57" s="20"/>
      <c r="B57" s="20"/>
      <c r="C57" s="20"/>
      <c r="D57" s="20"/>
      <c r="E57" s="20"/>
      <c r="F57" s="20"/>
      <c r="G57" t="s">
        <v>319</v>
      </c>
      <c r="T57"/>
      <c r="U57"/>
      <c r="V57"/>
    </row>
    <row r="58" spans="1:22" x14ac:dyDescent="0.25">
      <c r="A58" s="20"/>
      <c r="B58" s="20"/>
      <c r="C58" s="20"/>
      <c r="D58" s="20"/>
      <c r="E58" s="20"/>
      <c r="F58" s="20"/>
      <c r="G58" s="20"/>
      <c r="H58" s="20"/>
      <c r="I58" s="20"/>
      <c r="J58" s="20"/>
      <c r="K58" s="20"/>
      <c r="T58"/>
      <c r="U58"/>
      <c r="V58"/>
    </row>
    <row r="59" spans="1:22" ht="45" customHeight="1" x14ac:dyDescent="0.25">
      <c r="A59" s="20"/>
      <c r="B59" s="20"/>
      <c r="C59" s="20"/>
      <c r="D59" s="20"/>
      <c r="E59" s="20"/>
      <c r="F59" s="20"/>
      <c r="G59" s="20"/>
      <c r="H59" s="20"/>
      <c r="I59" s="20"/>
      <c r="J59" s="20"/>
      <c r="K59" s="20"/>
      <c r="T59"/>
      <c r="U59"/>
      <c r="V59"/>
    </row>
    <row r="60" spans="1:22" x14ac:dyDescent="0.25">
      <c r="A60" s="20"/>
      <c r="B60" s="20"/>
      <c r="C60" s="20"/>
      <c r="D60" s="20"/>
      <c r="E60" s="20"/>
      <c r="F60" s="20"/>
      <c r="G60" s="20"/>
      <c r="H60" s="20"/>
      <c r="I60" s="20"/>
      <c r="J60" s="20"/>
      <c r="K60" s="20"/>
      <c r="T60"/>
      <c r="U60"/>
      <c r="V60"/>
    </row>
    <row r="61" spans="1:22" x14ac:dyDescent="0.25">
      <c r="A61" s="20"/>
      <c r="B61" s="20"/>
      <c r="C61" s="20"/>
      <c r="D61" s="20"/>
      <c r="E61" s="20"/>
      <c r="F61" s="20"/>
      <c r="G61" s="20"/>
      <c r="H61" s="20"/>
      <c r="I61" s="20"/>
      <c r="J61" s="20"/>
      <c r="K61" s="20"/>
      <c r="T61"/>
      <c r="U61"/>
      <c r="V61"/>
    </row>
    <row r="62" spans="1:22" x14ac:dyDescent="0.25">
      <c r="A62" s="20"/>
      <c r="B62" s="20"/>
      <c r="C62" s="20"/>
      <c r="D62" s="20"/>
      <c r="E62" s="20"/>
      <c r="F62" s="20"/>
      <c r="G62" s="20"/>
      <c r="H62" s="20"/>
      <c r="I62" s="20"/>
      <c r="J62" s="20"/>
      <c r="K62" s="20"/>
      <c r="T62"/>
      <c r="U62"/>
      <c r="V62"/>
    </row>
    <row r="63" spans="1:22" x14ac:dyDescent="0.25">
      <c r="A63" s="20"/>
      <c r="B63" s="20"/>
      <c r="C63" s="20"/>
      <c r="D63" s="20"/>
      <c r="E63" s="20"/>
      <c r="F63" s="20"/>
      <c r="G63" s="20"/>
      <c r="H63" s="20"/>
      <c r="I63" s="20"/>
      <c r="J63" s="20"/>
      <c r="K63" s="20"/>
      <c r="T63"/>
      <c r="U63"/>
      <c r="V63"/>
    </row>
    <row r="64" spans="1:22" x14ac:dyDescent="0.25">
      <c r="A64" s="20"/>
      <c r="B64" s="20"/>
      <c r="C64" s="20"/>
      <c r="D64" s="20"/>
      <c r="E64" s="20"/>
      <c r="F64" s="20"/>
      <c r="G64" s="20"/>
      <c r="H64" s="20"/>
      <c r="I64" s="20"/>
      <c r="J64" s="20"/>
      <c r="K64" s="20"/>
      <c r="T64"/>
      <c r="U64"/>
      <c r="V64"/>
    </row>
    <row r="65" spans="1:22" x14ac:dyDescent="0.25">
      <c r="A65" s="20"/>
      <c r="B65" s="20"/>
      <c r="C65" s="20"/>
      <c r="D65" s="20"/>
      <c r="E65" s="20"/>
      <c r="F65" s="20"/>
      <c r="G65" s="20"/>
      <c r="H65" s="20"/>
      <c r="I65" s="20"/>
      <c r="J65" s="20"/>
      <c r="K65" s="20"/>
      <c r="T65"/>
      <c r="U65"/>
      <c r="V65"/>
    </row>
    <row r="66" spans="1:22" x14ac:dyDescent="0.25">
      <c r="A66" s="20"/>
      <c r="B66" s="20"/>
      <c r="C66" s="20"/>
      <c r="D66" s="20"/>
      <c r="E66" s="20"/>
      <c r="F66" s="20"/>
      <c r="G66" s="20"/>
      <c r="H66" s="20"/>
      <c r="I66" s="20"/>
      <c r="J66" s="20"/>
      <c r="K66" s="20"/>
      <c r="T66"/>
      <c r="U66"/>
      <c r="V66"/>
    </row>
    <row r="67" spans="1:22" x14ac:dyDescent="0.25">
      <c r="A67" s="20"/>
      <c r="B67" s="20"/>
      <c r="C67" s="20"/>
      <c r="D67" s="20"/>
      <c r="E67" s="20"/>
      <c r="F67" s="20"/>
      <c r="G67" s="20"/>
      <c r="H67" s="20"/>
      <c r="I67" s="20"/>
      <c r="J67" s="20"/>
      <c r="K67" s="20"/>
      <c r="T67"/>
      <c r="U67"/>
      <c r="V67"/>
    </row>
    <row r="68" spans="1:22" x14ac:dyDescent="0.25">
      <c r="A68" s="20"/>
      <c r="B68" s="20"/>
      <c r="C68" s="20"/>
      <c r="D68" s="20"/>
      <c r="E68" s="20"/>
      <c r="F68" s="20"/>
      <c r="G68" s="20"/>
      <c r="H68" s="20"/>
      <c r="I68" s="20"/>
      <c r="J68" s="20"/>
      <c r="K68" s="20"/>
      <c r="T68"/>
      <c r="U68"/>
      <c r="V68"/>
    </row>
    <row r="69" spans="1:22" x14ac:dyDescent="0.25">
      <c r="A69" s="20"/>
      <c r="B69" s="20"/>
      <c r="C69" s="20"/>
      <c r="D69" s="20"/>
      <c r="E69" s="20"/>
      <c r="F69" s="20"/>
      <c r="G69" s="20"/>
      <c r="H69" s="20"/>
      <c r="I69" s="20"/>
      <c r="J69" s="20"/>
      <c r="K69" s="20"/>
      <c r="T69"/>
      <c r="U69"/>
      <c r="V69"/>
    </row>
    <row r="70" spans="1:22" x14ac:dyDescent="0.25">
      <c r="A70" s="20"/>
      <c r="B70" s="20"/>
      <c r="C70" s="20"/>
      <c r="D70" s="20"/>
      <c r="E70" s="20"/>
      <c r="F70" s="20"/>
      <c r="G70" s="20"/>
      <c r="H70" s="20"/>
      <c r="I70" s="20"/>
      <c r="J70" s="20"/>
      <c r="K70" s="20"/>
      <c r="T70"/>
      <c r="U70"/>
      <c r="V70"/>
    </row>
    <row r="71" spans="1:22" x14ac:dyDescent="0.25">
      <c r="A71" s="20"/>
      <c r="B71" s="20"/>
      <c r="C71" s="20"/>
      <c r="D71" s="20"/>
      <c r="E71" s="20"/>
      <c r="F71" s="20"/>
      <c r="G71" s="20"/>
      <c r="H71" s="20"/>
      <c r="I71" s="20"/>
      <c r="J71" s="20"/>
      <c r="K71" s="20"/>
      <c r="T71"/>
      <c r="U71"/>
      <c r="V71"/>
    </row>
    <row r="72" spans="1:22" x14ac:dyDescent="0.25">
      <c r="A72" s="20"/>
      <c r="B72" s="20"/>
      <c r="C72" s="20"/>
      <c r="D72" s="20"/>
      <c r="E72" s="20"/>
      <c r="F72" s="20"/>
      <c r="G72" s="20"/>
      <c r="H72" s="20"/>
      <c r="I72" s="20"/>
      <c r="J72" s="20"/>
      <c r="K72" s="20"/>
      <c r="T72"/>
      <c r="U72"/>
      <c r="V72"/>
    </row>
    <row r="73" spans="1:22" x14ac:dyDescent="0.25">
      <c r="A73" s="20"/>
      <c r="B73" s="20"/>
      <c r="C73" s="20"/>
      <c r="D73" s="20"/>
      <c r="E73" s="20"/>
      <c r="F73" s="20"/>
      <c r="G73" s="20"/>
      <c r="H73" s="20"/>
      <c r="I73" s="20"/>
      <c r="J73" s="20"/>
      <c r="K73" s="20"/>
      <c r="T73"/>
      <c r="U73"/>
      <c r="V73"/>
    </row>
    <row r="74" spans="1:22" x14ac:dyDescent="0.25">
      <c r="A74" s="20"/>
      <c r="B74" s="20"/>
      <c r="C74" s="20"/>
      <c r="D74" s="20"/>
      <c r="E74" s="20"/>
      <c r="F74" s="20"/>
      <c r="G74" s="20"/>
      <c r="H74" s="20"/>
      <c r="I74" s="20"/>
      <c r="J74" s="20"/>
      <c r="K74" s="20"/>
      <c r="T74"/>
      <c r="U74"/>
      <c r="V74"/>
    </row>
    <row r="75" spans="1:22" x14ac:dyDescent="0.25">
      <c r="A75" s="20"/>
      <c r="B75" s="20"/>
      <c r="C75" s="20"/>
      <c r="D75" s="20"/>
      <c r="E75" s="20"/>
      <c r="F75" s="20"/>
      <c r="G75" s="20"/>
      <c r="H75" s="20"/>
      <c r="I75" s="20"/>
      <c r="J75" s="20"/>
      <c r="K75" s="20"/>
      <c r="T75"/>
      <c r="U75"/>
      <c r="V75"/>
    </row>
    <row r="76" spans="1:22" x14ac:dyDescent="0.25">
      <c r="A76" s="20"/>
      <c r="B76" s="20"/>
      <c r="C76" s="20"/>
      <c r="D76" s="20"/>
      <c r="E76" s="20"/>
      <c r="F76" s="20"/>
      <c r="G76" s="20"/>
      <c r="H76" s="20"/>
      <c r="I76" s="20"/>
      <c r="J76" s="20"/>
      <c r="K76" s="20"/>
      <c r="T76"/>
      <c r="U76"/>
      <c r="V76"/>
    </row>
    <row r="77" spans="1:22" x14ac:dyDescent="0.25">
      <c r="A77" s="20"/>
      <c r="B77" s="20"/>
      <c r="C77" s="20"/>
      <c r="D77" s="20"/>
      <c r="E77" s="20"/>
      <c r="F77" s="20"/>
      <c r="G77" s="20"/>
      <c r="H77" s="20"/>
      <c r="I77" s="20"/>
      <c r="J77" s="20"/>
      <c r="K77" s="20"/>
      <c r="T77"/>
      <c r="U77"/>
      <c r="V77"/>
    </row>
    <row r="78" spans="1:22" x14ac:dyDescent="0.25">
      <c r="A78" s="20"/>
      <c r="B78" s="20"/>
      <c r="C78" s="20"/>
      <c r="D78" s="20"/>
      <c r="E78" s="20"/>
      <c r="F78" s="20"/>
      <c r="G78" s="20"/>
      <c r="H78" s="20"/>
      <c r="I78" s="20"/>
      <c r="J78" s="20"/>
      <c r="K78" s="20"/>
      <c r="T78"/>
      <c r="U78"/>
      <c r="V78"/>
    </row>
    <row r="79" spans="1:22" x14ac:dyDescent="0.25">
      <c r="A79" s="20"/>
      <c r="B79" s="20"/>
      <c r="C79" s="20"/>
      <c r="D79" s="20"/>
      <c r="E79" s="20"/>
      <c r="F79" s="20"/>
      <c r="G79" s="20"/>
      <c r="H79" s="20"/>
      <c r="I79" s="20"/>
      <c r="J79" s="20"/>
      <c r="K79" s="20"/>
      <c r="T79"/>
      <c r="U79"/>
      <c r="V79"/>
    </row>
    <row r="80" spans="1:22" x14ac:dyDescent="0.25">
      <c r="A80" s="20"/>
      <c r="B80" s="20"/>
      <c r="C80" s="20"/>
      <c r="D80" s="20"/>
      <c r="E80" s="20"/>
      <c r="F80" s="20"/>
      <c r="G80" s="20"/>
      <c r="H80" s="20"/>
      <c r="I80" s="20"/>
      <c r="J80" s="20"/>
      <c r="K80" s="20"/>
      <c r="T80"/>
      <c r="U80"/>
      <c r="V80"/>
    </row>
    <row r="81" spans="1:22" x14ac:dyDescent="0.25">
      <c r="A81" s="20"/>
      <c r="B81" s="20"/>
      <c r="C81" s="20"/>
      <c r="D81" s="20"/>
      <c r="E81" s="20"/>
      <c r="F81" s="20"/>
      <c r="G81" s="20"/>
      <c r="H81" s="20"/>
      <c r="I81" s="20"/>
      <c r="J81" s="20"/>
      <c r="K81" s="20"/>
      <c r="T81"/>
      <c r="U81"/>
      <c r="V81"/>
    </row>
    <row r="82" spans="1:22" x14ac:dyDescent="0.25">
      <c r="A82" s="20"/>
      <c r="B82" s="20"/>
      <c r="C82" s="20"/>
      <c r="D82" s="20"/>
      <c r="E82" s="20"/>
      <c r="F82" s="20"/>
      <c r="G82" s="20"/>
      <c r="H82" s="20"/>
      <c r="I82" s="20"/>
      <c r="J82" s="20"/>
      <c r="K82" s="20"/>
      <c r="T82"/>
      <c r="U82"/>
      <c r="V82"/>
    </row>
    <row r="83" spans="1:22" x14ac:dyDescent="0.25">
      <c r="A83" s="20"/>
      <c r="B83" s="20"/>
      <c r="C83" s="20"/>
      <c r="D83" s="20"/>
      <c r="E83" s="20"/>
      <c r="F83" s="20"/>
      <c r="G83" s="20"/>
      <c r="H83" s="20"/>
      <c r="I83" s="20"/>
      <c r="J83" s="20"/>
      <c r="K83" s="20"/>
      <c r="T83"/>
      <c r="U83"/>
      <c r="V83"/>
    </row>
    <row r="84" spans="1:22" x14ac:dyDescent="0.25">
      <c r="A84" s="20"/>
      <c r="B84" s="20"/>
      <c r="C84" s="20"/>
      <c r="D84" s="20"/>
      <c r="E84" s="20"/>
      <c r="F84" s="20"/>
      <c r="G84" s="20"/>
      <c r="H84" s="20"/>
      <c r="I84" s="20"/>
      <c r="J84" s="20"/>
      <c r="K84" s="20"/>
      <c r="T84"/>
      <c r="U84"/>
      <c r="V84"/>
    </row>
    <row r="85" spans="1:22" x14ac:dyDescent="0.25">
      <c r="A85" s="20"/>
      <c r="B85" s="20"/>
      <c r="C85" s="20"/>
      <c r="D85" s="20"/>
      <c r="E85" s="20"/>
      <c r="F85" s="20"/>
      <c r="G85" s="20"/>
      <c r="H85" s="20"/>
      <c r="I85" s="20"/>
      <c r="J85" s="20"/>
      <c r="K85" s="20"/>
      <c r="T85"/>
      <c r="U85"/>
      <c r="V85"/>
    </row>
    <row r="86" spans="1:22" x14ac:dyDescent="0.25">
      <c r="A86" s="20"/>
      <c r="B86" s="20"/>
      <c r="C86" s="20"/>
      <c r="D86" s="20"/>
      <c r="E86" s="20"/>
      <c r="F86" s="20"/>
      <c r="G86" s="20"/>
      <c r="H86" s="20"/>
      <c r="I86" s="20"/>
      <c r="J86" s="20"/>
      <c r="K86" s="20"/>
      <c r="T86"/>
      <c r="U86"/>
      <c r="V86"/>
    </row>
    <row r="87" spans="1:22" x14ac:dyDescent="0.25">
      <c r="A87" s="20"/>
      <c r="B87" s="20"/>
      <c r="C87" s="20"/>
      <c r="D87" s="20"/>
      <c r="E87" s="20"/>
      <c r="F87" s="20"/>
      <c r="G87" s="20"/>
      <c r="H87" s="20"/>
      <c r="I87" s="20"/>
      <c r="J87" s="20"/>
      <c r="K87" s="20"/>
      <c r="T87"/>
      <c r="U87"/>
      <c r="V87"/>
    </row>
    <row r="88" spans="1:22" x14ac:dyDescent="0.25">
      <c r="A88" s="20"/>
      <c r="B88" s="20"/>
      <c r="C88" s="20"/>
      <c r="D88" s="20"/>
      <c r="E88" s="20"/>
      <c r="F88" s="20"/>
      <c r="G88" s="20"/>
      <c r="H88" s="20"/>
      <c r="I88" s="20"/>
      <c r="J88" s="20"/>
      <c r="K88" s="20"/>
      <c r="T88"/>
      <c r="U88"/>
      <c r="V88"/>
    </row>
    <row r="89" spans="1:22" x14ac:dyDescent="0.25">
      <c r="A89" s="20"/>
      <c r="B89" s="20"/>
      <c r="C89" s="20"/>
      <c r="D89" s="20"/>
      <c r="E89" s="20"/>
      <c r="F89" s="20"/>
      <c r="G89" s="20"/>
      <c r="H89" s="20"/>
      <c r="I89" s="20"/>
      <c r="J89" s="20"/>
      <c r="K89" s="20"/>
      <c r="T89"/>
      <c r="U89"/>
      <c r="V89"/>
    </row>
    <row r="90" spans="1:22" x14ac:dyDescent="0.25">
      <c r="A90" s="20"/>
      <c r="B90" s="20"/>
      <c r="C90" s="20"/>
      <c r="D90" s="20"/>
      <c r="E90" s="20"/>
      <c r="F90" s="20"/>
      <c r="G90" s="20"/>
      <c r="H90" s="20"/>
      <c r="I90" s="20"/>
      <c r="J90" s="20"/>
      <c r="K90" s="20"/>
      <c r="T90"/>
      <c r="U90"/>
      <c r="V90"/>
    </row>
    <row r="91" spans="1:22" x14ac:dyDescent="0.25">
      <c r="A91" s="20"/>
      <c r="B91" s="20"/>
      <c r="C91" s="20"/>
      <c r="D91" s="20"/>
      <c r="E91" s="20"/>
      <c r="F91" s="20"/>
      <c r="G91" s="20"/>
      <c r="H91" s="20"/>
      <c r="I91" s="20"/>
      <c r="J91" s="20"/>
      <c r="K91" s="20"/>
      <c r="T91"/>
      <c r="U91"/>
      <c r="V91"/>
    </row>
    <row r="92" spans="1:22" x14ac:dyDescent="0.25">
      <c r="A92" s="20"/>
      <c r="B92" s="20"/>
      <c r="C92" s="20"/>
      <c r="D92" s="20"/>
      <c r="E92" s="20"/>
      <c r="F92" s="20"/>
      <c r="G92" s="20"/>
      <c r="H92" s="20"/>
      <c r="I92" s="20"/>
      <c r="J92" s="20"/>
      <c r="K92" s="20"/>
      <c r="T92"/>
      <c r="U92"/>
      <c r="V92"/>
    </row>
    <row r="93" spans="1:22" x14ac:dyDescent="0.25">
      <c r="A93" s="20"/>
      <c r="B93" s="20"/>
      <c r="C93" s="20"/>
      <c r="D93" s="20"/>
      <c r="E93" s="20"/>
      <c r="F93" s="20"/>
      <c r="G93" s="20"/>
      <c r="H93" s="20"/>
      <c r="I93" s="20"/>
      <c r="J93" s="20"/>
      <c r="K93" s="20"/>
      <c r="T93"/>
      <c r="U93"/>
      <c r="V93"/>
    </row>
    <row r="94" spans="1:22" x14ac:dyDescent="0.25">
      <c r="A94" s="20"/>
      <c r="B94" s="20"/>
      <c r="C94" s="20"/>
      <c r="D94" s="20"/>
      <c r="E94" s="20"/>
      <c r="F94" s="20"/>
      <c r="G94" s="20"/>
      <c r="H94" s="20"/>
      <c r="I94" s="20"/>
      <c r="J94" s="20"/>
      <c r="K94" s="20"/>
      <c r="T94"/>
      <c r="U94"/>
      <c r="V94"/>
    </row>
    <row r="95" spans="1:22" x14ac:dyDescent="0.25">
      <c r="A95" s="20"/>
      <c r="B95" s="20"/>
      <c r="C95" s="20"/>
      <c r="D95" s="20"/>
      <c r="E95" s="20"/>
      <c r="F95" s="20"/>
      <c r="G95" s="20"/>
      <c r="H95" s="20"/>
      <c r="I95" s="20"/>
      <c r="J95" s="20"/>
      <c r="K95" s="20"/>
      <c r="T95"/>
      <c r="U95"/>
      <c r="V95"/>
    </row>
    <row r="96" spans="1:22" x14ac:dyDescent="0.25">
      <c r="A96" s="20"/>
      <c r="B96" s="20"/>
      <c r="C96" s="20"/>
      <c r="D96" s="20"/>
      <c r="E96" s="20"/>
      <c r="F96" s="20"/>
      <c r="G96" s="20"/>
      <c r="H96" s="20"/>
      <c r="I96" s="20"/>
      <c r="J96" s="20"/>
      <c r="K96" s="20"/>
      <c r="T96"/>
      <c r="U96"/>
      <c r="V96"/>
    </row>
    <row r="97" spans="1:22" x14ac:dyDescent="0.25">
      <c r="A97" s="20"/>
      <c r="B97" s="20"/>
      <c r="C97" s="20"/>
      <c r="D97" s="20"/>
      <c r="E97" s="20"/>
      <c r="F97" s="20"/>
      <c r="G97" s="20"/>
      <c r="H97" s="20"/>
      <c r="I97" s="20"/>
      <c r="J97" s="20"/>
      <c r="K97" s="20"/>
      <c r="T97"/>
      <c r="U97"/>
      <c r="V97"/>
    </row>
    <row r="98" spans="1:22" x14ac:dyDescent="0.25">
      <c r="A98" s="20"/>
      <c r="B98" s="20"/>
      <c r="C98" s="20"/>
      <c r="D98" s="20"/>
      <c r="E98" s="20"/>
      <c r="F98" s="20"/>
      <c r="G98" s="20"/>
      <c r="H98" s="20"/>
      <c r="I98" s="20"/>
      <c r="J98" s="20"/>
      <c r="K98" s="20"/>
      <c r="T98"/>
      <c r="U98"/>
      <c r="V98"/>
    </row>
    <row r="99" spans="1:22" x14ac:dyDescent="0.25">
      <c r="A99" s="20"/>
      <c r="B99" s="20"/>
      <c r="C99" s="20"/>
      <c r="D99" s="20"/>
      <c r="E99" s="20"/>
      <c r="F99" s="20"/>
      <c r="G99" s="20"/>
      <c r="H99" s="20"/>
      <c r="I99" s="20"/>
      <c r="J99" s="20"/>
      <c r="K99" s="20"/>
      <c r="T99"/>
      <c r="U99"/>
      <c r="V99"/>
    </row>
    <row r="100" spans="1:22" x14ac:dyDescent="0.25">
      <c r="A100" s="20"/>
      <c r="B100" s="20"/>
      <c r="C100" s="20"/>
      <c r="D100" s="20"/>
      <c r="E100" s="20"/>
      <c r="F100" s="20"/>
      <c r="G100" s="20"/>
      <c r="H100" s="20"/>
      <c r="I100" s="20"/>
      <c r="J100" s="20"/>
      <c r="K100" s="20"/>
      <c r="T100"/>
      <c r="U100"/>
      <c r="V100"/>
    </row>
    <row r="101" spans="1:22" x14ac:dyDescent="0.25">
      <c r="A101" s="20"/>
      <c r="B101" s="20"/>
      <c r="C101" s="20"/>
      <c r="D101" s="20"/>
      <c r="E101" s="20"/>
      <c r="F101" s="20"/>
      <c r="G101" s="20"/>
      <c r="H101" s="20"/>
      <c r="I101" s="20"/>
      <c r="J101" s="20"/>
      <c r="K101" s="20"/>
      <c r="T101"/>
      <c r="U101"/>
      <c r="V101"/>
    </row>
    <row r="102" spans="1:22" x14ac:dyDescent="0.25">
      <c r="A102" s="20"/>
      <c r="B102" s="20"/>
      <c r="C102" s="20"/>
      <c r="D102" s="20"/>
      <c r="E102" s="20"/>
      <c r="F102" s="20"/>
      <c r="G102" s="20"/>
      <c r="H102" s="20"/>
      <c r="I102" s="20"/>
      <c r="J102" s="20"/>
      <c r="K102" s="20"/>
      <c r="T102"/>
      <c r="U102"/>
      <c r="V102"/>
    </row>
    <row r="103" spans="1:22" x14ac:dyDescent="0.25">
      <c r="A103" s="20"/>
      <c r="B103" s="20"/>
      <c r="C103" s="20"/>
      <c r="D103" s="20"/>
      <c r="E103" s="20"/>
      <c r="F103" s="20"/>
      <c r="G103" s="20"/>
      <c r="H103" s="20"/>
      <c r="I103" s="20"/>
      <c r="J103" s="20"/>
      <c r="K103" s="20"/>
      <c r="T103"/>
      <c r="U103"/>
      <c r="V103"/>
    </row>
    <row r="104" spans="1:22" x14ac:dyDescent="0.25">
      <c r="A104" s="20"/>
      <c r="B104" s="20"/>
      <c r="C104" s="20"/>
      <c r="D104" s="20"/>
      <c r="E104" s="20"/>
      <c r="F104" s="20"/>
      <c r="G104" s="20"/>
      <c r="H104" s="20"/>
      <c r="I104" s="20"/>
      <c r="J104" s="20"/>
      <c r="K104" s="20"/>
      <c r="T104"/>
      <c r="U104"/>
      <c r="V104"/>
    </row>
    <row r="105" spans="1:22" x14ac:dyDescent="0.25">
      <c r="A105" s="20"/>
      <c r="B105" s="20"/>
      <c r="C105" s="20"/>
      <c r="D105" s="20"/>
      <c r="E105" s="20"/>
      <c r="F105" s="20"/>
      <c r="G105" s="20"/>
      <c r="H105" s="20"/>
      <c r="I105" s="20"/>
      <c r="J105" s="20"/>
      <c r="K105" s="20"/>
      <c r="T105"/>
      <c r="U105"/>
      <c r="V105"/>
    </row>
    <row r="106" spans="1:22" x14ac:dyDescent="0.25">
      <c r="A106" s="20"/>
      <c r="B106" s="20"/>
      <c r="C106" s="20"/>
      <c r="D106" s="20"/>
      <c r="E106" s="20"/>
      <c r="F106" s="20"/>
      <c r="G106" s="20"/>
      <c r="H106" s="20"/>
      <c r="I106" s="20"/>
      <c r="J106" s="20"/>
      <c r="K106" s="20"/>
      <c r="T106"/>
      <c r="U106"/>
      <c r="V106"/>
    </row>
    <row r="107" spans="1:22" x14ac:dyDescent="0.25">
      <c r="A107" s="20"/>
      <c r="B107" s="20"/>
      <c r="C107" s="20"/>
      <c r="D107" s="20"/>
      <c r="E107" s="20"/>
      <c r="F107" s="20"/>
      <c r="G107" s="20"/>
      <c r="H107" s="20"/>
      <c r="I107" s="20"/>
      <c r="J107" s="20"/>
      <c r="K107" s="20"/>
      <c r="T107"/>
      <c r="U107"/>
      <c r="V107"/>
    </row>
    <row r="108" spans="1:22" x14ac:dyDescent="0.25">
      <c r="A108" s="20"/>
      <c r="B108" s="20"/>
      <c r="C108" s="20"/>
      <c r="D108" s="20"/>
      <c r="E108" s="20"/>
      <c r="F108" s="20"/>
      <c r="G108" s="20"/>
      <c r="H108" s="20"/>
      <c r="I108" s="20"/>
      <c r="J108" s="20"/>
      <c r="K108" s="20"/>
      <c r="T108"/>
      <c r="U108"/>
      <c r="V108"/>
    </row>
    <row r="109" spans="1:22" x14ac:dyDescent="0.25">
      <c r="A109" s="20"/>
      <c r="B109" s="20"/>
      <c r="C109" s="20"/>
      <c r="D109" s="20"/>
      <c r="E109" s="20"/>
      <c r="F109" s="20"/>
      <c r="G109" s="20"/>
      <c r="H109" s="20"/>
      <c r="I109" s="20"/>
      <c r="J109" s="20"/>
      <c r="K109" s="20"/>
      <c r="O109" s="186"/>
      <c r="T109"/>
      <c r="U109"/>
      <c r="V109"/>
    </row>
    <row r="110" spans="1:22" x14ac:dyDescent="0.25">
      <c r="A110" s="20"/>
      <c r="B110" s="20"/>
      <c r="C110" s="20"/>
      <c r="D110" s="20"/>
      <c r="E110" s="20"/>
      <c r="F110" s="20"/>
      <c r="G110" s="20"/>
      <c r="H110" s="20"/>
      <c r="I110" s="20"/>
      <c r="J110" s="20"/>
      <c r="K110" s="20"/>
      <c r="O110" s="187"/>
      <c r="T110"/>
      <c r="U110"/>
      <c r="V110"/>
    </row>
    <row r="111" spans="1:22" x14ac:dyDescent="0.25">
      <c r="A111" s="20"/>
      <c r="B111" s="20"/>
      <c r="C111" s="20"/>
      <c r="D111" s="20"/>
      <c r="E111" s="20"/>
      <c r="F111" s="20"/>
      <c r="G111" s="20"/>
      <c r="H111" s="20"/>
      <c r="I111" s="20"/>
      <c r="J111" s="20"/>
      <c r="K111" s="20"/>
      <c r="O111" s="186"/>
      <c r="T111"/>
      <c r="U111"/>
      <c r="V111"/>
    </row>
    <row r="112" spans="1:22" x14ac:dyDescent="0.25">
      <c r="A112" s="20"/>
      <c r="B112" s="20"/>
      <c r="C112" s="20"/>
      <c r="D112" s="20"/>
      <c r="E112" s="20"/>
      <c r="F112" s="20"/>
      <c r="G112" s="20"/>
      <c r="H112" s="20"/>
      <c r="I112" s="20"/>
      <c r="J112" s="20"/>
      <c r="K112" s="20"/>
      <c r="O112" s="187"/>
      <c r="T112"/>
      <c r="U112"/>
      <c r="V112"/>
    </row>
    <row r="113" spans="1:24" x14ac:dyDescent="0.25">
      <c r="A113" s="20"/>
      <c r="B113" s="20"/>
      <c r="C113" s="20"/>
      <c r="D113" s="20"/>
      <c r="E113" s="20"/>
      <c r="F113" s="20"/>
      <c r="G113" s="20"/>
      <c r="H113" s="20"/>
      <c r="I113" s="20"/>
      <c r="J113" s="20"/>
      <c r="K113" s="20"/>
      <c r="O113" s="186"/>
      <c r="T113"/>
      <c r="U113"/>
      <c r="V113"/>
    </row>
    <row r="114" spans="1:24" x14ac:dyDescent="0.25">
      <c r="A114" s="20"/>
      <c r="B114" s="20"/>
      <c r="C114" s="20"/>
      <c r="D114" s="20"/>
      <c r="E114" s="20"/>
      <c r="F114" s="20"/>
      <c r="G114" s="20"/>
      <c r="H114" s="20"/>
      <c r="I114" s="20"/>
      <c r="J114" s="20"/>
      <c r="K114" s="20"/>
      <c r="O114" s="187"/>
      <c r="T114"/>
      <c r="U114"/>
      <c r="V114"/>
    </row>
    <row r="115" spans="1:24" x14ac:dyDescent="0.25">
      <c r="A115" s="20"/>
      <c r="B115" s="20"/>
      <c r="C115" s="20"/>
      <c r="D115" s="20"/>
      <c r="E115" s="20"/>
      <c r="F115" s="20"/>
      <c r="G115" s="20"/>
      <c r="H115" s="20"/>
      <c r="I115" s="20"/>
      <c r="J115" s="20"/>
      <c r="K115" s="20"/>
      <c r="O115" s="186"/>
      <c r="T115"/>
      <c r="U115"/>
      <c r="V115"/>
    </row>
    <row r="116" spans="1:24" x14ac:dyDescent="0.25">
      <c r="A116" s="20"/>
      <c r="B116" s="20"/>
      <c r="C116" s="20"/>
      <c r="D116" s="20"/>
      <c r="E116" s="20"/>
      <c r="F116" s="20"/>
      <c r="G116" s="20"/>
      <c r="H116" s="20"/>
      <c r="I116" s="20"/>
      <c r="J116" s="20"/>
      <c r="K116" s="20"/>
      <c r="O116" s="187"/>
      <c r="T116"/>
      <c r="U116"/>
      <c r="V116"/>
    </row>
    <row r="117" spans="1:24" x14ac:dyDescent="0.25">
      <c r="A117" s="20"/>
      <c r="B117" s="20"/>
      <c r="C117" s="20"/>
      <c r="D117" s="20"/>
      <c r="E117" s="20"/>
      <c r="F117" s="20"/>
      <c r="G117" s="20"/>
      <c r="H117" s="20"/>
      <c r="I117" s="20"/>
      <c r="J117" s="20"/>
      <c r="K117" s="20"/>
      <c r="O117" s="186"/>
      <c r="T117"/>
      <c r="U117"/>
      <c r="V117"/>
    </row>
    <row r="118" spans="1:24" x14ac:dyDescent="0.25">
      <c r="A118" s="20"/>
      <c r="B118" s="20"/>
      <c r="C118" s="20"/>
      <c r="D118" s="20"/>
      <c r="E118" s="20"/>
      <c r="F118" s="20"/>
      <c r="G118" s="20"/>
      <c r="H118" s="20"/>
      <c r="I118" s="20"/>
      <c r="J118" s="20"/>
      <c r="K118" s="20"/>
      <c r="O118" s="187"/>
      <c r="T118"/>
      <c r="U118"/>
      <c r="V118"/>
    </row>
    <row r="119" spans="1:24" x14ac:dyDescent="0.25">
      <c r="A119" s="20"/>
      <c r="B119" s="20"/>
      <c r="C119" s="20"/>
      <c r="D119" s="20"/>
      <c r="E119" s="20"/>
      <c r="F119" s="20"/>
      <c r="G119" s="20"/>
      <c r="H119" s="20"/>
      <c r="I119" s="20"/>
      <c r="J119" s="20"/>
      <c r="K119" s="20"/>
      <c r="T119"/>
      <c r="U119"/>
      <c r="V119"/>
    </row>
    <row r="120" spans="1:24" x14ac:dyDescent="0.25">
      <c r="A120" s="20"/>
      <c r="B120" s="20"/>
      <c r="C120" s="20"/>
      <c r="D120" s="20"/>
      <c r="E120" s="20"/>
      <c r="F120" s="20"/>
      <c r="G120" s="20"/>
      <c r="H120" s="20"/>
      <c r="I120" s="20"/>
      <c r="J120" s="20"/>
      <c r="K120" s="20"/>
      <c r="T120"/>
      <c r="U120"/>
      <c r="V120"/>
    </row>
    <row r="121" spans="1:24" x14ac:dyDescent="0.25">
      <c r="A121" s="20"/>
      <c r="B121" s="20"/>
      <c r="C121" s="20"/>
      <c r="D121" s="20"/>
      <c r="E121" s="20"/>
      <c r="F121" s="20"/>
      <c r="G121" s="20"/>
      <c r="H121" s="20"/>
      <c r="I121" s="20"/>
      <c r="J121" s="20"/>
      <c r="K121" s="20"/>
      <c r="T121"/>
      <c r="U121"/>
      <c r="V121"/>
    </row>
    <row r="122" spans="1:24" x14ac:dyDescent="0.25">
      <c r="A122" s="20"/>
      <c r="B122" s="20"/>
      <c r="C122" s="20"/>
      <c r="D122" s="20"/>
      <c r="E122" s="20"/>
      <c r="F122" s="20"/>
      <c r="G122" s="20"/>
      <c r="H122" s="20"/>
      <c r="I122" s="20"/>
      <c r="J122" s="20"/>
      <c r="K122" s="20"/>
      <c r="T122"/>
      <c r="U122"/>
      <c r="V122"/>
    </row>
    <row r="123" spans="1:24" ht="28.5" x14ac:dyDescent="0.45">
      <c r="A123" s="345"/>
      <c r="B123" s="345"/>
      <c r="C123" s="345"/>
      <c r="D123" s="345"/>
      <c r="E123" s="345"/>
      <c r="F123" s="345"/>
      <c r="G123" s="345"/>
      <c r="H123" s="345"/>
      <c r="I123" s="345"/>
      <c r="J123" s="345"/>
      <c r="K123" s="345"/>
      <c r="L123" s="345"/>
      <c r="M123" s="345"/>
      <c r="N123" s="345"/>
      <c r="O123" s="345"/>
      <c r="P123" s="345"/>
      <c r="Q123" s="345"/>
      <c r="R123" s="345"/>
      <c r="S123" s="345"/>
      <c r="T123" s="345"/>
      <c r="U123" s="345"/>
      <c r="V123" s="345"/>
    </row>
    <row r="124" spans="1:24" x14ac:dyDescent="0.25">
      <c r="A124" s="20"/>
      <c r="B124" s="20"/>
      <c r="C124" s="20"/>
      <c r="D124" s="20"/>
      <c r="E124" s="20"/>
      <c r="F124" s="20"/>
      <c r="G124" s="20"/>
      <c r="H124" s="20"/>
      <c r="I124" s="20"/>
      <c r="J124" s="20"/>
      <c r="K124" s="20"/>
      <c r="T124"/>
      <c r="U124"/>
      <c r="V124"/>
    </row>
    <row r="125" spans="1:24" x14ac:dyDescent="0.25">
      <c r="A125" s="20"/>
      <c r="B125" s="20"/>
      <c r="C125" s="20"/>
      <c r="D125" s="20"/>
      <c r="E125" s="20"/>
      <c r="F125" s="20"/>
      <c r="G125" s="20"/>
      <c r="H125" s="20"/>
      <c r="I125" s="20"/>
      <c r="J125" s="20"/>
      <c r="K125" s="20"/>
      <c r="T125"/>
      <c r="U125"/>
      <c r="V125"/>
    </row>
    <row r="126" spans="1:24" ht="28.5" customHeight="1" x14ac:dyDescent="0.45">
      <c r="A126" s="336"/>
      <c r="B126" s="336"/>
      <c r="C126" s="336"/>
      <c r="D126" s="336"/>
      <c r="E126" s="336"/>
      <c r="F126" s="336"/>
      <c r="G126" s="336"/>
      <c r="H126" s="336"/>
      <c r="I126" s="336"/>
      <c r="J126" s="336"/>
      <c r="K126" s="336"/>
      <c r="L126" s="336"/>
      <c r="M126" s="336"/>
      <c r="N126" s="336"/>
      <c r="O126" s="336"/>
      <c r="P126" s="336"/>
      <c r="Q126" s="303"/>
      <c r="R126" s="303"/>
      <c r="S126" s="303"/>
      <c r="T126" s="211"/>
      <c r="U126" s="212"/>
      <c r="V126" s="212"/>
      <c r="W126" s="83"/>
      <c r="X126" s="83"/>
    </row>
    <row r="127" spans="1:24" ht="28.5" x14ac:dyDescent="0.45">
      <c r="A127" s="210"/>
      <c r="B127" s="210"/>
      <c r="C127" s="210"/>
      <c r="D127" s="210"/>
      <c r="E127" s="210"/>
      <c r="F127" s="210"/>
      <c r="G127" s="210"/>
      <c r="H127" s="210"/>
      <c r="I127" s="210"/>
      <c r="J127" s="210"/>
      <c r="K127" s="210"/>
      <c r="L127" s="210"/>
      <c r="M127" s="210"/>
      <c r="N127" s="210"/>
      <c r="O127" s="210"/>
      <c r="P127" s="210"/>
      <c r="Q127" s="303"/>
      <c r="R127" s="303"/>
      <c r="S127" s="303"/>
      <c r="T127" s="210"/>
      <c r="U127" s="212"/>
      <c r="V127" s="212"/>
      <c r="W127" s="83"/>
      <c r="X127" s="83"/>
    </row>
    <row r="128" spans="1:24" ht="28.5" x14ac:dyDescent="0.45">
      <c r="A128" s="210"/>
      <c r="B128" s="210"/>
      <c r="C128" s="210"/>
      <c r="D128" s="210"/>
      <c r="E128" s="210"/>
      <c r="F128" s="210"/>
      <c r="G128" s="210"/>
      <c r="H128" s="210"/>
      <c r="I128" s="210"/>
      <c r="J128" s="210"/>
      <c r="K128" s="210"/>
      <c r="L128" s="210"/>
      <c r="M128" s="210"/>
      <c r="N128" s="210"/>
      <c r="O128" s="210"/>
      <c r="P128" s="210"/>
      <c r="Q128" s="303"/>
      <c r="R128" s="303"/>
      <c r="S128" s="303"/>
      <c r="T128" s="210"/>
      <c r="U128" s="212"/>
      <c r="V128" s="212"/>
      <c r="W128" s="83"/>
      <c r="X128" s="83"/>
    </row>
    <row r="129" spans="1:22" x14ac:dyDescent="0.25">
      <c r="A129" s="20"/>
      <c r="B129" s="20"/>
      <c r="C129" s="20"/>
      <c r="D129" s="20"/>
      <c r="E129" s="20"/>
      <c r="F129" s="20"/>
      <c r="G129" s="20"/>
      <c r="H129" s="20"/>
      <c r="I129" s="20"/>
      <c r="J129" s="20"/>
      <c r="K129" s="20"/>
      <c r="L129" s="20"/>
      <c r="M129" s="20"/>
      <c r="N129" s="20"/>
      <c r="O129" s="20"/>
      <c r="P129" s="20"/>
      <c r="Q129" s="303"/>
      <c r="R129" s="303"/>
      <c r="S129" s="303"/>
      <c r="T129" s="20"/>
      <c r="U129"/>
      <c r="V129"/>
    </row>
    <row r="130" spans="1:22" x14ac:dyDescent="0.25">
      <c r="A130" s="20"/>
      <c r="B130" s="20"/>
      <c r="C130" s="20"/>
      <c r="D130" s="20"/>
      <c r="E130" s="20"/>
      <c r="F130" s="20"/>
      <c r="G130" s="20"/>
      <c r="H130" s="20"/>
      <c r="I130" s="20"/>
      <c r="J130" s="20"/>
      <c r="K130" s="20"/>
      <c r="L130" s="20"/>
      <c r="M130" s="20"/>
      <c r="N130" s="20"/>
      <c r="O130" s="20"/>
      <c r="P130" s="20"/>
      <c r="Q130" s="303"/>
      <c r="R130" s="303"/>
      <c r="S130" s="303"/>
      <c r="T130" s="20"/>
      <c r="U130"/>
      <c r="V130"/>
    </row>
    <row r="131" spans="1:22" ht="15.75" x14ac:dyDescent="0.25">
      <c r="A131" s="337"/>
      <c r="B131" s="337"/>
      <c r="C131" s="337"/>
      <c r="D131" s="337"/>
      <c r="E131" s="337"/>
      <c r="F131" s="338"/>
      <c r="G131" s="338"/>
      <c r="H131" s="338"/>
      <c r="I131" s="337"/>
      <c r="J131" s="255"/>
      <c r="K131" s="255"/>
      <c r="L131" s="255"/>
      <c r="M131" s="341"/>
      <c r="N131" s="256"/>
      <c r="O131" s="256"/>
      <c r="P131" s="256"/>
      <c r="Q131" s="256"/>
      <c r="R131" s="256"/>
      <c r="S131" s="256"/>
      <c r="T131"/>
      <c r="U131"/>
      <c r="V131"/>
    </row>
    <row r="132" spans="1:22" ht="38.25" customHeight="1" x14ac:dyDescent="0.25">
      <c r="A132" s="335"/>
      <c r="B132" s="335"/>
      <c r="C132" s="335"/>
      <c r="D132" s="255"/>
      <c r="E132" s="20"/>
      <c r="F132" s="20"/>
      <c r="G132" s="20"/>
      <c r="H132" s="20"/>
      <c r="I132" s="20"/>
      <c r="J132" s="20"/>
      <c r="K132" s="20"/>
      <c r="M132" s="339"/>
      <c r="N132" s="340"/>
      <c r="O132" s="340"/>
      <c r="P132" s="340"/>
      <c r="T132"/>
      <c r="U132"/>
      <c r="V132"/>
    </row>
    <row r="133" spans="1:22" ht="30" customHeight="1" x14ac:dyDescent="0.25">
      <c r="A133" s="335"/>
      <c r="B133" s="335"/>
      <c r="C133" s="335"/>
      <c r="D133" s="335"/>
      <c r="E133" s="20"/>
      <c r="F133" s="20"/>
      <c r="G133" s="20"/>
      <c r="H133" s="20"/>
      <c r="I133" s="20"/>
      <c r="J133" s="20"/>
      <c r="K133" s="20"/>
      <c r="M133" s="342"/>
      <c r="N133" s="342"/>
      <c r="O133" s="257"/>
      <c r="P133" s="258"/>
      <c r="T133"/>
      <c r="U133"/>
      <c r="V133"/>
    </row>
    <row r="134" spans="1:22" ht="60" customHeight="1" x14ac:dyDescent="0.25">
      <c r="A134" s="20"/>
      <c r="B134" s="20"/>
      <c r="C134" s="335"/>
      <c r="D134" s="335"/>
      <c r="E134" s="20"/>
      <c r="F134" s="20"/>
      <c r="G134" s="20"/>
      <c r="H134" s="20"/>
      <c r="I134" s="20"/>
      <c r="J134" s="20"/>
      <c r="K134" s="20"/>
      <c r="M134" s="342"/>
      <c r="N134" s="342"/>
      <c r="O134" s="258"/>
      <c r="P134" s="258"/>
      <c r="T134"/>
      <c r="U134"/>
      <c r="V134"/>
    </row>
    <row r="135" spans="1:22" x14ac:dyDescent="0.25">
      <c r="A135" s="20"/>
      <c r="B135" s="20"/>
      <c r="C135" s="335"/>
      <c r="D135" s="335"/>
      <c r="E135" s="20"/>
      <c r="F135" s="20"/>
      <c r="G135" s="20"/>
      <c r="H135" s="20"/>
      <c r="I135" s="20"/>
      <c r="J135" s="20"/>
      <c r="K135" s="20"/>
      <c r="M135" s="342"/>
      <c r="N135" s="342"/>
      <c r="O135" s="258"/>
      <c r="P135" s="258"/>
      <c r="T135"/>
      <c r="U135"/>
      <c r="V135"/>
    </row>
    <row r="136" spans="1:22" ht="15" customHeight="1" x14ac:dyDescent="0.25">
      <c r="A136" s="20"/>
      <c r="B136" s="20"/>
      <c r="C136" s="20"/>
      <c r="D136" s="20"/>
      <c r="E136" s="20"/>
      <c r="F136" s="20"/>
      <c r="G136" s="20"/>
      <c r="H136" s="20"/>
      <c r="I136" s="20"/>
      <c r="J136" s="20"/>
      <c r="K136" s="20"/>
      <c r="M136" s="342"/>
      <c r="N136" s="342"/>
      <c r="O136" s="258"/>
      <c r="P136" s="258"/>
      <c r="T136"/>
      <c r="U136"/>
      <c r="V136"/>
    </row>
    <row r="137" spans="1:22" ht="15" customHeight="1" x14ac:dyDescent="0.25">
      <c r="A137" s="20"/>
      <c r="B137" s="20"/>
      <c r="C137" s="20"/>
      <c r="D137" s="20"/>
      <c r="E137" s="20"/>
      <c r="F137" s="20"/>
      <c r="G137" s="20"/>
      <c r="H137" s="20"/>
      <c r="I137" s="20"/>
      <c r="J137" s="20"/>
      <c r="K137" s="20"/>
      <c r="M137" s="342"/>
      <c r="N137" s="342"/>
      <c r="O137" s="258"/>
      <c r="P137" s="258"/>
      <c r="T137"/>
      <c r="U137"/>
      <c r="V137"/>
    </row>
    <row r="138" spans="1:22" ht="15" customHeight="1" x14ac:dyDescent="0.25">
      <c r="A138" s="20"/>
      <c r="B138" s="20"/>
      <c r="C138" s="20"/>
      <c r="D138" s="20"/>
      <c r="E138" s="20"/>
      <c r="F138" s="20"/>
      <c r="G138" s="20"/>
      <c r="H138" s="20"/>
      <c r="I138" s="20"/>
      <c r="J138" s="20"/>
      <c r="K138" s="20"/>
      <c r="M138" s="342"/>
      <c r="N138" s="342"/>
      <c r="O138" s="258"/>
      <c r="P138" s="258"/>
      <c r="T138"/>
      <c r="U138"/>
      <c r="V138"/>
    </row>
    <row r="139" spans="1:22" ht="15" customHeight="1" x14ac:dyDescent="0.25">
      <c r="A139" s="20"/>
      <c r="B139" s="20"/>
      <c r="C139" s="20"/>
      <c r="D139" s="20"/>
      <c r="E139" s="20"/>
      <c r="F139" s="20"/>
      <c r="G139" s="20"/>
      <c r="H139" s="20"/>
      <c r="I139" s="20"/>
      <c r="J139" s="20"/>
      <c r="K139" s="20"/>
      <c r="M139" s="342"/>
      <c r="N139" s="342"/>
      <c r="O139" s="258"/>
      <c r="P139" s="258"/>
      <c r="T139"/>
      <c r="U139"/>
      <c r="V139"/>
    </row>
    <row r="140" spans="1:22" x14ac:dyDescent="0.25">
      <c r="A140" s="20"/>
      <c r="B140" s="20"/>
      <c r="C140" s="20"/>
      <c r="D140" s="20"/>
      <c r="E140" s="20"/>
      <c r="F140" s="20"/>
      <c r="G140" s="20"/>
      <c r="H140" s="20"/>
      <c r="I140" s="20"/>
      <c r="J140" s="20"/>
      <c r="K140" s="20"/>
      <c r="M140" s="255"/>
      <c r="N140" s="255"/>
      <c r="O140" s="255"/>
      <c r="P140" s="255"/>
      <c r="T140"/>
      <c r="U140"/>
      <c r="V140"/>
    </row>
    <row r="141" spans="1:22" x14ac:dyDescent="0.25">
      <c r="A141" s="20"/>
      <c r="B141" s="20"/>
      <c r="C141" s="20"/>
      <c r="D141" s="20"/>
      <c r="E141" s="20"/>
      <c r="F141" s="20"/>
      <c r="G141" s="20"/>
      <c r="H141" s="20"/>
      <c r="I141" s="20"/>
      <c r="J141" s="20"/>
      <c r="K141" s="20"/>
      <c r="M141" s="255"/>
      <c r="N141" s="255"/>
      <c r="O141" s="255"/>
      <c r="P141" s="255"/>
      <c r="T141"/>
      <c r="U141"/>
      <c r="V141"/>
    </row>
    <row r="142" spans="1:22" x14ac:dyDescent="0.25">
      <c r="A142" s="20"/>
      <c r="B142" s="20"/>
      <c r="C142" s="20"/>
      <c r="D142" s="20"/>
      <c r="E142" s="20"/>
      <c r="F142" s="20"/>
      <c r="G142" s="20"/>
      <c r="H142" s="20"/>
      <c r="I142" s="20"/>
      <c r="J142" s="20"/>
      <c r="K142" s="20"/>
      <c r="M142" s="255"/>
      <c r="N142" s="255"/>
      <c r="O142" s="255"/>
      <c r="P142" s="255"/>
      <c r="T142"/>
      <c r="U142"/>
      <c r="V142"/>
    </row>
    <row r="143" spans="1:22" x14ac:dyDescent="0.25">
      <c r="A143" s="20"/>
      <c r="B143" s="20"/>
      <c r="C143" s="20"/>
      <c r="D143" s="20"/>
      <c r="E143" s="20"/>
      <c r="F143" s="20"/>
      <c r="G143" s="20"/>
      <c r="H143" s="20"/>
      <c r="I143" s="20"/>
      <c r="J143" s="20"/>
      <c r="K143" s="20"/>
      <c r="M143" s="255"/>
      <c r="N143" s="255"/>
      <c r="O143" s="255"/>
      <c r="P143" s="255"/>
      <c r="T143"/>
      <c r="U143"/>
      <c r="V143"/>
    </row>
    <row r="144" spans="1:22" x14ac:dyDescent="0.25">
      <c r="A144" s="20"/>
      <c r="B144" s="20"/>
      <c r="C144" s="20"/>
      <c r="D144" s="20"/>
      <c r="E144" s="20"/>
      <c r="F144" s="20"/>
      <c r="G144" s="20"/>
      <c r="H144" s="20"/>
      <c r="I144" s="20"/>
      <c r="J144" s="20"/>
      <c r="K144" s="20"/>
      <c r="M144" s="255"/>
      <c r="N144" s="255"/>
      <c r="O144" s="255"/>
      <c r="P144" s="255"/>
      <c r="T144"/>
      <c r="U144"/>
      <c r="V144"/>
    </row>
    <row r="145" spans="1:22" x14ac:dyDescent="0.25">
      <c r="A145" s="20"/>
      <c r="B145" s="20"/>
      <c r="C145" s="20"/>
      <c r="D145" s="20"/>
      <c r="E145" s="20"/>
      <c r="F145" s="20"/>
      <c r="G145" s="20"/>
      <c r="H145" s="20"/>
      <c r="I145" s="20"/>
      <c r="J145" s="20"/>
      <c r="K145" s="20"/>
      <c r="M145" s="255"/>
      <c r="N145" s="255"/>
      <c r="O145" s="255"/>
      <c r="P145" s="255"/>
      <c r="T145"/>
      <c r="U145"/>
      <c r="V145"/>
    </row>
    <row r="146" spans="1:22" x14ac:dyDescent="0.25">
      <c r="A146" s="20"/>
      <c r="B146" s="20"/>
      <c r="C146" s="20"/>
      <c r="D146" s="20"/>
      <c r="E146" s="20"/>
      <c r="F146" s="20"/>
      <c r="G146" s="20"/>
      <c r="H146" s="20"/>
      <c r="I146" s="20"/>
      <c r="J146" s="20"/>
      <c r="K146" s="20"/>
      <c r="M146" s="256"/>
      <c r="N146" s="256"/>
      <c r="O146" s="256"/>
      <c r="P146" s="256"/>
      <c r="T146"/>
      <c r="U146"/>
      <c r="V146"/>
    </row>
    <row r="147" spans="1:22" x14ac:dyDescent="0.25">
      <c r="A147" s="20"/>
      <c r="B147" s="20"/>
      <c r="C147" s="20"/>
      <c r="D147" s="20"/>
      <c r="E147" s="20"/>
      <c r="F147" s="20"/>
      <c r="G147" s="20"/>
      <c r="H147" s="20"/>
      <c r="I147" s="20"/>
      <c r="J147" s="20"/>
      <c r="K147" s="20"/>
      <c r="M147" s="256"/>
      <c r="N147" s="256"/>
      <c r="O147" s="256"/>
      <c r="P147" s="256"/>
      <c r="T147"/>
      <c r="U147"/>
      <c r="V147"/>
    </row>
    <row r="148" spans="1:22" x14ac:dyDescent="0.25">
      <c r="A148" s="20"/>
      <c r="B148" s="20"/>
      <c r="C148" s="20"/>
      <c r="D148" s="20"/>
      <c r="E148" s="20"/>
      <c r="F148" s="20"/>
      <c r="G148" s="20"/>
      <c r="H148" s="20"/>
      <c r="I148" s="20"/>
      <c r="J148" s="20"/>
      <c r="K148" s="20"/>
      <c r="M148" s="256"/>
      <c r="N148" s="256"/>
      <c r="O148" s="256"/>
      <c r="P148" s="256"/>
      <c r="T148"/>
      <c r="U148"/>
      <c r="V148"/>
    </row>
    <row r="149" spans="1:22" x14ac:dyDescent="0.25">
      <c r="A149" s="20"/>
      <c r="B149" s="20"/>
      <c r="C149" s="20"/>
      <c r="D149" s="20"/>
      <c r="E149" s="20"/>
      <c r="F149" s="20"/>
      <c r="G149" s="20"/>
      <c r="H149" s="20"/>
      <c r="I149" s="20"/>
      <c r="J149" s="20"/>
      <c r="K149" s="20"/>
      <c r="M149" s="256"/>
      <c r="N149" s="256"/>
      <c r="O149" s="256"/>
      <c r="P149" s="256"/>
      <c r="T149"/>
      <c r="U149"/>
      <c r="V149"/>
    </row>
    <row r="150" spans="1:22" x14ac:dyDescent="0.25">
      <c r="A150" s="20"/>
      <c r="B150" s="20"/>
      <c r="C150" s="20"/>
      <c r="D150" s="20"/>
      <c r="E150" s="20"/>
      <c r="F150" s="20"/>
      <c r="G150" s="20"/>
      <c r="H150" s="20"/>
      <c r="I150" s="20"/>
      <c r="J150" s="20"/>
      <c r="K150" s="20"/>
      <c r="M150" s="256"/>
      <c r="N150" s="256"/>
      <c r="O150" s="256"/>
      <c r="P150" s="256"/>
      <c r="T150"/>
      <c r="U150"/>
      <c r="V150"/>
    </row>
    <row r="151" spans="1:22" x14ac:dyDescent="0.25">
      <c r="A151" s="20"/>
      <c r="B151" s="20"/>
      <c r="C151" s="20"/>
      <c r="D151" s="20"/>
      <c r="E151" s="20"/>
      <c r="F151" s="20"/>
      <c r="G151" s="20"/>
      <c r="H151" s="20"/>
      <c r="I151" s="20"/>
      <c r="J151" s="20"/>
      <c r="K151" s="20"/>
      <c r="M151" s="256"/>
      <c r="N151" s="256"/>
      <c r="O151" s="256"/>
      <c r="P151" s="256"/>
      <c r="T151"/>
      <c r="U151"/>
      <c r="V151"/>
    </row>
    <row r="152" spans="1:22" x14ac:dyDescent="0.25">
      <c r="A152" s="20"/>
      <c r="B152" s="20"/>
      <c r="C152" s="20"/>
      <c r="D152" s="20"/>
      <c r="E152" s="20"/>
      <c r="F152" s="20"/>
      <c r="G152" s="20"/>
      <c r="H152" s="20"/>
      <c r="I152" s="20"/>
      <c r="J152" s="20"/>
      <c r="K152" s="20"/>
      <c r="M152" s="256"/>
      <c r="N152" s="256"/>
      <c r="O152" s="256"/>
      <c r="P152" s="256"/>
      <c r="T152"/>
      <c r="U152"/>
      <c r="V152"/>
    </row>
    <row r="153" spans="1:22" x14ac:dyDescent="0.25">
      <c r="A153" s="20"/>
      <c r="B153" s="20"/>
      <c r="C153" s="20"/>
      <c r="D153" s="20"/>
      <c r="E153" s="20"/>
      <c r="F153" s="20"/>
      <c r="G153" s="20"/>
      <c r="H153" s="20"/>
      <c r="I153" s="20"/>
      <c r="J153" s="20"/>
      <c r="K153" s="20"/>
      <c r="M153" s="256"/>
      <c r="N153" s="256"/>
      <c r="O153" s="256"/>
      <c r="P153" s="256"/>
      <c r="T153"/>
      <c r="U153"/>
      <c r="V153"/>
    </row>
    <row r="154" spans="1:22" x14ac:dyDescent="0.25">
      <c r="A154" s="20"/>
      <c r="B154" s="20"/>
      <c r="C154" s="20"/>
      <c r="D154" s="20"/>
      <c r="E154" s="20"/>
      <c r="F154" s="20"/>
      <c r="G154" s="20"/>
      <c r="H154" s="20"/>
      <c r="I154" s="20"/>
      <c r="J154" s="20"/>
      <c r="K154" s="20"/>
      <c r="M154" s="256"/>
      <c r="N154" s="256"/>
      <c r="O154" s="256"/>
      <c r="P154" s="256"/>
      <c r="T154"/>
      <c r="U154"/>
      <c r="V154"/>
    </row>
    <row r="155" spans="1:22" x14ac:dyDescent="0.25">
      <c r="A155" s="20"/>
      <c r="B155" s="20"/>
      <c r="C155" s="20"/>
      <c r="D155" s="20"/>
      <c r="E155" s="20"/>
      <c r="F155" s="20"/>
      <c r="G155" s="20"/>
      <c r="H155" s="20"/>
      <c r="I155" s="20"/>
      <c r="J155" s="20"/>
      <c r="K155" s="20"/>
      <c r="M155" s="256"/>
      <c r="N155" s="256"/>
      <c r="O155" s="256"/>
      <c r="P155" s="256"/>
      <c r="T155"/>
      <c r="U155"/>
      <c r="V155"/>
    </row>
    <row r="156" spans="1:22" x14ac:dyDescent="0.25">
      <c r="A156" s="20"/>
      <c r="B156" s="20"/>
      <c r="C156" s="20"/>
      <c r="D156" s="20"/>
      <c r="E156" s="20"/>
      <c r="F156" s="20"/>
      <c r="G156" s="20"/>
      <c r="H156" s="20"/>
      <c r="I156" s="20"/>
      <c r="J156" s="20"/>
      <c r="K156" s="20"/>
      <c r="M156" s="256"/>
      <c r="N156" s="256"/>
      <c r="O156" s="256"/>
      <c r="P156" s="256"/>
      <c r="T156"/>
      <c r="U156"/>
      <c r="V156"/>
    </row>
    <row r="157" spans="1:22" x14ac:dyDescent="0.25">
      <c r="A157" s="20"/>
      <c r="B157" s="20"/>
      <c r="C157" s="20"/>
      <c r="D157" s="20"/>
      <c r="E157" s="20"/>
      <c r="F157" s="20"/>
      <c r="G157" s="20"/>
      <c r="H157" s="20"/>
      <c r="I157" s="20"/>
      <c r="J157" s="20"/>
      <c r="K157" s="20"/>
      <c r="M157" s="256"/>
      <c r="N157" s="256"/>
      <c r="O157" s="256"/>
      <c r="P157" s="256"/>
      <c r="T157"/>
      <c r="U157"/>
      <c r="V157"/>
    </row>
    <row r="158" spans="1:22" x14ac:dyDescent="0.25">
      <c r="A158" s="20"/>
      <c r="B158" s="20"/>
      <c r="C158" s="20"/>
      <c r="D158" s="20"/>
      <c r="E158" s="20"/>
      <c r="F158" s="20"/>
      <c r="G158" s="20"/>
      <c r="H158" s="20"/>
      <c r="I158" s="20"/>
      <c r="J158" s="20"/>
      <c r="K158" s="20"/>
      <c r="T158"/>
      <c r="U158"/>
      <c r="V158"/>
    </row>
    <row r="159" spans="1:22" x14ac:dyDescent="0.25">
      <c r="A159" s="20"/>
      <c r="B159" s="20"/>
      <c r="C159" s="20"/>
      <c r="D159" s="20"/>
      <c r="E159" s="20"/>
      <c r="F159" s="20"/>
      <c r="G159" s="20"/>
      <c r="H159" s="20"/>
      <c r="I159" s="20"/>
      <c r="J159" s="20"/>
      <c r="K159" s="20"/>
      <c r="T159"/>
      <c r="U159"/>
      <c r="V159"/>
    </row>
    <row r="160" spans="1:22" x14ac:dyDescent="0.25">
      <c r="A160" s="20"/>
      <c r="B160" s="20"/>
      <c r="C160" s="20"/>
      <c r="D160" s="20"/>
      <c r="E160" s="20"/>
      <c r="F160" s="20"/>
      <c r="G160" s="20"/>
      <c r="H160" s="20"/>
      <c r="I160" s="20"/>
      <c r="J160" s="20"/>
      <c r="K160" s="20"/>
      <c r="T160"/>
      <c r="U160"/>
      <c r="V160"/>
    </row>
    <row r="161" spans="1:22" x14ac:dyDescent="0.25">
      <c r="A161" s="20"/>
      <c r="B161" s="20"/>
      <c r="C161" s="20"/>
      <c r="D161" s="20"/>
      <c r="E161" s="20"/>
      <c r="F161" s="20"/>
      <c r="G161" s="20"/>
      <c r="H161" s="20"/>
      <c r="I161" s="20"/>
      <c r="J161" s="20"/>
      <c r="K161" s="20"/>
      <c r="T161"/>
      <c r="U161"/>
      <c r="V161"/>
    </row>
    <row r="162" spans="1:22" x14ac:dyDescent="0.25">
      <c r="A162" s="20"/>
      <c r="B162" s="20"/>
      <c r="C162" s="20"/>
      <c r="D162" s="20"/>
      <c r="E162" s="20"/>
      <c r="F162" s="20"/>
      <c r="G162" s="20"/>
      <c r="H162" s="20"/>
      <c r="I162" s="20"/>
      <c r="J162" s="20"/>
      <c r="K162" s="20"/>
      <c r="T162"/>
      <c r="U162"/>
      <c r="V162"/>
    </row>
    <row r="163" spans="1:22" x14ac:dyDescent="0.25">
      <c r="A163" s="20"/>
      <c r="B163" s="20"/>
      <c r="C163" s="20"/>
      <c r="D163" s="20"/>
      <c r="E163" s="20"/>
      <c r="F163" s="20"/>
      <c r="G163" s="20"/>
      <c r="H163" s="20"/>
      <c r="I163" s="20"/>
      <c r="J163" s="20"/>
      <c r="K163" s="20"/>
      <c r="T163"/>
      <c r="U163"/>
      <c r="V163"/>
    </row>
    <row r="164" spans="1:22" x14ac:dyDescent="0.25">
      <c r="A164" s="20"/>
      <c r="B164" s="20"/>
      <c r="C164" s="20"/>
      <c r="D164" s="20"/>
      <c r="E164" s="20"/>
      <c r="F164" s="20"/>
      <c r="G164" s="20"/>
      <c r="H164" s="20"/>
      <c r="I164" s="20"/>
      <c r="J164" s="20"/>
      <c r="K164" s="20"/>
      <c r="T164"/>
      <c r="U164"/>
      <c r="V164"/>
    </row>
    <row r="165" spans="1:22" x14ac:dyDescent="0.25">
      <c r="A165" s="20"/>
      <c r="B165" s="20"/>
      <c r="C165" s="20"/>
      <c r="D165" s="20"/>
      <c r="E165" s="20"/>
      <c r="F165" s="20"/>
      <c r="G165" s="20"/>
      <c r="H165" s="20"/>
      <c r="I165" s="20"/>
      <c r="J165" s="20"/>
      <c r="K165" s="20"/>
      <c r="T165"/>
      <c r="U165"/>
      <c r="V165"/>
    </row>
    <row r="166" spans="1:22" x14ac:dyDescent="0.25">
      <c r="A166" s="20"/>
      <c r="B166" s="20"/>
      <c r="C166" s="20"/>
      <c r="D166" s="20"/>
      <c r="E166" s="20"/>
      <c r="F166" s="20"/>
      <c r="G166" s="20"/>
      <c r="H166" s="20"/>
      <c r="I166" s="20"/>
      <c r="J166" s="20"/>
      <c r="K166" s="20"/>
      <c r="T166"/>
      <c r="U166"/>
      <c r="V166"/>
    </row>
    <row r="167" spans="1:22" x14ac:dyDescent="0.25">
      <c r="A167" s="20"/>
      <c r="B167" s="20"/>
      <c r="C167" s="20"/>
      <c r="D167" s="20"/>
      <c r="E167" s="20"/>
      <c r="F167" s="20"/>
      <c r="G167" s="20"/>
      <c r="H167" s="20"/>
      <c r="I167" s="20"/>
      <c r="J167" s="20"/>
      <c r="K167" s="20"/>
      <c r="T167"/>
      <c r="U167"/>
      <c r="V167"/>
    </row>
    <row r="168" spans="1:22" x14ac:dyDescent="0.25">
      <c r="A168" s="20"/>
      <c r="B168" s="20"/>
      <c r="C168" s="20"/>
      <c r="D168" s="20"/>
      <c r="E168" s="20"/>
      <c r="F168" s="20"/>
      <c r="G168" s="20"/>
      <c r="H168" s="20"/>
      <c r="I168" s="20"/>
      <c r="J168" s="20"/>
      <c r="K168" s="20"/>
      <c r="T168"/>
      <c r="U168"/>
      <c r="V168"/>
    </row>
    <row r="169" spans="1:22" x14ac:dyDescent="0.25">
      <c r="A169" s="20"/>
      <c r="B169" s="20"/>
      <c r="C169" s="20"/>
      <c r="D169" s="20"/>
      <c r="E169" s="20"/>
      <c r="F169" s="20"/>
      <c r="G169" s="20"/>
      <c r="H169" s="20"/>
      <c r="I169" s="20"/>
      <c r="J169" s="20"/>
      <c r="K169" s="20"/>
      <c r="T169"/>
      <c r="U169"/>
      <c r="V169"/>
    </row>
    <row r="170" spans="1:22" x14ac:dyDescent="0.25">
      <c r="A170" s="20"/>
      <c r="B170" s="20"/>
      <c r="C170" s="20"/>
      <c r="D170" s="20"/>
      <c r="E170" s="20"/>
      <c r="F170" s="20"/>
      <c r="G170" s="20"/>
      <c r="H170" s="20"/>
      <c r="I170" s="20"/>
      <c r="J170" s="20"/>
      <c r="K170" s="20"/>
      <c r="T170"/>
      <c r="U170"/>
      <c r="V170"/>
    </row>
    <row r="171" spans="1:22" x14ac:dyDescent="0.25">
      <c r="A171" s="20"/>
      <c r="B171" s="20"/>
      <c r="C171" s="20"/>
      <c r="D171" s="20"/>
      <c r="E171" s="20"/>
      <c r="F171" s="20"/>
      <c r="G171" s="20"/>
      <c r="H171" s="20"/>
      <c r="I171" s="20"/>
      <c r="J171" s="20"/>
      <c r="K171" s="20"/>
      <c r="T171"/>
      <c r="U171"/>
      <c r="V171"/>
    </row>
    <row r="172" spans="1:22" x14ac:dyDescent="0.25">
      <c r="A172" s="20"/>
      <c r="B172" s="20"/>
      <c r="C172" s="20"/>
      <c r="D172" s="20"/>
      <c r="E172" s="20"/>
      <c r="F172" s="20"/>
      <c r="G172" s="20"/>
      <c r="H172" s="20"/>
      <c r="I172" s="20"/>
      <c r="J172" s="20"/>
      <c r="K172" s="20"/>
      <c r="T172"/>
      <c r="U172"/>
      <c r="V172"/>
    </row>
    <row r="173" spans="1:22" x14ac:dyDescent="0.25">
      <c r="A173" s="20"/>
      <c r="B173" s="20"/>
      <c r="C173" s="20"/>
      <c r="D173" s="20"/>
      <c r="E173" s="20"/>
      <c r="F173" s="20"/>
      <c r="G173" s="20"/>
      <c r="H173" s="20"/>
      <c r="I173" s="20"/>
      <c r="J173" s="20"/>
      <c r="K173" s="20"/>
      <c r="T173"/>
      <c r="U173"/>
      <c r="V173"/>
    </row>
    <row r="174" spans="1:22" x14ac:dyDescent="0.25">
      <c r="A174" s="20"/>
      <c r="B174" s="20"/>
      <c r="C174" s="20"/>
      <c r="D174" s="20"/>
      <c r="E174" s="20"/>
      <c r="F174" s="20"/>
      <c r="G174" s="20"/>
      <c r="H174" s="20"/>
      <c r="I174" s="20"/>
      <c r="J174" s="20"/>
      <c r="K174" s="20"/>
      <c r="T174"/>
      <c r="U174"/>
      <c r="V174"/>
    </row>
    <row r="175" spans="1:22" x14ac:dyDescent="0.25">
      <c r="A175" s="20"/>
      <c r="B175" s="20"/>
      <c r="C175" s="20"/>
      <c r="D175" s="20"/>
      <c r="E175" s="20"/>
      <c r="F175" s="20"/>
      <c r="G175" s="20"/>
      <c r="H175" s="20"/>
      <c r="I175" s="20"/>
      <c r="J175" s="20"/>
      <c r="K175" s="20"/>
      <c r="T175"/>
      <c r="U175"/>
      <c r="V175"/>
    </row>
    <row r="176" spans="1:22" x14ac:dyDescent="0.25">
      <c r="A176" s="20"/>
      <c r="B176" s="20"/>
      <c r="C176" s="20"/>
      <c r="D176" s="20"/>
      <c r="E176" s="20"/>
      <c r="F176" s="20"/>
      <c r="G176" s="20"/>
      <c r="H176" s="20"/>
      <c r="I176" s="20"/>
      <c r="J176" s="20"/>
      <c r="K176" s="20"/>
      <c r="T176"/>
      <c r="U176"/>
      <c r="V176"/>
    </row>
    <row r="177" spans="1:22" x14ac:dyDescent="0.25">
      <c r="A177" s="20"/>
      <c r="B177" s="20"/>
      <c r="C177" s="20"/>
      <c r="D177" s="20"/>
      <c r="E177" s="20"/>
      <c r="F177" s="20"/>
      <c r="G177" s="20"/>
      <c r="H177" s="20"/>
      <c r="I177" s="20"/>
      <c r="J177" s="20"/>
      <c r="K177" s="20"/>
      <c r="T177"/>
      <c r="U177"/>
      <c r="V177"/>
    </row>
    <row r="178" spans="1:22" x14ac:dyDescent="0.25">
      <c r="A178" s="20"/>
      <c r="B178" s="20"/>
      <c r="C178" s="20"/>
      <c r="D178" s="20"/>
      <c r="E178" s="20"/>
      <c r="F178" s="20"/>
      <c r="G178" s="20"/>
      <c r="H178" s="20"/>
      <c r="I178" s="20"/>
      <c r="J178" s="20"/>
      <c r="K178" s="20"/>
      <c r="T178"/>
      <c r="U178"/>
      <c r="V178"/>
    </row>
    <row r="179" spans="1:22" x14ac:dyDescent="0.25">
      <c r="A179" s="20"/>
      <c r="B179" s="20"/>
      <c r="C179" s="20"/>
      <c r="D179" s="20"/>
      <c r="E179" s="20"/>
      <c r="F179" s="20"/>
      <c r="G179" s="20"/>
      <c r="H179" s="20"/>
      <c r="I179" s="20"/>
      <c r="J179" s="20"/>
      <c r="K179" s="20"/>
      <c r="T179"/>
      <c r="U179"/>
      <c r="V179"/>
    </row>
    <row r="180" spans="1:22" x14ac:dyDescent="0.25">
      <c r="A180" s="20"/>
      <c r="B180" s="20"/>
      <c r="C180" s="20"/>
      <c r="D180" s="20"/>
      <c r="E180" s="20"/>
      <c r="F180" s="20"/>
      <c r="G180" s="20"/>
      <c r="H180" s="20"/>
      <c r="I180" s="20"/>
      <c r="J180" s="20"/>
      <c r="K180" s="20"/>
      <c r="T180"/>
      <c r="U180"/>
      <c r="V180"/>
    </row>
    <row r="181" spans="1:22" x14ac:dyDescent="0.25">
      <c r="A181" s="20"/>
      <c r="B181" s="20"/>
      <c r="C181" s="20"/>
      <c r="D181" s="20"/>
      <c r="E181" s="20"/>
      <c r="F181" s="20"/>
      <c r="G181" s="20"/>
      <c r="H181" s="20"/>
      <c r="I181" s="20"/>
      <c r="J181" s="20"/>
      <c r="K181" s="20"/>
      <c r="T181"/>
      <c r="U181"/>
      <c r="V181"/>
    </row>
    <row r="182" spans="1:22" x14ac:dyDescent="0.25">
      <c r="A182" s="20"/>
      <c r="B182" s="20"/>
      <c r="C182" s="20"/>
      <c r="D182" s="20"/>
      <c r="E182" s="20"/>
      <c r="F182" s="20"/>
      <c r="G182" s="20"/>
      <c r="H182" s="20"/>
      <c r="I182" s="20"/>
      <c r="J182" s="20"/>
      <c r="K182" s="20"/>
      <c r="T182"/>
      <c r="U182"/>
      <c r="V182"/>
    </row>
    <row r="183" spans="1:22" x14ac:dyDescent="0.25">
      <c r="A183" s="20"/>
      <c r="B183" s="20"/>
      <c r="C183" s="20"/>
      <c r="D183" s="20"/>
      <c r="E183" s="20"/>
      <c r="F183" s="20"/>
      <c r="G183" s="20"/>
      <c r="H183" s="20"/>
      <c r="I183" s="20"/>
      <c r="J183" s="20"/>
      <c r="K183" s="20"/>
      <c r="T183"/>
      <c r="U183"/>
      <c r="V183"/>
    </row>
    <row r="184" spans="1:22" x14ac:dyDescent="0.25">
      <c r="A184" s="20"/>
      <c r="B184" s="20"/>
      <c r="C184" s="20"/>
      <c r="D184" s="20"/>
      <c r="E184" s="20"/>
      <c r="F184" s="20"/>
      <c r="G184" s="20"/>
      <c r="H184" s="20"/>
      <c r="I184" s="20"/>
      <c r="J184" s="20"/>
      <c r="K184" s="20"/>
      <c r="T184"/>
      <c r="U184"/>
      <c r="V184"/>
    </row>
    <row r="185" spans="1:22" x14ac:dyDescent="0.25">
      <c r="A185" s="20"/>
      <c r="B185" s="20"/>
      <c r="C185" s="20"/>
      <c r="D185" s="20"/>
      <c r="E185" s="20"/>
      <c r="F185" s="20"/>
      <c r="G185" s="20"/>
      <c r="H185" s="20"/>
      <c r="I185" s="20"/>
      <c r="J185" s="20"/>
      <c r="K185" s="20"/>
      <c r="T185"/>
      <c r="U185"/>
      <c r="V185"/>
    </row>
    <row r="186" spans="1:22" x14ac:dyDescent="0.25">
      <c r="A186" s="20"/>
      <c r="B186" s="20"/>
      <c r="C186" s="20"/>
      <c r="D186" s="20"/>
      <c r="E186" s="20"/>
      <c r="F186" s="20"/>
      <c r="G186" s="20"/>
      <c r="H186" s="20"/>
      <c r="I186" s="20"/>
      <c r="J186" s="20"/>
      <c r="K186" s="20"/>
      <c r="T186"/>
      <c r="U186"/>
      <c r="V186"/>
    </row>
    <row r="187" spans="1:22" x14ac:dyDescent="0.25">
      <c r="A187" s="20"/>
      <c r="B187" s="20"/>
      <c r="C187" s="20"/>
      <c r="D187" s="20"/>
      <c r="E187" s="20"/>
      <c r="F187" s="20"/>
      <c r="G187" s="20"/>
      <c r="H187" s="20"/>
      <c r="I187" s="20"/>
      <c r="J187" s="20"/>
      <c r="K187" s="20"/>
      <c r="T187"/>
      <c r="U187"/>
      <c r="V187"/>
    </row>
    <row r="188" spans="1:22" x14ac:dyDescent="0.25">
      <c r="A188" s="20"/>
      <c r="B188" s="20"/>
      <c r="C188" s="20"/>
      <c r="D188" s="20"/>
      <c r="E188" s="20"/>
      <c r="F188" s="20"/>
      <c r="G188" s="20"/>
      <c r="H188" s="20"/>
      <c r="I188" s="20"/>
      <c r="J188" s="20"/>
      <c r="K188" s="20"/>
      <c r="T188"/>
      <c r="U188"/>
      <c r="V188"/>
    </row>
    <row r="189" spans="1:22" x14ac:dyDescent="0.25">
      <c r="A189" s="20"/>
      <c r="B189" s="20"/>
      <c r="C189" s="20"/>
      <c r="D189" s="20"/>
      <c r="E189" s="20"/>
      <c r="F189" s="20"/>
      <c r="G189" s="20"/>
      <c r="H189" s="20"/>
      <c r="I189" s="20"/>
      <c r="J189" s="20"/>
      <c r="K189" s="20"/>
      <c r="T189"/>
      <c r="U189"/>
      <c r="V189"/>
    </row>
    <row r="190" spans="1:22" x14ac:dyDescent="0.25">
      <c r="A190" s="20"/>
      <c r="B190" s="20"/>
      <c r="C190" s="20"/>
      <c r="D190" s="20"/>
      <c r="E190" s="20"/>
      <c r="F190" s="20"/>
      <c r="G190" s="20"/>
      <c r="H190" s="20"/>
      <c r="I190" s="20"/>
      <c r="J190" s="20"/>
      <c r="K190" s="20"/>
      <c r="T190"/>
      <c r="U190"/>
      <c r="V190"/>
    </row>
    <row r="191" spans="1:22" x14ac:dyDescent="0.25">
      <c r="A191" s="20"/>
      <c r="B191" s="20"/>
      <c r="C191" s="20"/>
      <c r="D191" s="20"/>
      <c r="E191" s="20"/>
      <c r="F191" s="20"/>
      <c r="G191" s="20"/>
      <c r="H191" s="20"/>
      <c r="I191" s="20"/>
      <c r="J191" s="20"/>
      <c r="K191" s="20"/>
      <c r="T191"/>
      <c r="U191"/>
      <c r="V191"/>
    </row>
    <row r="192" spans="1:22" x14ac:dyDescent="0.25">
      <c r="A192" s="20"/>
      <c r="B192" s="20"/>
      <c r="C192" s="20"/>
      <c r="D192" s="20"/>
      <c r="E192" s="20"/>
      <c r="F192" s="20"/>
      <c r="G192" s="20"/>
      <c r="H192" s="20"/>
      <c r="I192" s="20"/>
      <c r="J192" s="20"/>
      <c r="K192" s="20"/>
      <c r="T192"/>
      <c r="U192"/>
      <c r="V192"/>
    </row>
    <row r="193" spans="1:22" x14ac:dyDescent="0.25">
      <c r="A193" s="20"/>
      <c r="B193" s="20"/>
      <c r="C193" s="20"/>
      <c r="D193" s="20"/>
      <c r="E193" s="20"/>
      <c r="F193" s="20"/>
      <c r="G193" s="20"/>
      <c r="H193" s="20"/>
      <c r="I193" s="20"/>
      <c r="J193" s="20"/>
      <c r="K193" s="20"/>
      <c r="T193"/>
      <c r="U193"/>
      <c r="V193"/>
    </row>
    <row r="194" spans="1:22" x14ac:dyDescent="0.25">
      <c r="A194" s="20"/>
      <c r="B194" s="20"/>
      <c r="C194" s="20"/>
      <c r="D194" s="20"/>
      <c r="E194" s="20"/>
      <c r="F194" s="20"/>
      <c r="G194" s="20"/>
      <c r="H194" s="20"/>
      <c r="I194" s="20"/>
      <c r="J194" s="20"/>
      <c r="K194" s="20"/>
      <c r="T194"/>
      <c r="U194"/>
      <c r="V194"/>
    </row>
    <row r="195" spans="1:22" x14ac:dyDescent="0.25">
      <c r="A195" s="20"/>
      <c r="B195" s="20"/>
      <c r="C195" s="20"/>
      <c r="D195" s="20"/>
      <c r="E195" s="20"/>
      <c r="F195" s="20"/>
      <c r="G195" s="20"/>
      <c r="H195" s="20"/>
      <c r="I195" s="20"/>
      <c r="J195" s="20"/>
      <c r="K195" s="20"/>
      <c r="T195"/>
      <c r="U195"/>
      <c r="V195"/>
    </row>
    <row r="196" spans="1:22" x14ac:dyDescent="0.25">
      <c r="A196" s="20"/>
      <c r="B196" s="20"/>
      <c r="C196" s="20"/>
      <c r="D196" s="20"/>
      <c r="E196" s="20"/>
      <c r="F196" s="20"/>
      <c r="G196" s="20"/>
      <c r="H196" s="20"/>
      <c r="I196" s="20"/>
      <c r="J196" s="20"/>
      <c r="K196" s="20"/>
      <c r="T196"/>
      <c r="U196"/>
      <c r="V196"/>
    </row>
    <row r="197" spans="1:22" x14ac:dyDescent="0.25">
      <c r="A197" s="20"/>
      <c r="B197" s="20"/>
      <c r="C197" s="20"/>
      <c r="D197" s="20"/>
      <c r="E197" s="20"/>
      <c r="F197" s="20"/>
      <c r="G197" s="20"/>
      <c r="H197" s="20"/>
      <c r="I197" s="20"/>
      <c r="J197" s="20"/>
      <c r="K197" s="20"/>
      <c r="T197"/>
      <c r="U197"/>
      <c r="V197"/>
    </row>
    <row r="198" spans="1:22" x14ac:dyDescent="0.25">
      <c r="A198" s="20"/>
      <c r="B198" s="20"/>
      <c r="C198" s="20"/>
      <c r="D198" s="20"/>
      <c r="E198" s="20"/>
      <c r="F198" s="20"/>
      <c r="G198" s="20"/>
      <c r="H198" s="20"/>
      <c r="I198" s="20"/>
      <c r="J198" s="20"/>
      <c r="K198" s="20"/>
      <c r="T198"/>
      <c r="U198"/>
      <c r="V198"/>
    </row>
    <row r="199" spans="1:22" x14ac:dyDescent="0.25">
      <c r="A199" s="20"/>
      <c r="B199" s="20"/>
      <c r="C199" s="20"/>
      <c r="D199" s="20"/>
      <c r="E199" s="20"/>
      <c r="F199" s="20"/>
      <c r="G199" s="20"/>
      <c r="H199" s="20"/>
      <c r="I199" s="20"/>
      <c r="J199" s="20"/>
      <c r="K199" s="20"/>
      <c r="T199"/>
      <c r="U199"/>
      <c r="V199"/>
    </row>
    <row r="200" spans="1:22" x14ac:dyDescent="0.25">
      <c r="A200" s="20"/>
      <c r="B200" s="20"/>
      <c r="C200" s="20"/>
      <c r="D200" s="20"/>
      <c r="E200" s="20"/>
      <c r="F200" s="20"/>
      <c r="G200" s="20"/>
      <c r="H200" s="20"/>
      <c r="I200" s="20"/>
      <c r="J200" s="20"/>
      <c r="K200" s="20"/>
      <c r="T200"/>
      <c r="U200"/>
      <c r="V200"/>
    </row>
    <row r="201" spans="1:22" x14ac:dyDescent="0.25">
      <c r="A201" s="20"/>
      <c r="B201" s="20"/>
      <c r="C201" s="20"/>
      <c r="D201" s="20"/>
      <c r="E201" s="20"/>
      <c r="F201" s="20"/>
      <c r="G201" s="20"/>
      <c r="H201" s="20"/>
      <c r="I201" s="20"/>
      <c r="J201" s="20"/>
      <c r="K201" s="20"/>
      <c r="T201"/>
      <c r="U201"/>
      <c r="V201"/>
    </row>
    <row r="202" spans="1:22" x14ac:dyDescent="0.25">
      <c r="A202" s="20"/>
      <c r="B202" s="20"/>
      <c r="C202" s="20"/>
      <c r="D202" s="20"/>
      <c r="E202" s="20"/>
      <c r="F202" s="20"/>
      <c r="G202" s="20"/>
      <c r="H202" s="20"/>
      <c r="I202" s="20"/>
      <c r="J202" s="20"/>
      <c r="K202" s="20"/>
      <c r="T202"/>
      <c r="U202"/>
      <c r="V202"/>
    </row>
    <row r="203" spans="1:22" x14ac:dyDescent="0.25">
      <c r="A203" s="20"/>
      <c r="B203" s="20"/>
      <c r="C203" s="20"/>
      <c r="D203" s="20"/>
      <c r="E203" s="20"/>
      <c r="F203" s="20"/>
      <c r="G203" s="20"/>
      <c r="H203" s="20"/>
      <c r="I203" s="20"/>
      <c r="J203" s="20"/>
      <c r="K203" s="20"/>
      <c r="T203"/>
      <c r="U203"/>
      <c r="V203"/>
    </row>
    <row r="204" spans="1:22" x14ac:dyDescent="0.25">
      <c r="A204" s="20"/>
      <c r="B204" s="20"/>
      <c r="C204" s="20"/>
      <c r="D204" s="20"/>
      <c r="E204" s="20"/>
      <c r="F204" s="20"/>
      <c r="G204" s="20"/>
      <c r="H204" s="20"/>
      <c r="I204" s="20"/>
      <c r="J204" s="20"/>
      <c r="K204" s="20"/>
      <c r="T204"/>
      <c r="U204"/>
      <c r="V204"/>
    </row>
    <row r="205" spans="1:22" x14ac:dyDescent="0.25">
      <c r="A205" s="20"/>
      <c r="B205" s="20"/>
      <c r="C205" s="20"/>
      <c r="D205" s="20"/>
      <c r="E205" s="20"/>
      <c r="F205" s="20"/>
      <c r="G205" s="20"/>
      <c r="H205" s="20"/>
      <c r="I205" s="20"/>
      <c r="J205" s="20"/>
      <c r="K205" s="20"/>
      <c r="T205"/>
      <c r="U205"/>
      <c r="V205"/>
    </row>
    <row r="206" spans="1:22" x14ac:dyDescent="0.25">
      <c r="A206" s="20"/>
      <c r="B206" s="20"/>
      <c r="C206" s="20"/>
      <c r="D206" s="20"/>
      <c r="E206" s="20"/>
      <c r="F206" s="20"/>
      <c r="G206" s="20"/>
      <c r="H206" s="20"/>
      <c r="I206" s="20"/>
      <c r="J206" s="20"/>
      <c r="K206" s="20"/>
      <c r="T206"/>
      <c r="U206"/>
      <c r="V206"/>
    </row>
    <row r="207" spans="1:22" x14ac:dyDescent="0.25">
      <c r="A207" s="20"/>
      <c r="B207" s="20"/>
      <c r="C207" s="20"/>
      <c r="D207" s="20"/>
      <c r="E207" s="20"/>
      <c r="F207" s="20"/>
      <c r="G207" s="20"/>
      <c r="H207" s="20"/>
      <c r="I207" s="20"/>
      <c r="J207" s="20"/>
      <c r="K207" s="20"/>
      <c r="T207"/>
      <c r="U207"/>
      <c r="V207"/>
    </row>
    <row r="208" spans="1:22" x14ac:dyDescent="0.25">
      <c r="A208" s="20"/>
      <c r="B208" s="20"/>
      <c r="C208" s="20"/>
      <c r="D208" s="20"/>
      <c r="E208" s="20"/>
      <c r="F208" s="20"/>
      <c r="G208" s="20"/>
      <c r="H208" s="20"/>
      <c r="I208" s="20"/>
      <c r="J208" s="20"/>
      <c r="K208" s="20"/>
      <c r="T208"/>
      <c r="U208"/>
      <c r="V208"/>
    </row>
    <row r="209" spans="1:22" x14ac:dyDescent="0.25">
      <c r="A209" s="20"/>
      <c r="B209" s="20"/>
      <c r="C209" s="20"/>
      <c r="D209" s="20"/>
      <c r="E209" s="20"/>
      <c r="F209" s="20"/>
      <c r="G209" s="20"/>
      <c r="H209" s="20"/>
      <c r="I209" s="20"/>
      <c r="J209" s="20"/>
      <c r="K209" s="20"/>
      <c r="T209"/>
      <c r="U209"/>
      <c r="V209"/>
    </row>
    <row r="210" spans="1:22" x14ac:dyDescent="0.25">
      <c r="A210" s="20"/>
      <c r="B210" s="20"/>
      <c r="C210" s="20"/>
      <c r="D210" s="20"/>
      <c r="E210" s="20"/>
      <c r="F210" s="20"/>
      <c r="G210" s="20"/>
      <c r="H210" s="20"/>
      <c r="I210" s="20"/>
      <c r="J210" s="20"/>
      <c r="K210" s="20"/>
      <c r="T210"/>
      <c r="U210"/>
      <c r="V210"/>
    </row>
    <row r="211" spans="1:22" x14ac:dyDescent="0.25">
      <c r="A211" s="20"/>
      <c r="B211" s="20"/>
      <c r="C211" s="20"/>
      <c r="D211" s="20"/>
      <c r="E211" s="20"/>
      <c r="F211" s="20"/>
      <c r="G211" s="20"/>
      <c r="H211" s="20"/>
      <c r="I211" s="20"/>
      <c r="J211" s="20"/>
      <c r="K211" s="20"/>
      <c r="T211"/>
      <c r="U211"/>
      <c r="V211"/>
    </row>
    <row r="212" spans="1:22" x14ac:dyDescent="0.25">
      <c r="A212" s="20"/>
      <c r="B212" s="20"/>
      <c r="C212" s="20"/>
      <c r="D212" s="20"/>
      <c r="E212" s="20"/>
      <c r="F212" s="20"/>
      <c r="G212" s="20"/>
      <c r="H212" s="20"/>
      <c r="I212" s="20"/>
      <c r="J212" s="20"/>
      <c r="K212" s="20"/>
      <c r="T212"/>
      <c r="U212"/>
      <c r="V212"/>
    </row>
    <row r="213" spans="1:22" x14ac:dyDescent="0.25">
      <c r="A213" s="20"/>
      <c r="B213" s="20"/>
      <c r="C213" s="20"/>
      <c r="D213" s="20"/>
      <c r="E213" s="20"/>
      <c r="F213" s="20"/>
      <c r="G213" s="20"/>
      <c r="H213" s="20"/>
      <c r="I213" s="20"/>
      <c r="J213" s="20"/>
      <c r="K213" s="20"/>
      <c r="T213"/>
      <c r="U213"/>
      <c r="V213"/>
    </row>
    <row r="214" spans="1:22" x14ac:dyDescent="0.25">
      <c r="A214" s="20"/>
      <c r="B214" s="20"/>
      <c r="C214" s="20"/>
      <c r="D214" s="20"/>
      <c r="E214" s="20"/>
      <c r="F214" s="20"/>
      <c r="G214" s="20"/>
      <c r="H214" s="20"/>
      <c r="I214" s="20"/>
      <c r="J214" s="20"/>
      <c r="K214" s="20"/>
      <c r="T214"/>
      <c r="U214"/>
      <c r="V214"/>
    </row>
    <row r="215" spans="1:22" x14ac:dyDescent="0.25">
      <c r="A215" s="20"/>
      <c r="B215" s="20"/>
      <c r="C215" s="20"/>
      <c r="D215" s="20"/>
      <c r="E215" s="20"/>
      <c r="F215" s="20"/>
      <c r="G215" s="20"/>
      <c r="H215" s="20"/>
      <c r="I215" s="20"/>
      <c r="J215" s="20"/>
      <c r="K215" s="20"/>
      <c r="T215"/>
      <c r="U215"/>
      <c r="V215"/>
    </row>
    <row r="216" spans="1:22" x14ac:dyDescent="0.25">
      <c r="A216" s="20"/>
      <c r="B216" s="20"/>
      <c r="C216" s="20"/>
      <c r="D216" s="20"/>
      <c r="E216" s="20"/>
      <c r="F216" s="20"/>
      <c r="G216" s="20"/>
      <c r="H216" s="20"/>
      <c r="I216" s="20"/>
      <c r="J216" s="20"/>
      <c r="K216" s="20"/>
      <c r="T216"/>
      <c r="U216"/>
      <c r="V216"/>
    </row>
    <row r="217" spans="1:22" x14ac:dyDescent="0.25">
      <c r="A217" s="20"/>
      <c r="B217" s="20"/>
      <c r="C217" s="20"/>
      <c r="D217" s="20"/>
      <c r="E217" s="20"/>
      <c r="F217" s="20"/>
      <c r="G217" s="20"/>
      <c r="H217" s="20"/>
      <c r="I217" s="20"/>
      <c r="J217" s="20"/>
      <c r="K217" s="20"/>
      <c r="T217"/>
      <c r="U217"/>
      <c r="V217"/>
    </row>
    <row r="218" spans="1:22" x14ac:dyDescent="0.25">
      <c r="A218" s="20"/>
      <c r="B218" s="20"/>
      <c r="C218" s="20"/>
      <c r="D218" s="20"/>
      <c r="E218" s="20"/>
      <c r="F218" s="20"/>
      <c r="G218" s="20"/>
      <c r="H218" s="20"/>
      <c r="I218" s="20"/>
      <c r="J218" s="20"/>
      <c r="K218" s="20"/>
      <c r="T218"/>
      <c r="U218"/>
      <c r="V218"/>
    </row>
    <row r="219" spans="1:22" x14ac:dyDescent="0.25">
      <c r="A219" s="20"/>
      <c r="B219" s="20"/>
      <c r="C219" s="20"/>
      <c r="D219" s="20"/>
      <c r="E219" s="20"/>
      <c r="F219" s="20"/>
      <c r="G219" s="20"/>
      <c r="H219" s="20"/>
      <c r="I219" s="20"/>
      <c r="J219" s="20"/>
      <c r="K219" s="20"/>
      <c r="T219"/>
      <c r="U219"/>
      <c r="V219"/>
    </row>
    <row r="220" spans="1:22" x14ac:dyDescent="0.25">
      <c r="A220" s="20"/>
      <c r="B220" s="20"/>
      <c r="C220" s="20"/>
      <c r="D220" s="20"/>
      <c r="E220" s="20"/>
      <c r="F220" s="20"/>
      <c r="G220" s="20"/>
      <c r="H220" s="20"/>
      <c r="I220" s="20"/>
      <c r="J220" s="20"/>
      <c r="K220" s="20"/>
      <c r="T220"/>
      <c r="U220"/>
      <c r="V220"/>
    </row>
    <row r="221" spans="1:22" x14ac:dyDescent="0.25">
      <c r="A221" s="20"/>
      <c r="B221" s="20"/>
      <c r="C221" s="20"/>
      <c r="D221" s="20"/>
      <c r="E221" s="20"/>
      <c r="F221" s="20"/>
      <c r="G221" s="20"/>
      <c r="H221" s="20"/>
      <c r="I221" s="20"/>
      <c r="J221" s="20"/>
      <c r="K221" s="20"/>
      <c r="T221"/>
      <c r="U221"/>
      <c r="V221"/>
    </row>
    <row r="222" spans="1:22" x14ac:dyDescent="0.25">
      <c r="A222" s="20"/>
      <c r="B222" s="20"/>
      <c r="C222" s="20"/>
      <c r="D222" s="20"/>
      <c r="E222" s="20"/>
      <c r="F222" s="20"/>
      <c r="G222" s="20"/>
      <c r="H222" s="20"/>
      <c r="I222" s="20"/>
      <c r="J222" s="20"/>
      <c r="K222" s="20"/>
      <c r="T222"/>
      <c r="U222"/>
      <c r="V222"/>
    </row>
    <row r="223" spans="1:22" x14ac:dyDescent="0.25">
      <c r="A223" s="20"/>
      <c r="B223" s="20"/>
      <c r="C223" s="20"/>
      <c r="D223" s="20"/>
      <c r="E223" s="20"/>
      <c r="F223" s="20"/>
      <c r="G223" s="20"/>
      <c r="H223" s="20"/>
      <c r="I223" s="20"/>
      <c r="J223" s="20"/>
      <c r="K223" s="20"/>
      <c r="T223"/>
      <c r="U223"/>
      <c r="V223"/>
    </row>
    <row r="224" spans="1:22" x14ac:dyDescent="0.25">
      <c r="A224" s="20"/>
      <c r="B224" s="20"/>
      <c r="C224" s="20"/>
      <c r="D224" s="20"/>
      <c r="E224" s="20"/>
      <c r="F224" s="20"/>
      <c r="G224" s="20"/>
      <c r="H224" s="20"/>
      <c r="I224" s="20"/>
      <c r="J224" s="20"/>
      <c r="K224" s="20"/>
      <c r="T224"/>
      <c r="U224"/>
      <c r="V224"/>
    </row>
    <row r="225" spans="1:22" x14ac:dyDescent="0.25">
      <c r="A225" s="20"/>
      <c r="B225" s="20"/>
      <c r="C225" s="20"/>
      <c r="D225" s="20"/>
      <c r="E225" s="20"/>
      <c r="F225" s="20"/>
      <c r="G225" s="20"/>
      <c r="H225" s="20"/>
      <c r="I225" s="20"/>
      <c r="J225" s="20"/>
      <c r="K225" s="20"/>
      <c r="T225"/>
      <c r="U225"/>
      <c r="V225"/>
    </row>
    <row r="226" spans="1:22" x14ac:dyDescent="0.25">
      <c r="A226" s="20"/>
      <c r="B226" s="20"/>
      <c r="C226" s="20"/>
      <c r="D226" s="20"/>
      <c r="E226" s="20"/>
      <c r="F226" s="20"/>
      <c r="G226" s="20"/>
      <c r="H226" s="20"/>
      <c r="I226" s="20"/>
      <c r="J226" s="20"/>
      <c r="K226" s="20"/>
      <c r="T226"/>
      <c r="U226"/>
      <c r="V226"/>
    </row>
    <row r="227" spans="1:22" x14ac:dyDescent="0.25">
      <c r="A227" s="20"/>
      <c r="B227" s="20"/>
      <c r="C227" s="20"/>
      <c r="D227" s="20"/>
      <c r="E227" s="20"/>
      <c r="F227" s="20"/>
      <c r="G227" s="20"/>
      <c r="H227" s="20"/>
      <c r="I227" s="20"/>
      <c r="J227" s="20"/>
      <c r="K227" s="20"/>
      <c r="T227"/>
      <c r="U227"/>
      <c r="V227"/>
    </row>
    <row r="228" spans="1:22" x14ac:dyDescent="0.25">
      <c r="A228" s="20"/>
      <c r="B228" s="20"/>
      <c r="C228" s="20"/>
      <c r="D228" s="20"/>
      <c r="E228" s="20"/>
      <c r="F228" s="20"/>
      <c r="G228" s="20"/>
      <c r="H228" s="20"/>
      <c r="I228" s="20"/>
      <c r="J228" s="20"/>
      <c r="K228" s="20"/>
      <c r="T228"/>
      <c r="U228"/>
      <c r="V228"/>
    </row>
    <row r="229" spans="1:22" x14ac:dyDescent="0.25">
      <c r="A229" s="20"/>
      <c r="B229" s="20"/>
      <c r="C229" s="20"/>
      <c r="D229" s="20"/>
      <c r="E229" s="20"/>
      <c r="F229" s="20"/>
      <c r="G229" s="20"/>
      <c r="H229" s="20"/>
      <c r="I229" s="20"/>
      <c r="J229" s="20"/>
      <c r="K229" s="20"/>
      <c r="T229"/>
      <c r="U229"/>
      <c r="V229"/>
    </row>
    <row r="230" spans="1:22" x14ac:dyDescent="0.25">
      <c r="A230" s="20"/>
      <c r="B230" s="20"/>
      <c r="C230" s="20"/>
      <c r="D230" s="20"/>
      <c r="E230" s="20"/>
      <c r="F230" s="20"/>
      <c r="G230" s="20"/>
      <c r="H230" s="20"/>
      <c r="I230" s="20"/>
      <c r="J230" s="20"/>
      <c r="K230" s="20"/>
      <c r="T230"/>
      <c r="U230"/>
      <c r="V230"/>
    </row>
    <row r="231" spans="1:22" x14ac:dyDescent="0.25">
      <c r="A231" s="20"/>
      <c r="B231" s="20"/>
      <c r="C231" s="20"/>
      <c r="D231" s="20"/>
      <c r="E231" s="20"/>
      <c r="F231" s="20"/>
      <c r="G231" s="20"/>
      <c r="H231" s="20"/>
      <c r="I231" s="20"/>
      <c r="J231" s="20"/>
      <c r="K231" s="20"/>
      <c r="T231"/>
      <c r="U231"/>
      <c r="V231"/>
    </row>
    <row r="232" spans="1:22" x14ac:dyDescent="0.25">
      <c r="A232" s="20"/>
      <c r="B232" s="20"/>
      <c r="C232" s="20"/>
      <c r="D232" s="20"/>
      <c r="E232" s="20"/>
      <c r="F232" s="20"/>
      <c r="G232" s="20"/>
      <c r="H232" s="20"/>
      <c r="I232" s="20"/>
      <c r="J232" s="20"/>
      <c r="K232" s="20"/>
      <c r="T232"/>
      <c r="U232"/>
      <c r="V232"/>
    </row>
    <row r="233" spans="1:22" x14ac:dyDescent="0.25">
      <c r="A233" s="20"/>
      <c r="B233" s="20"/>
      <c r="C233" s="20"/>
      <c r="D233" s="20"/>
      <c r="E233" s="20"/>
      <c r="F233" s="20"/>
      <c r="G233" s="20"/>
      <c r="H233" s="20"/>
      <c r="I233" s="20"/>
      <c r="J233" s="20"/>
      <c r="K233" s="20"/>
      <c r="T233"/>
      <c r="U233"/>
      <c r="V233"/>
    </row>
    <row r="234" spans="1:22" x14ac:dyDescent="0.25">
      <c r="A234" s="20"/>
      <c r="B234" s="20"/>
      <c r="C234" s="20"/>
      <c r="D234" s="20"/>
      <c r="E234" s="20"/>
      <c r="F234" s="20"/>
      <c r="G234" s="20"/>
      <c r="H234" s="20"/>
      <c r="I234" s="20"/>
      <c r="J234" s="20"/>
      <c r="K234" s="20"/>
      <c r="T234"/>
      <c r="U234"/>
      <c r="V234"/>
    </row>
    <row r="235" spans="1:22" x14ac:dyDescent="0.25">
      <c r="A235" s="20"/>
      <c r="B235" s="20"/>
      <c r="C235" s="20"/>
      <c r="D235" s="20"/>
      <c r="E235" s="20"/>
      <c r="F235" s="20"/>
      <c r="G235" s="20"/>
      <c r="H235" s="20"/>
      <c r="I235" s="20"/>
      <c r="J235" s="20"/>
      <c r="K235" s="20"/>
      <c r="T235"/>
      <c r="U235"/>
      <c r="V235"/>
    </row>
    <row r="236" spans="1:22" x14ac:dyDescent="0.25">
      <c r="A236" s="20"/>
      <c r="B236" s="20"/>
      <c r="C236" s="20"/>
      <c r="D236" s="20"/>
      <c r="E236" s="20"/>
      <c r="F236" s="20"/>
      <c r="G236" s="20"/>
      <c r="H236" s="20"/>
      <c r="I236" s="20"/>
      <c r="J236" s="20"/>
      <c r="K236" s="20"/>
      <c r="T236"/>
      <c r="U236"/>
      <c r="V236"/>
    </row>
    <row r="237" spans="1:22" x14ac:dyDescent="0.25">
      <c r="A237" s="20"/>
      <c r="B237" s="20"/>
      <c r="C237" s="20"/>
      <c r="D237" s="20"/>
      <c r="E237" s="20"/>
      <c r="F237" s="20"/>
      <c r="G237" s="20"/>
      <c r="H237" s="20"/>
      <c r="I237" s="20"/>
      <c r="J237" s="20"/>
      <c r="K237" s="20"/>
      <c r="T237"/>
      <c r="U237"/>
      <c r="V237"/>
    </row>
    <row r="238" spans="1:22" x14ac:dyDescent="0.25">
      <c r="A238" s="20"/>
      <c r="B238" s="20"/>
      <c r="C238" s="20"/>
      <c r="D238" s="20"/>
      <c r="E238" s="20"/>
      <c r="F238" s="20"/>
      <c r="G238" s="20"/>
      <c r="H238" s="20"/>
      <c r="I238" s="20"/>
      <c r="J238" s="20"/>
      <c r="K238" s="20"/>
      <c r="T238"/>
      <c r="U238"/>
      <c r="V238"/>
    </row>
    <row r="239" spans="1:22" x14ac:dyDescent="0.25">
      <c r="A239" s="20"/>
      <c r="B239" s="20"/>
      <c r="C239" s="20"/>
      <c r="D239" s="20"/>
      <c r="E239" s="20"/>
      <c r="F239" s="20"/>
      <c r="G239" s="20"/>
      <c r="H239" s="20"/>
      <c r="I239" s="20"/>
      <c r="J239" s="20"/>
      <c r="K239" s="20"/>
      <c r="T239"/>
      <c r="U239"/>
      <c r="V239"/>
    </row>
    <row r="240" spans="1:22" x14ac:dyDescent="0.25">
      <c r="A240" s="20"/>
      <c r="B240" s="20"/>
      <c r="C240" s="20"/>
      <c r="D240" s="20"/>
      <c r="E240" s="20"/>
      <c r="F240" s="20"/>
      <c r="G240" s="20"/>
      <c r="H240" s="20"/>
      <c r="I240" s="20"/>
      <c r="J240" s="20"/>
      <c r="K240" s="20"/>
      <c r="T240"/>
      <c r="U240"/>
      <c r="V240"/>
    </row>
    <row r="241" spans="1:22" x14ac:dyDescent="0.25">
      <c r="A241" s="20"/>
      <c r="B241" s="20"/>
      <c r="C241" s="20"/>
      <c r="D241" s="20"/>
      <c r="E241" s="20"/>
      <c r="F241" s="20"/>
      <c r="G241" s="20"/>
      <c r="H241" s="20"/>
      <c r="I241" s="20"/>
      <c r="J241" s="20"/>
      <c r="K241" s="20"/>
      <c r="T241"/>
      <c r="U241"/>
      <c r="V241"/>
    </row>
    <row r="242" spans="1:22" x14ac:dyDescent="0.25">
      <c r="A242" s="20"/>
      <c r="B242" s="20"/>
      <c r="C242" s="20"/>
      <c r="D242" s="20"/>
      <c r="E242" s="20"/>
      <c r="F242" s="20"/>
      <c r="G242" s="20"/>
      <c r="H242" s="20"/>
      <c r="I242" s="20"/>
      <c r="J242" s="20"/>
      <c r="K242" s="20"/>
      <c r="T242"/>
      <c r="U242"/>
      <c r="V242"/>
    </row>
    <row r="243" spans="1:22" x14ac:dyDescent="0.25">
      <c r="A243" s="20"/>
      <c r="B243" s="20"/>
      <c r="C243" s="20"/>
      <c r="D243" s="20"/>
      <c r="E243" s="20"/>
      <c r="F243" s="20"/>
      <c r="G243" s="20"/>
      <c r="H243" s="20"/>
      <c r="I243" s="20"/>
      <c r="J243" s="20"/>
      <c r="K243" s="20"/>
      <c r="T243"/>
      <c r="U243"/>
      <c r="V243"/>
    </row>
    <row r="244" spans="1:22" x14ac:dyDescent="0.25">
      <c r="A244" s="20"/>
      <c r="B244" s="20"/>
      <c r="C244" s="20"/>
      <c r="D244" s="20"/>
      <c r="E244" s="20"/>
      <c r="F244" s="20"/>
      <c r="G244" s="20"/>
      <c r="H244" s="20"/>
      <c r="I244" s="20"/>
      <c r="J244" s="20"/>
      <c r="K244" s="20"/>
      <c r="T244"/>
      <c r="U244"/>
      <c r="V244"/>
    </row>
    <row r="245" spans="1:22" x14ac:dyDescent="0.25">
      <c r="A245" s="20"/>
      <c r="B245" s="20"/>
      <c r="C245" s="20"/>
      <c r="D245" s="20"/>
      <c r="E245" s="20"/>
      <c r="F245" s="20"/>
      <c r="G245" s="20"/>
      <c r="H245" s="20"/>
      <c r="I245" s="20"/>
      <c r="J245" s="20"/>
      <c r="K245" s="20"/>
      <c r="T245"/>
      <c r="U245"/>
      <c r="V245"/>
    </row>
    <row r="246" spans="1:22" x14ac:dyDescent="0.25">
      <c r="A246" s="20"/>
      <c r="B246" s="20"/>
      <c r="C246" s="20"/>
      <c r="D246" s="20"/>
      <c r="E246" s="20"/>
      <c r="F246" s="20"/>
      <c r="G246" s="20"/>
      <c r="H246" s="20"/>
      <c r="I246" s="20"/>
      <c r="J246" s="20"/>
      <c r="K246" s="20"/>
      <c r="T246"/>
      <c r="U246"/>
      <c r="V246"/>
    </row>
    <row r="247" spans="1:22" x14ac:dyDescent="0.25">
      <c r="A247" s="20"/>
      <c r="B247" s="20"/>
      <c r="C247" s="20"/>
      <c r="D247" s="20"/>
      <c r="E247" s="20"/>
      <c r="F247" s="20"/>
      <c r="G247" s="20"/>
      <c r="H247" s="20"/>
      <c r="I247" s="20"/>
      <c r="J247" s="20"/>
      <c r="K247" s="20"/>
      <c r="T247"/>
      <c r="U247"/>
      <c r="V247"/>
    </row>
    <row r="248" spans="1:22" x14ac:dyDescent="0.25">
      <c r="A248" s="20"/>
      <c r="B248" s="20"/>
      <c r="C248" s="20"/>
      <c r="D248" s="20"/>
      <c r="E248" s="20"/>
      <c r="F248" s="20"/>
      <c r="G248" s="20"/>
      <c r="H248" s="20"/>
      <c r="I248" s="20"/>
      <c r="J248" s="20"/>
      <c r="K248" s="20"/>
      <c r="T248"/>
      <c r="U248"/>
      <c r="V248"/>
    </row>
    <row r="249" spans="1:22" x14ac:dyDescent="0.25">
      <c r="A249" s="20"/>
      <c r="B249" s="20"/>
      <c r="C249" s="20"/>
      <c r="D249" s="20"/>
      <c r="E249" s="20"/>
      <c r="F249" s="20"/>
      <c r="G249" s="20"/>
      <c r="H249" s="20"/>
      <c r="I249" s="20"/>
      <c r="J249" s="20"/>
      <c r="K249" s="20"/>
      <c r="T249"/>
      <c r="U249"/>
      <c r="V249"/>
    </row>
    <row r="250" spans="1:22" x14ac:dyDescent="0.25">
      <c r="A250" s="20"/>
      <c r="B250" s="20"/>
      <c r="C250" s="20"/>
      <c r="D250" s="20"/>
      <c r="E250" s="20"/>
      <c r="F250" s="20"/>
      <c r="G250" s="20"/>
      <c r="H250" s="20"/>
      <c r="I250" s="20"/>
      <c r="J250" s="20"/>
      <c r="K250" s="20"/>
      <c r="T250"/>
      <c r="U250"/>
      <c r="V250"/>
    </row>
    <row r="251" spans="1:22" x14ac:dyDescent="0.25">
      <c r="A251" s="20"/>
      <c r="B251" s="20"/>
      <c r="C251" s="20"/>
      <c r="D251" s="20"/>
      <c r="E251" s="20"/>
      <c r="F251" s="20"/>
      <c r="G251" s="20"/>
      <c r="H251" s="20"/>
      <c r="I251" s="20"/>
      <c r="J251" s="20"/>
      <c r="K251" s="20"/>
      <c r="T251"/>
      <c r="U251"/>
      <c r="V251"/>
    </row>
    <row r="252" spans="1:22" x14ac:dyDescent="0.25">
      <c r="A252" s="20"/>
      <c r="B252" s="20"/>
      <c r="C252" s="20"/>
      <c r="D252" s="20"/>
      <c r="E252" s="20"/>
      <c r="F252" s="20"/>
      <c r="G252" s="20"/>
      <c r="H252" s="335"/>
      <c r="I252" s="335"/>
      <c r="J252" s="335"/>
      <c r="K252" s="335"/>
      <c r="L252" s="335"/>
      <c r="M252" s="335"/>
      <c r="N252" s="335"/>
      <c r="O252" s="335"/>
      <c r="T252"/>
      <c r="U252"/>
      <c r="V252"/>
    </row>
    <row r="253" spans="1:22" x14ac:dyDescent="0.25">
      <c r="A253" s="335"/>
      <c r="B253" s="335"/>
      <c r="C253" s="335"/>
      <c r="D253" s="335"/>
      <c r="E253" s="20"/>
      <c r="F253" s="20"/>
      <c r="G253" s="20"/>
      <c r="H253" s="20"/>
      <c r="I253" s="20"/>
      <c r="J253" s="20"/>
      <c r="K253" s="20"/>
      <c r="T253"/>
      <c r="U253"/>
      <c r="V253"/>
    </row>
    <row r="254" spans="1:22" x14ac:dyDescent="0.25">
      <c r="A254" s="20"/>
      <c r="B254" s="20"/>
      <c r="C254" s="20"/>
      <c r="D254" s="20"/>
      <c r="E254" s="20"/>
      <c r="F254" s="20"/>
      <c r="G254" s="20"/>
      <c r="H254" s="20"/>
      <c r="I254" s="20"/>
      <c r="J254" s="20"/>
      <c r="K254" s="20"/>
      <c r="T254"/>
      <c r="U254"/>
      <c r="V254"/>
    </row>
    <row r="255" spans="1:22" x14ac:dyDescent="0.25">
      <c r="A255" s="20"/>
      <c r="B255" s="20"/>
      <c r="C255" s="20"/>
      <c r="D255" s="20"/>
      <c r="E255" s="20"/>
      <c r="F255" s="20"/>
      <c r="G255" s="20"/>
      <c r="I255" s="20"/>
      <c r="J255" s="20"/>
      <c r="K255" s="20"/>
      <c r="T255"/>
      <c r="U255"/>
      <c r="V255"/>
    </row>
    <row r="256" spans="1:22" x14ac:dyDescent="0.25">
      <c r="A256" s="213"/>
      <c r="B256" s="20"/>
      <c r="C256" s="255"/>
      <c r="D256" s="255"/>
      <c r="E256" s="20"/>
      <c r="F256" s="20"/>
      <c r="G256" s="20"/>
      <c r="H256" s="23"/>
      <c r="I256" s="20"/>
      <c r="J256" s="20"/>
      <c r="K256" s="20"/>
      <c r="T256"/>
      <c r="U256"/>
      <c r="V256"/>
    </row>
    <row r="257" spans="1:22" x14ac:dyDescent="0.25">
      <c r="A257" s="214"/>
      <c r="B257" s="20"/>
      <c r="C257" s="255"/>
      <c r="D257" s="255"/>
      <c r="E257" s="20"/>
      <c r="F257" s="20"/>
      <c r="G257" s="20"/>
      <c r="H257" s="23"/>
      <c r="I257" s="20"/>
      <c r="J257" s="20"/>
      <c r="K257" s="20"/>
      <c r="T257"/>
      <c r="U257"/>
      <c r="V257"/>
    </row>
    <row r="258" spans="1:22" x14ac:dyDescent="0.25">
      <c r="A258" s="20"/>
      <c r="B258" s="20"/>
      <c r="C258" s="20"/>
      <c r="D258" s="20"/>
      <c r="E258" s="20"/>
      <c r="F258" s="20"/>
      <c r="G258" s="20"/>
      <c r="H258" s="23"/>
      <c r="I258" s="20"/>
      <c r="J258" s="20"/>
      <c r="K258" s="20"/>
      <c r="T258"/>
      <c r="U258"/>
      <c r="V258"/>
    </row>
    <row r="259" spans="1:22" x14ac:dyDescent="0.25">
      <c r="A259" s="20"/>
      <c r="B259" s="20"/>
      <c r="C259" s="20"/>
      <c r="D259" s="20"/>
      <c r="E259" s="20"/>
      <c r="F259" s="20"/>
      <c r="G259" s="20"/>
      <c r="H259" s="23"/>
      <c r="I259" s="20"/>
      <c r="J259" s="20"/>
      <c r="K259" s="20"/>
      <c r="T259"/>
      <c r="U259"/>
      <c r="V259"/>
    </row>
    <row r="260" spans="1:22" ht="15" customHeight="1" x14ac:dyDescent="0.25">
      <c r="A260" s="187"/>
      <c r="B260" s="20"/>
      <c r="C260" s="255"/>
      <c r="D260" s="255"/>
      <c r="E260" s="20"/>
      <c r="F260" s="20"/>
      <c r="G260" s="20"/>
      <c r="I260" s="20"/>
      <c r="J260" s="20"/>
      <c r="K260" s="20"/>
      <c r="T260"/>
      <c r="U260"/>
      <c r="V260"/>
    </row>
    <row r="261" spans="1:22" x14ac:dyDescent="0.25">
      <c r="A261" s="20"/>
      <c r="B261" s="20"/>
      <c r="C261" s="255"/>
      <c r="D261" s="255"/>
      <c r="E261" s="20"/>
      <c r="F261" s="20"/>
      <c r="G261" s="20"/>
      <c r="I261" s="20"/>
      <c r="J261" s="20"/>
      <c r="K261" s="20"/>
      <c r="T261"/>
      <c r="U261"/>
      <c r="V261"/>
    </row>
    <row r="262" spans="1:22" x14ac:dyDescent="0.25">
      <c r="A262" s="20"/>
      <c r="B262" s="20"/>
      <c r="C262" s="20"/>
      <c r="D262" s="20"/>
      <c r="E262" s="20"/>
      <c r="F262" s="20"/>
      <c r="G262" s="20"/>
      <c r="H262" s="23"/>
      <c r="I262" s="20"/>
      <c r="J262" s="20"/>
      <c r="K262" s="20"/>
      <c r="T262"/>
      <c r="U262"/>
      <c r="V262"/>
    </row>
    <row r="263" spans="1:22" x14ac:dyDescent="0.25">
      <c r="A263" s="20"/>
      <c r="B263" s="20"/>
      <c r="C263" s="20"/>
      <c r="D263" s="20"/>
      <c r="E263" s="20"/>
      <c r="F263" s="20"/>
      <c r="G263" s="20"/>
      <c r="H263" s="23"/>
      <c r="I263" s="20"/>
      <c r="J263" s="20"/>
      <c r="K263" s="20"/>
      <c r="T263"/>
      <c r="U263"/>
      <c r="V263"/>
    </row>
    <row r="264" spans="1:22" ht="15" customHeight="1" x14ac:dyDescent="0.25">
      <c r="A264" s="17"/>
      <c r="B264" s="20"/>
      <c r="C264" s="255"/>
      <c r="D264" s="255"/>
      <c r="E264" s="20"/>
      <c r="F264" s="20"/>
      <c r="G264" s="20"/>
      <c r="H264" s="23"/>
      <c r="I264" s="20"/>
      <c r="J264" s="20"/>
      <c r="K264" s="20"/>
      <c r="T264"/>
      <c r="U264"/>
      <c r="V264"/>
    </row>
    <row r="265" spans="1:22" ht="15" customHeight="1" x14ac:dyDescent="0.25">
      <c r="A265" s="20"/>
      <c r="B265" s="20"/>
      <c r="C265" s="20"/>
      <c r="D265" s="20"/>
      <c r="E265" s="20"/>
      <c r="F265" s="20"/>
      <c r="G265" s="20"/>
      <c r="H265" s="23"/>
      <c r="I265" s="20"/>
      <c r="J265" s="20"/>
      <c r="K265" s="20"/>
      <c r="T265"/>
      <c r="U265"/>
      <c r="V265"/>
    </row>
    <row r="266" spans="1:22" x14ac:dyDescent="0.25">
      <c r="A266" s="20"/>
      <c r="B266" s="20"/>
      <c r="C266" s="20"/>
      <c r="D266" s="20"/>
      <c r="E266" s="20"/>
      <c r="F266" s="20"/>
      <c r="G266" s="20"/>
      <c r="H266" s="24"/>
      <c r="I266" s="20"/>
      <c r="J266" s="20"/>
      <c r="K266" s="20"/>
      <c r="T266"/>
      <c r="U266"/>
      <c r="V266"/>
    </row>
    <row r="267" spans="1:22" x14ac:dyDescent="0.25">
      <c r="A267" s="20"/>
      <c r="B267" s="20"/>
      <c r="C267" s="20"/>
      <c r="D267" s="20"/>
      <c r="E267" s="20"/>
      <c r="F267" s="20"/>
      <c r="G267" s="20"/>
      <c r="H267" s="24"/>
      <c r="I267" s="20"/>
      <c r="J267" s="20"/>
      <c r="K267" s="20"/>
      <c r="T267"/>
      <c r="U267"/>
      <c r="V267"/>
    </row>
    <row r="268" spans="1:22" ht="15" customHeight="1" x14ac:dyDescent="0.25">
      <c r="A268" s="20"/>
      <c r="B268" s="20"/>
      <c r="C268" s="20"/>
      <c r="D268" s="20"/>
      <c r="E268" s="20"/>
      <c r="F268" s="20"/>
      <c r="G268" s="20"/>
      <c r="H268" s="24"/>
      <c r="I268" s="20"/>
      <c r="J268" s="20"/>
      <c r="K268" s="20"/>
      <c r="T268"/>
      <c r="U268"/>
      <c r="V268"/>
    </row>
    <row r="269" spans="1:22" x14ac:dyDescent="0.25">
      <c r="A269" s="20"/>
      <c r="B269" s="20"/>
      <c r="C269" s="20"/>
      <c r="D269" s="20"/>
      <c r="E269" s="20"/>
      <c r="F269" s="20"/>
      <c r="G269" s="20"/>
      <c r="H269" s="24"/>
      <c r="I269" s="20"/>
      <c r="J269" s="20"/>
      <c r="K269" s="20"/>
      <c r="T269"/>
      <c r="U269"/>
      <c r="V269"/>
    </row>
    <row r="270" spans="1:22" x14ac:dyDescent="0.25">
      <c r="A270" s="20"/>
      <c r="B270" s="20"/>
      <c r="C270" s="20"/>
      <c r="D270" s="20"/>
      <c r="E270" s="20"/>
      <c r="F270" s="20"/>
      <c r="G270" s="20"/>
      <c r="H270" s="23"/>
      <c r="I270" s="20"/>
      <c r="J270" s="20"/>
      <c r="K270" s="20"/>
      <c r="T270"/>
      <c r="U270"/>
      <c r="V270"/>
    </row>
    <row r="271" spans="1:22" x14ac:dyDescent="0.25">
      <c r="A271" s="20"/>
      <c r="B271" s="20"/>
      <c r="C271" s="20"/>
      <c r="D271" s="20"/>
      <c r="E271" s="20"/>
      <c r="F271" s="20"/>
      <c r="G271" s="20"/>
      <c r="H271" s="23"/>
      <c r="I271" s="20"/>
      <c r="J271" s="20"/>
      <c r="K271" s="20"/>
      <c r="T271"/>
      <c r="U271"/>
      <c r="V271"/>
    </row>
    <row r="272" spans="1:22" ht="15" customHeight="1" x14ac:dyDescent="0.25">
      <c r="A272" s="20"/>
      <c r="B272" s="20"/>
      <c r="C272" s="20"/>
      <c r="D272" s="20"/>
      <c r="E272" s="20"/>
      <c r="F272" s="20"/>
      <c r="G272" s="20"/>
      <c r="H272" s="23"/>
      <c r="I272" s="20"/>
      <c r="J272" s="20"/>
      <c r="K272" s="20"/>
      <c r="T272"/>
      <c r="U272"/>
      <c r="V272"/>
    </row>
    <row r="273" spans="1:22" x14ac:dyDescent="0.25">
      <c r="A273" s="20"/>
      <c r="B273" s="20"/>
      <c r="C273" s="20"/>
      <c r="D273" s="20"/>
      <c r="E273" s="20"/>
      <c r="F273" s="20"/>
      <c r="G273" s="20"/>
      <c r="H273" s="23"/>
      <c r="I273" s="20"/>
      <c r="J273" s="20"/>
      <c r="K273" s="20"/>
      <c r="T273"/>
      <c r="U273"/>
      <c r="V273"/>
    </row>
    <row r="274" spans="1:22" x14ac:dyDescent="0.25">
      <c r="A274" s="20"/>
      <c r="B274" s="20"/>
      <c r="C274" s="20"/>
      <c r="D274" s="20"/>
      <c r="E274" s="20"/>
      <c r="F274" s="20"/>
      <c r="G274" s="20"/>
      <c r="H274" s="24"/>
      <c r="I274" s="20"/>
      <c r="J274" s="20"/>
      <c r="K274" s="20"/>
      <c r="T274"/>
      <c r="U274"/>
      <c r="V274"/>
    </row>
    <row r="275" spans="1:22" x14ac:dyDescent="0.25">
      <c r="A275" s="20"/>
      <c r="B275" s="20"/>
      <c r="C275" s="20"/>
      <c r="D275" s="20"/>
      <c r="E275" s="20"/>
      <c r="F275" s="20"/>
      <c r="G275" s="20"/>
      <c r="H275" s="24"/>
      <c r="I275" s="20"/>
      <c r="J275" s="20"/>
      <c r="K275" s="20"/>
      <c r="T275"/>
      <c r="U275"/>
      <c r="V275"/>
    </row>
    <row r="276" spans="1:22" x14ac:dyDescent="0.25">
      <c r="A276" s="20"/>
      <c r="B276" s="20"/>
      <c r="C276" s="20"/>
      <c r="D276" s="20"/>
      <c r="E276" s="20"/>
      <c r="F276" s="20"/>
      <c r="G276" s="20"/>
      <c r="H276" s="24"/>
      <c r="I276" s="20"/>
      <c r="J276" s="20"/>
      <c r="K276" s="20"/>
      <c r="T276"/>
      <c r="U276"/>
      <c r="V276"/>
    </row>
    <row r="277" spans="1:22" x14ac:dyDescent="0.25">
      <c r="A277" s="20"/>
      <c r="B277" s="20"/>
      <c r="C277" s="20"/>
      <c r="D277" s="20"/>
      <c r="E277" s="20"/>
      <c r="F277" s="20"/>
      <c r="G277" s="20"/>
      <c r="H277" s="24"/>
      <c r="I277" s="20"/>
      <c r="J277" s="20"/>
      <c r="K277" s="20"/>
      <c r="T277"/>
      <c r="U277"/>
      <c r="V277"/>
    </row>
    <row r="278" spans="1:22" x14ac:dyDescent="0.25">
      <c r="A278" s="20"/>
      <c r="B278" s="20"/>
      <c r="C278" s="20"/>
      <c r="D278" s="20"/>
      <c r="E278" s="20"/>
      <c r="F278" s="20"/>
      <c r="G278" s="20"/>
      <c r="H278" s="20"/>
      <c r="I278" s="20"/>
      <c r="J278" s="20"/>
      <c r="K278" s="20"/>
      <c r="T278"/>
      <c r="U278"/>
      <c r="V278"/>
    </row>
    <row r="279" spans="1:22" x14ac:dyDescent="0.25">
      <c r="A279" s="20"/>
      <c r="B279" s="20"/>
      <c r="C279" s="20"/>
      <c r="D279" s="20"/>
      <c r="E279" s="20"/>
      <c r="F279" s="20"/>
      <c r="G279" s="20"/>
      <c r="H279" s="20"/>
      <c r="I279" s="20"/>
      <c r="J279" s="20"/>
      <c r="K279" s="20"/>
      <c r="T279"/>
      <c r="U279"/>
      <c r="V279"/>
    </row>
    <row r="280" spans="1:22" x14ac:dyDescent="0.25">
      <c r="A280" s="20"/>
      <c r="B280" s="20"/>
      <c r="C280" s="20"/>
      <c r="D280" s="20"/>
      <c r="E280" s="20"/>
      <c r="F280" s="20"/>
      <c r="G280" s="20"/>
      <c r="H280" s="20"/>
      <c r="I280" s="20"/>
      <c r="J280" s="20"/>
      <c r="K280" s="20"/>
      <c r="N280" s="313"/>
      <c r="O280" s="313"/>
      <c r="P280" s="313"/>
      <c r="Q280" s="313"/>
      <c r="T280"/>
      <c r="U280"/>
      <c r="V280"/>
    </row>
    <row r="281" spans="1:22" x14ac:dyDescent="0.25">
      <c r="A281" s="20"/>
      <c r="B281" s="20"/>
      <c r="C281" s="20"/>
      <c r="D281" s="20"/>
      <c r="E281" s="20"/>
      <c r="F281" s="20"/>
      <c r="G281" s="20"/>
      <c r="H281" s="20"/>
      <c r="I281" s="20"/>
      <c r="J281" s="20"/>
      <c r="K281" s="20"/>
      <c r="N281" s="313"/>
      <c r="O281" s="313"/>
      <c r="P281" s="313"/>
      <c r="Q281" s="313"/>
      <c r="T281"/>
      <c r="U281"/>
      <c r="V281"/>
    </row>
    <row r="282" spans="1:22" ht="24" x14ac:dyDescent="0.25">
      <c r="F282" s="20"/>
      <c r="G282" s="20"/>
      <c r="H282" s="20"/>
      <c r="I282" s="20"/>
      <c r="J282" s="20"/>
      <c r="K282" s="20"/>
      <c r="N282" s="207"/>
      <c r="O282" s="207"/>
      <c r="P282" s="207"/>
      <c r="Q282" s="207"/>
      <c r="T282"/>
      <c r="U282"/>
      <c r="V282"/>
    </row>
    <row r="283" spans="1:22" ht="24" x14ac:dyDescent="0.25">
      <c r="F283" s="20"/>
      <c r="G283" s="20"/>
      <c r="H283" s="20"/>
      <c r="I283" s="20"/>
      <c r="J283" s="20"/>
      <c r="K283" s="20"/>
      <c r="N283" s="207"/>
      <c r="O283" s="207"/>
      <c r="P283" s="207"/>
      <c r="Q283" s="207"/>
      <c r="T283"/>
      <c r="U283"/>
      <c r="V283"/>
    </row>
    <row r="284" spans="1:22" ht="24" x14ac:dyDescent="0.25">
      <c r="F284" s="20"/>
      <c r="G284" s="20"/>
      <c r="H284" s="20"/>
      <c r="I284" s="20"/>
      <c r="J284" s="20"/>
      <c r="K284" s="20"/>
      <c r="N284" s="207"/>
      <c r="O284" s="207"/>
      <c r="P284" s="207"/>
      <c r="Q284" s="207"/>
      <c r="T284"/>
      <c r="U284"/>
      <c r="V284"/>
    </row>
    <row r="285" spans="1:22" ht="24" x14ac:dyDescent="0.25">
      <c r="F285" s="20"/>
      <c r="G285" s="20"/>
      <c r="H285" s="20"/>
      <c r="I285" s="20"/>
      <c r="J285" s="20"/>
      <c r="K285" s="20"/>
      <c r="N285" s="207"/>
      <c r="O285" s="207"/>
      <c r="P285" s="207"/>
      <c r="Q285" s="207"/>
      <c r="T285"/>
      <c r="U285"/>
      <c r="V285"/>
    </row>
    <row r="286" spans="1:22" ht="24" x14ac:dyDescent="0.25">
      <c r="F286" s="20"/>
      <c r="G286" s="20"/>
      <c r="H286" s="20"/>
      <c r="I286" s="20"/>
      <c r="J286" s="20"/>
      <c r="K286" s="20"/>
      <c r="N286" s="207"/>
      <c r="O286" s="207"/>
      <c r="P286" s="207"/>
      <c r="Q286" s="207"/>
      <c r="T286"/>
      <c r="U286"/>
      <c r="V286"/>
    </row>
    <row r="287" spans="1:22" ht="24" x14ac:dyDescent="0.25">
      <c r="F287" s="20"/>
      <c r="G287" s="20"/>
      <c r="H287" s="20"/>
      <c r="I287" s="20"/>
      <c r="J287" s="20"/>
      <c r="K287" s="20"/>
      <c r="N287" s="207"/>
      <c r="O287" s="207"/>
      <c r="P287" s="207"/>
      <c r="Q287" s="207"/>
      <c r="T287"/>
      <c r="U287"/>
      <c r="V287"/>
    </row>
    <row r="288" spans="1:22" ht="15" customHeight="1" x14ac:dyDescent="0.25">
      <c r="F288" s="20"/>
      <c r="G288" s="20"/>
      <c r="H288" s="20"/>
      <c r="I288" s="20"/>
      <c r="J288" s="20"/>
      <c r="K288" s="20"/>
      <c r="N288" s="207"/>
      <c r="O288" s="207"/>
      <c r="P288" s="207"/>
      <c r="Q288" s="207"/>
      <c r="T288"/>
      <c r="U288"/>
      <c r="V288"/>
    </row>
    <row r="289" spans="1:22" ht="15" customHeight="1" x14ac:dyDescent="0.25">
      <c r="F289" s="20"/>
      <c r="G289" s="20"/>
      <c r="H289" s="20"/>
      <c r="I289" s="20"/>
      <c r="J289" s="20"/>
      <c r="K289" s="20"/>
      <c r="N289" s="207"/>
      <c r="O289" s="207"/>
      <c r="P289" s="207"/>
      <c r="Q289" s="207"/>
      <c r="T289"/>
      <c r="U289"/>
      <c r="V289"/>
    </row>
    <row r="290" spans="1:22" x14ac:dyDescent="0.25">
      <c r="F290" s="20"/>
      <c r="G290" s="20"/>
      <c r="H290" s="20"/>
      <c r="I290" s="20"/>
      <c r="J290" s="20"/>
      <c r="K290" s="20"/>
      <c r="T290"/>
      <c r="U290"/>
      <c r="V290"/>
    </row>
    <row r="291" spans="1:22" x14ac:dyDescent="0.25">
      <c r="F291" s="20"/>
      <c r="G291" s="20"/>
      <c r="H291" s="20"/>
      <c r="I291" s="20"/>
      <c r="J291" s="20"/>
      <c r="K291" s="20"/>
      <c r="T291"/>
      <c r="U291"/>
      <c r="V291"/>
    </row>
    <row r="292" spans="1:22" x14ac:dyDescent="0.25">
      <c r="F292" s="20"/>
      <c r="G292" s="20"/>
      <c r="H292" s="20"/>
      <c r="I292" s="20"/>
      <c r="J292" s="20"/>
      <c r="K292" s="20"/>
      <c r="T292"/>
      <c r="U292"/>
      <c r="V292"/>
    </row>
    <row r="293" spans="1:22" x14ac:dyDescent="0.25">
      <c r="F293" s="20"/>
      <c r="G293" s="20"/>
      <c r="H293" s="20"/>
      <c r="I293" s="20"/>
      <c r="J293" s="20"/>
      <c r="K293" s="20"/>
      <c r="T293"/>
      <c r="U293"/>
      <c r="V293"/>
    </row>
    <row r="294" spans="1:22" x14ac:dyDescent="0.25">
      <c r="F294" s="20"/>
      <c r="G294" s="20"/>
      <c r="H294" s="20"/>
      <c r="I294" s="20"/>
      <c r="J294" s="20"/>
      <c r="K294" s="20"/>
      <c r="T294"/>
      <c r="U294"/>
      <c r="V294"/>
    </row>
    <row r="295" spans="1:22" x14ac:dyDescent="0.25">
      <c r="F295" s="20"/>
      <c r="G295" s="20"/>
      <c r="H295" s="20"/>
      <c r="I295" s="20"/>
      <c r="J295" s="20"/>
      <c r="K295" s="20"/>
      <c r="T295"/>
      <c r="U295"/>
      <c r="V295"/>
    </row>
    <row r="296" spans="1:22" x14ac:dyDescent="0.25">
      <c r="F296" s="20"/>
      <c r="G296" s="20"/>
      <c r="H296" s="20"/>
      <c r="I296" s="20"/>
      <c r="J296" s="20"/>
      <c r="K296" s="20"/>
      <c r="T296"/>
      <c r="U296"/>
      <c r="V296"/>
    </row>
    <row r="297" spans="1:22" x14ac:dyDescent="0.25">
      <c r="F297" s="20"/>
      <c r="G297" s="20"/>
      <c r="H297" s="20"/>
      <c r="I297" s="20"/>
      <c r="J297" s="20"/>
      <c r="K297" s="20"/>
      <c r="T297"/>
      <c r="U297"/>
      <c r="V297"/>
    </row>
    <row r="298" spans="1:22" x14ac:dyDescent="0.25">
      <c r="A298" s="51"/>
      <c r="B298" s="52"/>
      <c r="D298" s="20"/>
      <c r="E298" s="20"/>
      <c r="F298" s="20"/>
      <c r="G298" s="20"/>
      <c r="H298" s="20"/>
      <c r="I298" s="20"/>
      <c r="J298" s="20"/>
      <c r="K298" s="20"/>
      <c r="T298"/>
      <c r="U298"/>
      <c r="V298"/>
    </row>
    <row r="299" spans="1:22" x14ac:dyDescent="0.25">
      <c r="D299" s="20"/>
      <c r="E299" s="20"/>
      <c r="F299" s="20"/>
      <c r="G299" s="20"/>
      <c r="H299" s="20"/>
      <c r="I299" s="20"/>
      <c r="J299" s="20"/>
      <c r="K299" s="20"/>
      <c r="T299"/>
      <c r="U299"/>
      <c r="V299"/>
    </row>
    <row r="300" spans="1:22" x14ac:dyDescent="0.25">
      <c r="D300" s="20"/>
      <c r="E300" s="20"/>
      <c r="F300" s="20"/>
      <c r="G300" s="20"/>
      <c r="H300" s="20"/>
      <c r="I300" s="20"/>
      <c r="J300" s="20"/>
      <c r="K300" s="20"/>
      <c r="T300"/>
      <c r="U300"/>
      <c r="V300"/>
    </row>
    <row r="301" spans="1:22" x14ac:dyDescent="0.25">
      <c r="D301" s="20"/>
      <c r="E301" s="20"/>
      <c r="F301" s="20"/>
      <c r="G301" s="20"/>
      <c r="H301" s="20"/>
      <c r="I301" s="20"/>
      <c r="J301" s="20"/>
      <c r="K301" s="20"/>
      <c r="T301"/>
      <c r="U301"/>
      <c r="V301"/>
    </row>
    <row r="302" spans="1:22" x14ac:dyDescent="0.25">
      <c r="D302" s="20"/>
      <c r="E302" s="20"/>
      <c r="F302" s="20"/>
      <c r="G302" s="20"/>
      <c r="H302" s="20"/>
      <c r="I302" s="20"/>
      <c r="J302" s="20"/>
      <c r="K302" s="20"/>
      <c r="T302"/>
      <c r="U302"/>
      <c r="V302"/>
    </row>
    <row r="303" spans="1:22" x14ac:dyDescent="0.25">
      <c r="C303" s="215"/>
      <c r="D303" s="20"/>
      <c r="E303" s="20"/>
      <c r="F303" s="20"/>
      <c r="G303" s="20"/>
      <c r="H303" s="20"/>
      <c r="I303" s="20"/>
      <c r="J303" s="20"/>
      <c r="K303" s="20"/>
      <c r="T303"/>
      <c r="U303"/>
      <c r="V303"/>
    </row>
    <row r="304" spans="1:22" x14ac:dyDescent="0.25">
      <c r="A304" s="20"/>
      <c r="B304" s="20"/>
      <c r="C304" s="20"/>
      <c r="D304" s="20"/>
      <c r="E304" s="20"/>
      <c r="F304" s="20"/>
      <c r="G304" s="20"/>
      <c r="H304" s="20"/>
      <c r="I304" s="20"/>
      <c r="J304" s="20"/>
      <c r="K304" s="20"/>
      <c r="T304"/>
      <c r="U304"/>
      <c r="V304"/>
    </row>
    <row r="305" spans="1:22" x14ac:dyDescent="0.25">
      <c r="A305" s="20"/>
      <c r="B305" s="20"/>
      <c r="C305" s="20"/>
      <c r="D305" s="20"/>
      <c r="E305" s="20"/>
      <c r="F305" s="20"/>
      <c r="G305" s="20"/>
      <c r="H305" s="20"/>
      <c r="I305" s="20"/>
      <c r="J305" s="20"/>
      <c r="K305" s="20"/>
      <c r="T305"/>
      <c r="U305"/>
      <c r="V305"/>
    </row>
    <row r="306" spans="1:22" x14ac:dyDescent="0.25">
      <c r="A306" s="20"/>
      <c r="B306" s="20"/>
      <c r="C306" s="20"/>
      <c r="D306" s="20"/>
      <c r="E306" s="20"/>
      <c r="F306" s="20"/>
      <c r="G306" s="20"/>
      <c r="H306" s="20"/>
      <c r="I306" s="20"/>
      <c r="J306" s="20"/>
      <c r="K306" s="20"/>
      <c r="T306"/>
      <c r="U306"/>
      <c r="V306"/>
    </row>
    <row r="307" spans="1:22" x14ac:dyDescent="0.25">
      <c r="A307" s="20"/>
      <c r="B307" s="20"/>
      <c r="C307" s="20"/>
      <c r="D307" s="20"/>
      <c r="E307" s="20"/>
      <c r="F307" s="20"/>
      <c r="G307" s="20"/>
      <c r="H307" s="20"/>
      <c r="I307" s="20"/>
      <c r="J307" s="20"/>
      <c r="K307" s="20"/>
      <c r="T307"/>
      <c r="U307"/>
      <c r="V307"/>
    </row>
    <row r="308" spans="1:22" x14ac:dyDescent="0.25">
      <c r="A308" s="20"/>
      <c r="B308" s="20"/>
      <c r="C308" s="20"/>
      <c r="D308" s="20"/>
      <c r="E308" s="20"/>
      <c r="F308" s="20"/>
      <c r="G308" s="20"/>
      <c r="H308" s="20"/>
      <c r="I308" s="20"/>
      <c r="J308" s="20"/>
      <c r="K308" s="20"/>
      <c r="T308"/>
      <c r="U308"/>
      <c r="V308"/>
    </row>
    <row r="309" spans="1:22" x14ac:dyDescent="0.25">
      <c r="A309" s="20"/>
      <c r="B309" s="20"/>
      <c r="C309" s="20"/>
      <c r="D309" s="20"/>
      <c r="E309" s="20"/>
      <c r="F309" s="20"/>
      <c r="G309" s="20"/>
      <c r="H309" s="20"/>
      <c r="I309" s="20"/>
      <c r="J309" s="20"/>
      <c r="K309" s="20"/>
      <c r="T309"/>
      <c r="U309"/>
      <c r="V309"/>
    </row>
    <row r="310" spans="1:22" x14ac:dyDescent="0.25">
      <c r="A310" s="20"/>
      <c r="B310" s="20"/>
      <c r="C310" s="20"/>
      <c r="D310" s="20"/>
      <c r="E310" s="20"/>
      <c r="F310" s="20"/>
      <c r="G310" s="20"/>
      <c r="H310" s="20"/>
      <c r="I310" s="20"/>
      <c r="J310" s="20"/>
      <c r="K310" s="20"/>
      <c r="T310"/>
      <c r="U310"/>
      <c r="V310"/>
    </row>
    <row r="311" spans="1:22" x14ac:dyDescent="0.25">
      <c r="A311" s="20"/>
      <c r="B311" s="20"/>
      <c r="C311" s="20"/>
      <c r="D311" s="20"/>
      <c r="E311" s="20"/>
      <c r="F311" s="20"/>
      <c r="G311" s="20"/>
      <c r="H311" s="20"/>
      <c r="I311" s="20"/>
      <c r="J311" s="20"/>
      <c r="K311" s="20"/>
      <c r="T311"/>
      <c r="U311"/>
      <c r="V311"/>
    </row>
    <row r="312" spans="1:22" x14ac:dyDescent="0.25">
      <c r="A312" s="20"/>
      <c r="B312" s="20"/>
      <c r="C312" s="20"/>
      <c r="D312" s="20"/>
      <c r="E312" s="20"/>
      <c r="F312" s="20"/>
      <c r="G312" s="20"/>
      <c r="H312" s="20"/>
      <c r="I312" s="20"/>
      <c r="J312" s="20"/>
      <c r="K312" s="20"/>
      <c r="T312"/>
      <c r="U312"/>
      <c r="V312"/>
    </row>
    <row r="313" spans="1:22" x14ac:dyDescent="0.25">
      <c r="A313" s="20"/>
      <c r="B313" s="20"/>
      <c r="C313" s="20"/>
      <c r="D313" s="20"/>
      <c r="E313" s="20"/>
      <c r="F313" s="20"/>
      <c r="G313" s="20"/>
      <c r="H313" s="20"/>
      <c r="I313" s="20"/>
      <c r="J313" s="20"/>
      <c r="K313" s="20"/>
      <c r="T313"/>
      <c r="U313"/>
      <c r="V313"/>
    </row>
    <row r="314" spans="1:22" x14ac:dyDescent="0.25">
      <c r="A314" s="20"/>
      <c r="B314" s="20"/>
      <c r="C314" s="20"/>
      <c r="D314" s="20"/>
      <c r="E314" s="20"/>
      <c r="F314" s="20"/>
      <c r="G314" s="20"/>
      <c r="H314" s="20"/>
      <c r="I314" s="20"/>
      <c r="J314" s="20"/>
      <c r="K314" s="20"/>
      <c r="T314"/>
      <c r="U314"/>
      <c r="V314"/>
    </row>
    <row r="315" spans="1:22" x14ac:dyDescent="0.25">
      <c r="A315" s="20"/>
      <c r="B315" s="20"/>
      <c r="C315" s="20"/>
      <c r="D315" s="20"/>
      <c r="E315" s="20"/>
      <c r="F315" s="20"/>
      <c r="G315" s="20"/>
      <c r="H315" s="20"/>
      <c r="I315" s="20"/>
      <c r="J315" s="20"/>
      <c r="K315" s="20"/>
      <c r="T315"/>
      <c r="U315"/>
      <c r="V315"/>
    </row>
    <row r="316" spans="1:22" x14ac:dyDescent="0.25">
      <c r="A316" s="20"/>
      <c r="B316" s="20"/>
      <c r="C316" s="20"/>
      <c r="D316" s="20"/>
      <c r="E316" s="20"/>
      <c r="F316" s="20"/>
      <c r="G316" s="20"/>
      <c r="H316" s="20"/>
      <c r="I316" s="20"/>
      <c r="J316" s="20"/>
      <c r="K316" s="20"/>
      <c r="T316"/>
      <c r="U316"/>
      <c r="V316"/>
    </row>
    <row r="317" spans="1:22" x14ac:dyDescent="0.25">
      <c r="A317" s="20"/>
      <c r="B317" s="20"/>
      <c r="C317" s="20"/>
      <c r="D317" s="20"/>
      <c r="E317" s="20"/>
      <c r="F317" s="20"/>
      <c r="G317" s="20"/>
      <c r="H317" s="20"/>
      <c r="I317" s="20"/>
      <c r="J317" s="20"/>
      <c r="K317" s="20"/>
      <c r="T317"/>
      <c r="U317"/>
      <c r="V317"/>
    </row>
    <row r="318" spans="1:22" x14ac:dyDescent="0.25">
      <c r="A318" s="20"/>
      <c r="B318" s="20"/>
      <c r="C318" s="20"/>
      <c r="D318" s="20"/>
      <c r="E318" s="20"/>
      <c r="F318" s="20"/>
      <c r="G318" s="20"/>
      <c r="H318" s="20"/>
      <c r="I318" s="20"/>
      <c r="J318" s="20"/>
      <c r="K318" s="20"/>
      <c r="T318"/>
      <c r="U318"/>
      <c r="V318"/>
    </row>
    <row r="319" spans="1:22" x14ac:dyDescent="0.25">
      <c r="A319" s="20"/>
      <c r="B319" s="20"/>
      <c r="C319" s="20"/>
      <c r="D319" s="20"/>
      <c r="E319" s="20"/>
      <c r="F319" s="20"/>
      <c r="G319" s="20"/>
      <c r="H319" s="20"/>
      <c r="I319" s="20"/>
      <c r="J319" s="20"/>
      <c r="K319" s="20"/>
      <c r="T319"/>
      <c r="U319"/>
      <c r="V319"/>
    </row>
    <row r="320" spans="1:22" x14ac:dyDescent="0.25">
      <c r="A320" s="20"/>
      <c r="B320" s="20"/>
      <c r="C320" s="20"/>
      <c r="D320" s="20"/>
      <c r="E320" s="20"/>
      <c r="F320" s="20"/>
      <c r="G320" s="20"/>
      <c r="H320" s="20"/>
      <c r="I320" s="20"/>
      <c r="J320" s="20"/>
      <c r="K320" s="20"/>
      <c r="T320"/>
      <c r="U320"/>
      <c r="V320"/>
    </row>
    <row r="321" spans="1:22" x14ac:dyDescent="0.25">
      <c r="A321" s="20"/>
      <c r="B321" s="20"/>
      <c r="C321" s="20"/>
      <c r="D321" s="20"/>
      <c r="E321" s="20"/>
      <c r="F321" s="20"/>
      <c r="G321" s="20"/>
      <c r="H321" s="20"/>
      <c r="I321" s="20"/>
      <c r="J321" s="20"/>
      <c r="K321" s="20"/>
      <c r="T321"/>
      <c r="U321"/>
      <c r="V321"/>
    </row>
    <row r="322" spans="1:22" x14ac:dyDescent="0.25">
      <c r="A322" s="20"/>
      <c r="B322" s="20"/>
      <c r="C322" s="20"/>
      <c r="D322" s="20"/>
      <c r="E322" s="20"/>
      <c r="F322" s="20"/>
      <c r="G322" s="20"/>
      <c r="H322" s="20"/>
      <c r="I322" s="20"/>
      <c r="J322" s="20"/>
      <c r="K322" s="20"/>
      <c r="T322"/>
      <c r="U322"/>
      <c r="V322"/>
    </row>
    <row r="323" spans="1:22" x14ac:dyDescent="0.25">
      <c r="A323" s="20"/>
      <c r="B323" s="20"/>
      <c r="C323" s="20"/>
      <c r="D323" s="20"/>
      <c r="E323" s="20"/>
      <c r="F323" s="20"/>
      <c r="G323" s="20"/>
      <c r="H323" s="20"/>
      <c r="I323" s="20"/>
      <c r="J323" s="20"/>
      <c r="K323" s="20"/>
      <c r="T323"/>
      <c r="U323"/>
      <c r="V323"/>
    </row>
    <row r="324" spans="1:22" x14ac:dyDescent="0.25">
      <c r="A324" s="20"/>
      <c r="B324" s="20"/>
      <c r="C324" s="20"/>
      <c r="D324" s="20"/>
      <c r="E324" s="20"/>
      <c r="F324" s="20"/>
      <c r="G324" s="20"/>
      <c r="H324" s="20"/>
      <c r="I324" s="20"/>
      <c r="J324" s="20"/>
      <c r="K324" s="20"/>
      <c r="T324"/>
      <c r="U324"/>
      <c r="V324"/>
    </row>
    <row r="325" spans="1:22" x14ac:dyDescent="0.25">
      <c r="A325" s="20"/>
      <c r="B325" s="20"/>
      <c r="C325" s="20"/>
      <c r="D325" s="20"/>
      <c r="E325" s="20"/>
      <c r="F325" s="20"/>
      <c r="G325" s="20"/>
      <c r="H325" s="20"/>
      <c r="I325" s="20"/>
      <c r="J325" s="20"/>
      <c r="K325" s="20"/>
      <c r="T325"/>
      <c r="U325"/>
      <c r="V325"/>
    </row>
    <row r="326" spans="1:22" x14ac:dyDescent="0.25">
      <c r="A326" s="20"/>
      <c r="B326" s="20"/>
      <c r="C326" s="20"/>
      <c r="D326" s="20"/>
      <c r="E326" s="20"/>
      <c r="F326" s="20"/>
      <c r="G326" s="20"/>
      <c r="H326" s="20"/>
      <c r="I326" s="20"/>
      <c r="J326" s="20"/>
      <c r="K326" s="20"/>
      <c r="T326"/>
      <c r="U326"/>
      <c r="V326"/>
    </row>
    <row r="327" spans="1:22" x14ac:dyDescent="0.25">
      <c r="A327" s="20"/>
      <c r="B327" s="20"/>
      <c r="C327" s="20"/>
      <c r="D327" s="20"/>
      <c r="E327" s="20"/>
      <c r="F327" s="20"/>
      <c r="G327" s="20"/>
      <c r="H327" s="20"/>
      <c r="I327" s="20"/>
      <c r="J327" s="20"/>
      <c r="K327" s="20"/>
      <c r="T327"/>
      <c r="U327"/>
      <c r="V327"/>
    </row>
    <row r="328" spans="1:22" x14ac:dyDescent="0.25">
      <c r="A328" s="20"/>
      <c r="B328" s="20"/>
      <c r="C328" s="20"/>
      <c r="D328" s="20"/>
      <c r="E328" s="20"/>
      <c r="F328" s="20"/>
      <c r="G328" s="20"/>
      <c r="H328" s="20"/>
      <c r="I328" s="20"/>
      <c r="J328" s="20"/>
      <c r="K328" s="20"/>
      <c r="T328"/>
      <c r="U328"/>
      <c r="V328"/>
    </row>
    <row r="329" spans="1:22" x14ac:dyDescent="0.25">
      <c r="A329" s="20"/>
      <c r="B329" s="20"/>
      <c r="C329" s="20"/>
      <c r="D329" s="20"/>
      <c r="E329" s="20"/>
      <c r="F329" s="20"/>
      <c r="G329" s="20"/>
      <c r="H329" s="20"/>
      <c r="I329" s="20"/>
      <c r="J329" s="20"/>
      <c r="K329" s="20"/>
      <c r="T329"/>
      <c r="U329"/>
      <c r="V329"/>
    </row>
    <row r="330" spans="1:22" x14ac:dyDescent="0.25">
      <c r="A330" s="20"/>
      <c r="B330" s="20"/>
      <c r="C330" s="20"/>
      <c r="D330" s="20"/>
      <c r="E330" s="20"/>
      <c r="F330" s="20"/>
      <c r="G330" s="20"/>
      <c r="H330" s="20"/>
      <c r="I330" s="20"/>
      <c r="J330" s="20"/>
      <c r="K330" s="20"/>
      <c r="T330"/>
      <c r="U330"/>
      <c r="V330"/>
    </row>
    <row r="331" spans="1:22" x14ac:dyDescent="0.25">
      <c r="A331" s="20"/>
      <c r="B331" s="20"/>
      <c r="C331" s="20"/>
      <c r="D331" s="20"/>
      <c r="E331" s="20"/>
      <c r="F331" s="20"/>
      <c r="G331" s="20"/>
      <c r="H331" s="20"/>
      <c r="I331" s="20"/>
      <c r="J331" s="20"/>
      <c r="K331" s="20"/>
      <c r="S331" s="17"/>
      <c r="T331" s="17"/>
      <c r="U331" s="17"/>
      <c r="V331" s="17"/>
    </row>
    <row r="332" spans="1:22" x14ac:dyDescent="0.25">
      <c r="A332" s="20"/>
      <c r="B332" s="20"/>
      <c r="C332" s="20"/>
      <c r="D332" s="20"/>
      <c r="E332" s="20"/>
      <c r="F332" s="20"/>
      <c r="G332" s="20"/>
      <c r="H332" s="20"/>
      <c r="I332" s="20"/>
      <c r="J332" s="20"/>
      <c r="K332" s="20"/>
      <c r="S332" s="17"/>
      <c r="T332" s="17"/>
      <c r="U332" s="17"/>
      <c r="V332" s="17"/>
    </row>
    <row r="333" spans="1:22" x14ac:dyDescent="0.25">
      <c r="A333" s="20"/>
      <c r="B333" s="20"/>
      <c r="C333" s="20"/>
      <c r="D333" s="20"/>
      <c r="E333" s="20"/>
      <c r="F333" s="20"/>
      <c r="G333" s="20"/>
      <c r="H333" s="20"/>
      <c r="I333" s="20"/>
      <c r="J333" s="20"/>
      <c r="K333" s="20"/>
      <c r="T333"/>
      <c r="U333"/>
      <c r="V333"/>
    </row>
    <row r="334" spans="1:22" x14ac:dyDescent="0.25">
      <c r="A334" s="20"/>
      <c r="B334" s="20"/>
      <c r="C334" s="20"/>
      <c r="D334" s="20"/>
      <c r="E334" s="20"/>
      <c r="F334" s="20"/>
      <c r="G334" s="20"/>
      <c r="H334" s="20"/>
      <c r="I334" s="20"/>
      <c r="J334" s="20"/>
      <c r="K334" s="20"/>
      <c r="T334"/>
      <c r="U334"/>
      <c r="V334"/>
    </row>
    <row r="335" spans="1:22" x14ac:dyDescent="0.25">
      <c r="A335" s="20"/>
      <c r="B335" s="20"/>
      <c r="C335" s="20"/>
      <c r="D335" s="20"/>
      <c r="E335" s="20"/>
      <c r="F335" s="20"/>
      <c r="G335" s="20"/>
      <c r="H335" s="20"/>
      <c r="I335" s="20"/>
      <c r="J335" s="20"/>
      <c r="K335" s="20"/>
      <c r="R335" s="17"/>
      <c r="S335" s="17"/>
      <c r="T335" s="17"/>
      <c r="U335" s="17"/>
      <c r="V335" s="17"/>
    </row>
    <row r="336" spans="1:22" x14ac:dyDescent="0.25">
      <c r="A336" s="20"/>
      <c r="B336" s="20"/>
      <c r="C336" s="20"/>
      <c r="D336" s="20"/>
      <c r="E336" s="20"/>
      <c r="F336" s="20"/>
      <c r="G336" s="20"/>
      <c r="H336" s="20"/>
      <c r="I336" s="20"/>
      <c r="J336" s="20"/>
      <c r="K336" s="20"/>
      <c r="R336" s="17"/>
      <c r="S336" s="17"/>
      <c r="T336" s="17"/>
      <c r="U336" s="17"/>
      <c r="V336" s="17"/>
    </row>
    <row r="337" spans="1:22" x14ac:dyDescent="0.25">
      <c r="A337" s="20"/>
      <c r="B337" s="20"/>
      <c r="C337" s="20"/>
      <c r="D337" s="20"/>
      <c r="E337" s="20"/>
      <c r="F337" s="20"/>
      <c r="G337" s="20"/>
      <c r="H337" s="20"/>
      <c r="I337" s="20"/>
      <c r="J337" s="20"/>
      <c r="K337" s="20"/>
      <c r="T337"/>
      <c r="U337"/>
      <c r="V337"/>
    </row>
    <row r="338" spans="1:22" x14ac:dyDescent="0.25">
      <c r="A338" s="20"/>
      <c r="B338" s="20"/>
      <c r="C338" s="20"/>
      <c r="D338" s="20"/>
      <c r="E338" s="20"/>
      <c r="F338" s="20"/>
      <c r="G338" s="20"/>
      <c r="H338" s="20"/>
      <c r="I338" s="20"/>
      <c r="J338" s="20"/>
      <c r="K338" s="20"/>
      <c r="T338"/>
      <c r="U338"/>
      <c r="V338"/>
    </row>
    <row r="339" spans="1:22" x14ac:dyDescent="0.25">
      <c r="A339" s="20"/>
      <c r="B339" s="20"/>
      <c r="C339" s="20"/>
      <c r="D339" s="20"/>
      <c r="E339" s="20"/>
      <c r="F339" s="20"/>
      <c r="G339" s="20"/>
      <c r="H339" s="20"/>
      <c r="I339" s="20"/>
      <c r="J339" s="20"/>
      <c r="K339" s="20"/>
      <c r="T339"/>
      <c r="U339"/>
      <c r="V339"/>
    </row>
    <row r="340" spans="1:22" x14ac:dyDescent="0.25">
      <c r="A340" s="20"/>
      <c r="B340" s="20"/>
      <c r="C340" s="20"/>
      <c r="D340" s="20"/>
      <c r="E340" s="20"/>
      <c r="F340" s="20"/>
      <c r="G340" s="20"/>
      <c r="H340" s="20"/>
      <c r="I340" s="20"/>
      <c r="J340" s="20"/>
      <c r="K340" s="20"/>
      <c r="O340" s="187"/>
      <c r="T340"/>
      <c r="U340"/>
      <c r="V340"/>
    </row>
    <row r="341" spans="1:22" x14ac:dyDescent="0.25">
      <c r="A341" s="20"/>
      <c r="B341" s="20"/>
      <c r="C341" s="20"/>
      <c r="D341" s="20"/>
      <c r="E341" s="20"/>
      <c r="F341" s="20"/>
      <c r="G341" s="20"/>
      <c r="H341" s="20"/>
      <c r="I341" s="20"/>
      <c r="J341" s="20"/>
      <c r="K341" s="20"/>
      <c r="O341" s="186"/>
      <c r="T341"/>
      <c r="U341"/>
      <c r="V341"/>
    </row>
    <row r="342" spans="1:22" x14ac:dyDescent="0.25">
      <c r="A342" s="20"/>
      <c r="B342" s="20"/>
      <c r="C342" s="20"/>
      <c r="D342" s="20"/>
      <c r="E342" s="20"/>
      <c r="F342" s="20"/>
      <c r="G342" s="20"/>
      <c r="H342" s="20"/>
      <c r="I342" s="20"/>
      <c r="J342" s="20"/>
      <c r="K342" s="20"/>
      <c r="O342" s="187"/>
      <c r="T342"/>
      <c r="U342"/>
      <c r="V342"/>
    </row>
    <row r="343" spans="1:22" x14ac:dyDescent="0.25">
      <c r="A343" s="20"/>
      <c r="B343" s="20"/>
      <c r="C343" s="20"/>
      <c r="D343" s="20"/>
      <c r="E343" s="20"/>
      <c r="F343" s="20"/>
      <c r="G343" s="20"/>
      <c r="H343" s="20"/>
      <c r="I343" s="20"/>
      <c r="J343" s="20"/>
      <c r="K343" s="20"/>
      <c r="O343" s="186"/>
      <c r="T343"/>
      <c r="U343"/>
      <c r="V343"/>
    </row>
    <row r="344" spans="1:22" x14ac:dyDescent="0.25">
      <c r="A344" s="20"/>
      <c r="B344" s="20"/>
      <c r="C344" s="20"/>
      <c r="D344" s="20"/>
      <c r="E344" s="20"/>
      <c r="F344" s="20"/>
      <c r="G344" s="20"/>
      <c r="H344" s="20"/>
      <c r="I344" s="20"/>
      <c r="J344" s="20"/>
      <c r="K344" s="20"/>
      <c r="O344" s="187"/>
      <c r="T344"/>
      <c r="U344"/>
      <c r="V344"/>
    </row>
    <row r="345" spans="1:22" x14ac:dyDescent="0.25">
      <c r="A345" s="20"/>
      <c r="B345" s="20"/>
      <c r="C345" s="20"/>
      <c r="D345" s="20"/>
      <c r="E345" s="20"/>
      <c r="F345" s="20"/>
      <c r="G345" s="20"/>
      <c r="H345" s="20"/>
      <c r="I345" s="20"/>
      <c r="J345" s="20"/>
      <c r="K345" s="20"/>
      <c r="O345" s="186"/>
      <c r="T345"/>
      <c r="U345"/>
      <c r="V345"/>
    </row>
    <row r="346" spans="1:22" x14ac:dyDescent="0.25">
      <c r="A346" s="20"/>
      <c r="B346" s="20"/>
      <c r="C346" s="20"/>
      <c r="D346" s="20"/>
      <c r="E346" s="20"/>
      <c r="F346" s="20"/>
      <c r="G346" s="20"/>
      <c r="H346" s="20"/>
      <c r="I346" s="20"/>
      <c r="J346" s="20"/>
      <c r="K346" s="20"/>
      <c r="O346" s="187"/>
      <c r="T346"/>
      <c r="U346"/>
      <c r="V346"/>
    </row>
    <row r="347" spans="1:22" x14ac:dyDescent="0.25">
      <c r="A347" s="20"/>
      <c r="B347" s="20"/>
      <c r="C347" s="20"/>
      <c r="D347" s="20"/>
      <c r="E347" s="20"/>
      <c r="F347" s="20"/>
      <c r="G347" s="20"/>
      <c r="H347" s="20"/>
      <c r="I347" s="20"/>
      <c r="J347" s="20"/>
      <c r="K347" s="20"/>
      <c r="O347" s="186"/>
      <c r="T347"/>
      <c r="U347"/>
      <c r="V347"/>
    </row>
    <row r="348" spans="1:22" x14ac:dyDescent="0.25">
      <c r="A348" s="20"/>
      <c r="B348" s="20"/>
      <c r="C348" s="20"/>
      <c r="D348" s="20"/>
      <c r="E348" s="20"/>
      <c r="F348" s="20"/>
      <c r="G348" s="20"/>
      <c r="H348" s="20"/>
      <c r="I348" s="20"/>
      <c r="J348" s="20"/>
      <c r="K348" s="20"/>
      <c r="O348" s="17"/>
      <c r="T348"/>
      <c r="U348"/>
      <c r="V348"/>
    </row>
    <row r="349" spans="1:22" x14ac:dyDescent="0.25">
      <c r="A349" s="20"/>
      <c r="B349" s="20"/>
      <c r="C349" s="20"/>
      <c r="D349" s="20"/>
      <c r="E349" s="20"/>
      <c r="F349" s="20"/>
      <c r="G349" s="20"/>
      <c r="H349" s="20"/>
      <c r="I349" s="20"/>
      <c r="J349" s="20"/>
      <c r="K349" s="20"/>
      <c r="O349" s="17"/>
      <c r="T349"/>
      <c r="U349"/>
      <c r="V349"/>
    </row>
    <row r="350" spans="1:22" x14ac:dyDescent="0.25">
      <c r="A350" s="20"/>
      <c r="B350" s="20"/>
      <c r="C350" s="20"/>
      <c r="D350" s="20"/>
      <c r="E350" s="20"/>
      <c r="F350" s="20"/>
      <c r="G350" s="20"/>
      <c r="H350" s="20"/>
      <c r="I350" s="20"/>
      <c r="J350" s="20"/>
      <c r="K350" s="20"/>
      <c r="O350" s="187"/>
      <c r="T350"/>
      <c r="U350"/>
      <c r="V350"/>
    </row>
    <row r="351" spans="1:22" x14ac:dyDescent="0.25">
      <c r="A351" s="20"/>
      <c r="B351" s="20"/>
      <c r="C351" s="20"/>
      <c r="D351" s="20"/>
      <c r="E351" s="20"/>
      <c r="F351" s="20"/>
      <c r="G351" s="20"/>
      <c r="H351" s="20"/>
      <c r="I351" s="20"/>
      <c r="J351" s="20"/>
      <c r="K351" s="20"/>
      <c r="O351" s="186"/>
      <c r="T351"/>
      <c r="U351"/>
      <c r="V351"/>
    </row>
    <row r="352" spans="1:22" x14ac:dyDescent="0.25">
      <c r="A352" s="20"/>
      <c r="B352" s="20"/>
      <c r="C352" s="20"/>
      <c r="D352" s="20"/>
      <c r="E352" s="20"/>
      <c r="F352" s="20"/>
      <c r="G352" s="20"/>
      <c r="H352" s="20"/>
      <c r="I352" s="20"/>
      <c r="J352" s="20"/>
      <c r="K352" s="20"/>
      <c r="O352" s="187"/>
      <c r="T352"/>
      <c r="U352"/>
      <c r="V352"/>
    </row>
    <row r="353" spans="1:22" x14ac:dyDescent="0.25">
      <c r="A353" s="20"/>
      <c r="B353" s="20"/>
      <c r="C353" s="20"/>
      <c r="D353" s="20"/>
      <c r="E353" s="20"/>
      <c r="F353" s="20"/>
      <c r="G353" s="20"/>
      <c r="H353" s="20"/>
      <c r="I353" s="20"/>
      <c r="J353" s="20"/>
      <c r="K353" s="20"/>
      <c r="O353" s="186"/>
      <c r="T353"/>
      <c r="U353"/>
      <c r="V353"/>
    </row>
    <row r="354" spans="1:22" x14ac:dyDescent="0.25">
      <c r="A354" s="20"/>
      <c r="B354" s="20"/>
      <c r="C354" s="20"/>
      <c r="D354" s="20"/>
      <c r="E354" s="20"/>
      <c r="F354" s="20"/>
      <c r="G354" s="20"/>
      <c r="H354" s="20"/>
      <c r="I354" s="20"/>
      <c r="J354" s="20"/>
      <c r="K354" s="20"/>
      <c r="O354" s="187"/>
      <c r="T354"/>
      <c r="U354"/>
      <c r="V354"/>
    </row>
    <row r="355" spans="1:22" x14ac:dyDescent="0.25">
      <c r="A355" s="20"/>
      <c r="B355" s="20"/>
      <c r="C355" s="20"/>
      <c r="D355" s="20"/>
      <c r="E355" s="20"/>
      <c r="F355" s="20"/>
      <c r="G355" s="20"/>
      <c r="H355" s="20"/>
      <c r="I355" s="20"/>
      <c r="J355" s="20"/>
      <c r="K355" s="20"/>
      <c r="O355" s="186"/>
      <c r="T355"/>
      <c r="U355"/>
      <c r="V355"/>
    </row>
    <row r="356" spans="1:22" x14ac:dyDescent="0.25">
      <c r="A356" s="20"/>
      <c r="B356" s="20"/>
      <c r="C356" s="20"/>
      <c r="D356" s="20"/>
      <c r="E356" s="20"/>
      <c r="F356" s="20"/>
      <c r="G356" s="20"/>
      <c r="H356" s="20"/>
      <c r="I356" s="20"/>
      <c r="J356" s="20"/>
      <c r="K356" s="20"/>
      <c r="O356" s="187"/>
      <c r="T356"/>
      <c r="U356"/>
      <c r="V356"/>
    </row>
    <row r="357" spans="1:22" x14ac:dyDescent="0.25">
      <c r="A357" s="20"/>
      <c r="B357" s="20"/>
      <c r="C357" s="20"/>
      <c r="D357" s="20"/>
      <c r="E357" s="20"/>
      <c r="F357" s="20"/>
      <c r="G357" s="20"/>
      <c r="H357" s="20"/>
      <c r="I357" s="20"/>
      <c r="J357" s="20"/>
      <c r="K357" s="20"/>
      <c r="O357" s="186"/>
      <c r="T357"/>
      <c r="U357"/>
      <c r="V357"/>
    </row>
    <row r="358" spans="1:22" x14ac:dyDescent="0.25">
      <c r="A358" s="20"/>
      <c r="B358" s="20"/>
      <c r="C358" s="20"/>
      <c r="D358" s="20"/>
      <c r="E358" s="20"/>
      <c r="F358" s="20"/>
      <c r="G358" s="20"/>
      <c r="H358" s="20"/>
      <c r="I358" s="20"/>
      <c r="J358" s="20"/>
      <c r="K358" s="20"/>
      <c r="O358" s="187"/>
      <c r="T358"/>
      <c r="U358"/>
      <c r="V358"/>
    </row>
    <row r="359" spans="1:22" x14ac:dyDescent="0.25">
      <c r="A359" s="20"/>
      <c r="B359" s="20"/>
      <c r="C359" s="20"/>
      <c r="D359" s="20"/>
      <c r="E359" s="20"/>
      <c r="F359" s="20"/>
      <c r="G359" s="20"/>
      <c r="H359" s="20"/>
      <c r="I359" s="20"/>
      <c r="J359" s="20"/>
      <c r="K359" s="20"/>
      <c r="O359" s="186"/>
      <c r="T359"/>
      <c r="U359"/>
      <c r="V359"/>
    </row>
    <row r="360" spans="1:22" x14ac:dyDescent="0.25">
      <c r="A360" s="20"/>
      <c r="B360" s="20"/>
      <c r="C360" s="20"/>
      <c r="D360" s="20"/>
      <c r="E360" s="20"/>
      <c r="F360" s="20"/>
      <c r="G360" s="20"/>
      <c r="H360" s="20"/>
      <c r="I360" s="20"/>
      <c r="J360" s="20"/>
      <c r="K360" s="20"/>
      <c r="O360" s="187"/>
      <c r="T360"/>
      <c r="U360"/>
      <c r="V360"/>
    </row>
    <row r="361" spans="1:22" x14ac:dyDescent="0.25">
      <c r="A361" s="20"/>
      <c r="B361" s="20"/>
      <c r="C361" s="20"/>
      <c r="D361" s="20"/>
      <c r="E361" s="20"/>
      <c r="F361" s="20"/>
      <c r="G361" s="20"/>
      <c r="H361" s="20"/>
      <c r="I361" s="20"/>
      <c r="J361" s="20"/>
      <c r="K361" s="20"/>
      <c r="O361" s="186"/>
      <c r="T361"/>
      <c r="U361"/>
      <c r="V361"/>
    </row>
    <row r="362" spans="1:22" x14ac:dyDescent="0.25">
      <c r="A362" s="20"/>
      <c r="B362" s="20"/>
      <c r="C362" s="20"/>
      <c r="D362" s="20"/>
      <c r="E362" s="20"/>
      <c r="F362" s="20"/>
      <c r="G362" s="20"/>
      <c r="H362" s="20"/>
      <c r="I362" s="20"/>
      <c r="J362" s="20"/>
      <c r="K362" s="20"/>
      <c r="O362" s="187"/>
      <c r="T362"/>
      <c r="U362"/>
      <c r="V362"/>
    </row>
    <row r="363" spans="1:22" x14ac:dyDescent="0.25">
      <c r="A363" s="20"/>
      <c r="B363" s="20"/>
      <c r="C363" s="20"/>
      <c r="D363" s="20"/>
      <c r="E363" s="20"/>
      <c r="F363" s="20"/>
      <c r="G363" s="20"/>
      <c r="H363" s="20"/>
      <c r="I363" s="20"/>
      <c r="J363" s="20"/>
      <c r="K363" s="20"/>
      <c r="O363" s="186"/>
      <c r="T363"/>
      <c r="U363"/>
      <c r="V363"/>
    </row>
    <row r="364" spans="1:22" x14ac:dyDescent="0.25">
      <c r="A364" s="20"/>
      <c r="B364" s="20"/>
      <c r="C364" s="20"/>
      <c r="D364" s="20"/>
      <c r="E364" s="20"/>
      <c r="F364" s="20"/>
      <c r="G364" s="20"/>
      <c r="H364" s="20"/>
      <c r="I364" s="20"/>
      <c r="J364" s="20"/>
      <c r="K364" s="20"/>
      <c r="O364" s="187"/>
      <c r="T364"/>
      <c r="U364"/>
      <c r="V364"/>
    </row>
    <row r="365" spans="1:22" x14ac:dyDescent="0.25">
      <c r="A365" s="20"/>
      <c r="B365" s="20"/>
      <c r="C365" s="20"/>
      <c r="D365" s="20"/>
      <c r="E365" s="20"/>
      <c r="F365" s="20"/>
      <c r="G365" s="20"/>
      <c r="H365" s="20"/>
      <c r="I365" s="20"/>
      <c r="J365" s="20"/>
      <c r="K365" s="20"/>
      <c r="T365"/>
      <c r="U365"/>
      <c r="V365"/>
    </row>
    <row r="366" spans="1:22" x14ac:dyDescent="0.25">
      <c r="T366"/>
      <c r="U366"/>
      <c r="V366"/>
    </row>
    <row r="367" spans="1:22" x14ac:dyDescent="0.25">
      <c r="T367"/>
      <c r="U367"/>
      <c r="V367"/>
    </row>
    <row r="368" spans="1:22" x14ac:dyDescent="0.25">
      <c r="T368"/>
      <c r="U368"/>
      <c r="V368"/>
    </row>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sheetData>
  <mergeCells count="86">
    <mergeCell ref="Q12:S12"/>
    <mergeCell ref="Q14:S14"/>
    <mergeCell ref="Q15:S15"/>
    <mergeCell ref="A16:B16"/>
    <mergeCell ref="A17:B17"/>
    <mergeCell ref="C12:D12"/>
    <mergeCell ref="A13:B13"/>
    <mergeCell ref="E13:F13"/>
    <mergeCell ref="G13:H13"/>
    <mergeCell ref="C13:D13"/>
    <mergeCell ref="A18:B18"/>
    <mergeCell ref="A123:V123"/>
    <mergeCell ref="M126:P126"/>
    <mergeCell ref="M15:P15"/>
    <mergeCell ref="M16:N22"/>
    <mergeCell ref="I14:L23"/>
    <mergeCell ref="A14:B14"/>
    <mergeCell ref="A15:B15"/>
    <mergeCell ref="C18:D18"/>
    <mergeCell ref="C16:D16"/>
    <mergeCell ref="C14:D14"/>
    <mergeCell ref="C17:D17"/>
    <mergeCell ref="H252:O252"/>
    <mergeCell ref="C134:D134"/>
    <mergeCell ref="C135:D135"/>
    <mergeCell ref="A126:D126"/>
    <mergeCell ref="E126:H126"/>
    <mergeCell ref="I126:L126"/>
    <mergeCell ref="E131:H131"/>
    <mergeCell ref="I131:L131"/>
    <mergeCell ref="A131:D131"/>
    <mergeCell ref="A132:B132"/>
    <mergeCell ref="C132:D132"/>
    <mergeCell ref="A133:B133"/>
    <mergeCell ref="C133:D133"/>
    <mergeCell ref="M132:P132"/>
    <mergeCell ref="M131:P131"/>
    <mergeCell ref="M133:N139"/>
    <mergeCell ref="A253:B253"/>
    <mergeCell ref="C253:D253"/>
    <mergeCell ref="C256:D256"/>
    <mergeCell ref="C257:D257"/>
    <mergeCell ref="C260:D261"/>
    <mergeCell ref="C264:D264"/>
    <mergeCell ref="N280:Q281"/>
    <mergeCell ref="A2:V2"/>
    <mergeCell ref="A5:D5"/>
    <mergeCell ref="E5:H5"/>
    <mergeCell ref="I5:L5"/>
    <mergeCell ref="M5:P5"/>
    <mergeCell ref="Q5:S9"/>
    <mergeCell ref="A10:D10"/>
    <mergeCell ref="E10:H10"/>
    <mergeCell ref="I10:L10"/>
    <mergeCell ref="M10:P10"/>
    <mergeCell ref="Q10:S10"/>
    <mergeCell ref="A11:B11"/>
    <mergeCell ref="C11:D11"/>
    <mergeCell ref="A12:B12"/>
    <mergeCell ref="I11:L11"/>
    <mergeCell ref="I12:L12"/>
    <mergeCell ref="E14:F14"/>
    <mergeCell ref="G14:H14"/>
    <mergeCell ref="E15:F15"/>
    <mergeCell ref="G15:H15"/>
    <mergeCell ref="I13:L13"/>
    <mergeCell ref="E11:F11"/>
    <mergeCell ref="G11:H11"/>
    <mergeCell ref="E12:F12"/>
    <mergeCell ref="G12:H12"/>
    <mergeCell ref="M140:P145"/>
    <mergeCell ref="M146:P151"/>
    <mergeCell ref="M152:P157"/>
    <mergeCell ref="O133:P139"/>
    <mergeCell ref="T5:V9"/>
    <mergeCell ref="Q11:S11"/>
    <mergeCell ref="T10:V10"/>
    <mergeCell ref="T11:V11"/>
    <mergeCell ref="M14:P14"/>
    <mergeCell ref="M12:P12"/>
    <mergeCell ref="M11:P11"/>
    <mergeCell ref="Q131:S131"/>
    <mergeCell ref="O16:P22"/>
    <mergeCell ref="M23:P28"/>
    <mergeCell ref="M29:P34"/>
    <mergeCell ref="Q126:S130"/>
  </mergeCell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CB880-B17B-470E-8EDD-01807841FDD9}">
  <sheetPr codeName="Sheet4"/>
  <dimension ref="A1:BM612"/>
  <sheetViews>
    <sheetView zoomScale="70" zoomScaleNormal="70" workbookViewId="0">
      <selection activeCell="AB1" sqref="AB1"/>
    </sheetView>
  </sheetViews>
  <sheetFormatPr defaultRowHeight="15" x14ac:dyDescent="0.25"/>
  <cols>
    <col min="1" max="1" width="5.42578125" customWidth="1"/>
    <col min="5" max="5" width="9.140625" customWidth="1"/>
    <col min="11" max="11" width="4" customWidth="1"/>
    <col min="12" max="12" width="9.140625" customWidth="1"/>
    <col min="29" max="29" width="8.85546875" customWidth="1"/>
    <col min="30" max="30" width="9.28515625" customWidth="1"/>
    <col min="31" max="31" width="2.28515625" customWidth="1"/>
    <col min="32" max="32" width="4.140625" customWidth="1"/>
    <col min="33" max="33" width="2.5703125" style="176" customWidth="1"/>
    <col min="34" max="47" width="9.140625" style="64"/>
    <col min="65" max="65" width="5.42578125" customWidth="1"/>
  </cols>
  <sheetData>
    <row r="1" spans="1:65" x14ac:dyDescent="0.25">
      <c r="A1" s="193"/>
      <c r="B1" s="239"/>
      <c r="C1" s="239"/>
      <c r="D1" s="239"/>
      <c r="E1" s="239"/>
      <c r="F1" s="239"/>
      <c r="G1" s="239"/>
      <c r="H1" s="239"/>
      <c r="I1" s="239"/>
      <c r="J1" s="239"/>
      <c r="K1" s="239"/>
      <c r="L1" s="239"/>
      <c r="M1" s="239"/>
      <c r="N1" s="239"/>
      <c r="O1" s="239"/>
      <c r="P1" s="239"/>
      <c r="Q1" s="239"/>
      <c r="R1" s="239"/>
      <c r="S1" s="239"/>
      <c r="T1" s="239"/>
      <c r="U1" s="239"/>
      <c r="V1" s="239"/>
      <c r="W1" s="239"/>
      <c r="X1" s="239"/>
      <c r="Y1" s="239"/>
      <c r="Z1" s="239"/>
      <c r="AA1" s="239"/>
      <c r="AB1" s="239"/>
      <c r="AC1" s="239"/>
      <c r="AD1" s="239"/>
      <c r="AE1" s="239"/>
      <c r="AF1" s="239"/>
      <c r="AG1" s="194"/>
      <c r="AH1" s="239"/>
      <c r="AI1" s="239"/>
      <c r="AJ1" s="239"/>
      <c r="AK1" s="239"/>
      <c r="AL1" s="239"/>
      <c r="AM1" s="239"/>
      <c r="AN1" s="239"/>
      <c r="AO1" s="239"/>
      <c r="AP1" s="239"/>
      <c r="AQ1" s="239"/>
      <c r="AR1" s="239"/>
      <c r="AS1" s="239"/>
      <c r="AT1" s="239"/>
      <c r="AU1" s="239"/>
      <c r="AV1" s="239"/>
      <c r="AW1" s="239"/>
      <c r="AX1" s="239"/>
      <c r="AY1" s="239"/>
      <c r="AZ1" s="239"/>
      <c r="BA1" s="239"/>
      <c r="BB1" s="239"/>
      <c r="BC1" s="239"/>
      <c r="BD1" s="239"/>
      <c r="BE1" s="239"/>
      <c r="BF1" s="239"/>
      <c r="BG1" s="239"/>
      <c r="BH1" s="239"/>
      <c r="BI1" s="239"/>
      <c r="BJ1" s="239"/>
      <c r="BK1" s="239"/>
      <c r="BL1" s="239"/>
      <c r="BM1" s="193"/>
    </row>
    <row r="2" spans="1:65" x14ac:dyDescent="0.25">
      <c r="A2" s="193"/>
      <c r="B2" s="239"/>
      <c r="C2" s="239"/>
      <c r="D2" s="239"/>
      <c r="E2" s="239"/>
      <c r="F2" s="239"/>
      <c r="G2" s="239"/>
      <c r="H2" s="239"/>
      <c r="I2" s="239"/>
      <c r="J2" s="239"/>
      <c r="K2" s="239"/>
      <c r="L2" s="239"/>
      <c r="M2" s="239"/>
      <c r="N2" s="239"/>
      <c r="O2" s="239"/>
      <c r="P2" s="239"/>
      <c r="Q2" s="239"/>
      <c r="R2" s="239"/>
      <c r="S2" s="239"/>
      <c r="T2" s="239"/>
      <c r="U2" s="239"/>
      <c r="V2" s="239"/>
      <c r="W2" s="239"/>
      <c r="X2" s="239"/>
      <c r="Y2" s="239"/>
      <c r="Z2" s="239"/>
      <c r="AA2" s="239"/>
      <c r="AB2" s="239"/>
      <c r="AC2" s="239"/>
      <c r="AD2" s="239"/>
      <c r="AE2" s="239"/>
      <c r="AF2" s="239"/>
      <c r="AG2" s="194"/>
      <c r="AH2" s="239"/>
      <c r="AI2" s="239"/>
      <c r="AJ2" s="239"/>
      <c r="AK2" s="239"/>
      <c r="AL2" s="239"/>
      <c r="AM2" s="239"/>
      <c r="AN2" s="239"/>
      <c r="AO2" s="239"/>
      <c r="AP2" s="239"/>
      <c r="AQ2" s="239"/>
      <c r="AR2" s="239"/>
      <c r="AS2" s="239"/>
      <c r="AT2" s="239"/>
      <c r="AU2" s="239"/>
      <c r="AV2" s="239"/>
      <c r="AW2" s="239"/>
      <c r="AX2" s="239"/>
      <c r="AY2" s="239"/>
      <c r="AZ2" s="239"/>
      <c r="BA2" s="239"/>
      <c r="BB2" s="239"/>
      <c r="BC2" s="239"/>
      <c r="BD2" s="239"/>
      <c r="BE2" s="239"/>
      <c r="BF2" s="239"/>
      <c r="BG2" s="239"/>
      <c r="BH2" s="239"/>
      <c r="BI2" s="239"/>
      <c r="BJ2" s="239"/>
      <c r="BK2" s="239"/>
      <c r="BL2" s="239"/>
      <c r="BM2" s="193"/>
    </row>
    <row r="3" spans="1:65" x14ac:dyDescent="0.25">
      <c r="A3" s="193"/>
      <c r="B3" s="239"/>
      <c r="C3" s="239"/>
      <c r="D3" s="239"/>
      <c r="E3" s="239"/>
      <c r="F3" s="239"/>
      <c r="G3" s="239"/>
      <c r="H3" s="239"/>
      <c r="I3" s="239"/>
      <c r="J3" s="239"/>
      <c r="K3" s="239"/>
      <c r="L3" s="239"/>
      <c r="M3" s="239"/>
      <c r="N3" s="239"/>
      <c r="O3" s="239"/>
      <c r="P3" s="239"/>
      <c r="Q3" s="239"/>
      <c r="R3" s="239"/>
      <c r="S3" s="239"/>
      <c r="T3" s="239"/>
      <c r="U3" s="239"/>
      <c r="V3" s="239"/>
      <c r="W3" s="239"/>
      <c r="X3" s="239"/>
      <c r="Y3" s="239"/>
      <c r="Z3" s="370"/>
      <c r="AA3" s="370"/>
      <c r="AB3" s="370"/>
      <c r="AC3" s="370"/>
      <c r="AD3" s="239"/>
      <c r="AE3" s="239"/>
      <c r="AF3" s="239"/>
      <c r="AG3" s="194"/>
      <c r="AH3" s="239"/>
      <c r="AI3" s="239"/>
      <c r="AJ3" s="239"/>
      <c r="AK3" s="239"/>
      <c r="AL3" s="239"/>
      <c r="AM3" s="239"/>
      <c r="AN3" s="239"/>
      <c r="AO3" s="239"/>
      <c r="AP3" s="239"/>
      <c r="AQ3" s="239"/>
      <c r="AR3" s="239"/>
      <c r="AS3" s="239"/>
      <c r="AT3" s="239"/>
      <c r="AU3" s="239"/>
      <c r="AV3" s="239"/>
      <c r="AW3" s="239"/>
      <c r="AX3" s="239"/>
      <c r="AY3" s="239"/>
      <c r="AZ3" s="239"/>
      <c r="BA3" s="239"/>
      <c r="BB3" s="239"/>
      <c r="BC3" s="239"/>
      <c r="BD3" s="239"/>
      <c r="BE3" s="239"/>
      <c r="BF3" s="239"/>
      <c r="BG3" s="239"/>
      <c r="BH3" s="239"/>
      <c r="BI3" s="239"/>
      <c r="BJ3" s="239"/>
      <c r="BK3" s="239"/>
      <c r="BL3" s="239"/>
      <c r="BM3" s="193"/>
    </row>
    <row r="4" spans="1:65" x14ac:dyDescent="0.25">
      <c r="A4" s="193"/>
      <c r="B4" s="239"/>
      <c r="C4" s="239"/>
      <c r="D4" s="239"/>
      <c r="E4" s="239"/>
      <c r="F4" s="239"/>
      <c r="G4" s="239"/>
      <c r="H4" s="239"/>
      <c r="I4" s="239"/>
      <c r="J4" s="239"/>
      <c r="K4" s="239"/>
      <c r="L4" s="239"/>
      <c r="M4" s="239"/>
      <c r="N4" s="239"/>
      <c r="O4" s="239"/>
      <c r="P4" s="239"/>
      <c r="Q4" s="239"/>
      <c r="R4" s="239"/>
      <c r="S4" s="239"/>
      <c r="T4" s="239"/>
      <c r="U4" s="239"/>
      <c r="V4" s="239"/>
      <c r="W4" s="239"/>
      <c r="X4" s="239"/>
      <c r="Y4" s="239"/>
      <c r="Z4" s="370"/>
      <c r="AA4" s="370"/>
      <c r="AB4" s="370"/>
      <c r="AC4" s="370"/>
      <c r="AD4" s="239"/>
      <c r="AE4" s="239"/>
      <c r="AF4" s="239"/>
      <c r="AG4" s="194"/>
      <c r="AH4" s="239"/>
      <c r="AI4" s="239"/>
      <c r="AJ4" s="239"/>
      <c r="AK4" s="239"/>
      <c r="AL4" s="239"/>
      <c r="AM4" s="239"/>
      <c r="AN4" s="239"/>
      <c r="AO4" s="239"/>
      <c r="AP4" s="239"/>
      <c r="AQ4" s="239"/>
      <c r="AR4" s="239"/>
      <c r="AS4" s="239"/>
      <c r="AT4" s="239"/>
      <c r="AU4" s="239"/>
      <c r="AV4" s="239"/>
      <c r="AW4" s="239"/>
      <c r="AX4" s="239"/>
      <c r="AY4" s="239"/>
      <c r="AZ4" s="239"/>
      <c r="BA4" s="239"/>
      <c r="BB4" s="239"/>
      <c r="BC4" s="239"/>
      <c r="BD4" s="239"/>
      <c r="BE4" s="239"/>
      <c r="BF4" s="239"/>
      <c r="BG4" s="239"/>
      <c r="BH4" s="239"/>
      <c r="BI4" s="239"/>
      <c r="BJ4" s="239"/>
      <c r="BK4" s="239"/>
      <c r="BL4" s="239"/>
      <c r="BM4" s="193"/>
    </row>
    <row r="5" spans="1:65" x14ac:dyDescent="0.25">
      <c r="A5" s="193"/>
      <c r="B5" s="239"/>
      <c r="C5" s="239"/>
      <c r="D5" s="239"/>
      <c r="E5" s="239"/>
      <c r="F5" s="239"/>
      <c r="G5" s="239"/>
      <c r="H5" s="239"/>
      <c r="I5" s="239"/>
      <c r="J5" s="239"/>
      <c r="K5" s="239"/>
      <c r="L5" s="239"/>
      <c r="M5" s="239"/>
      <c r="N5" s="239"/>
      <c r="O5" s="239"/>
      <c r="P5" s="239"/>
      <c r="Q5" s="239"/>
      <c r="R5" s="239"/>
      <c r="S5" s="239"/>
      <c r="T5" s="239"/>
      <c r="U5" s="239"/>
      <c r="V5" s="239"/>
      <c r="W5" s="239"/>
      <c r="X5" s="239"/>
      <c r="Y5" s="239"/>
      <c r="Z5" s="370"/>
      <c r="AA5" s="370"/>
      <c r="AB5" s="370"/>
      <c r="AC5" s="370"/>
      <c r="AD5" s="239"/>
      <c r="AE5" s="239"/>
      <c r="AF5" s="239"/>
      <c r="AG5" s="194"/>
      <c r="AH5" s="239"/>
      <c r="AI5" s="239"/>
      <c r="AJ5" s="239"/>
      <c r="AK5" s="239"/>
      <c r="AL5" s="239"/>
      <c r="AM5" s="239"/>
      <c r="AN5" s="239"/>
      <c r="AO5" s="239"/>
      <c r="AP5" s="239"/>
      <c r="AQ5" s="239"/>
      <c r="AR5" s="239"/>
      <c r="AS5" s="239"/>
      <c r="AT5" s="239"/>
      <c r="AU5" s="239"/>
      <c r="AV5" s="239"/>
      <c r="AW5" s="239"/>
      <c r="AX5" s="239"/>
      <c r="AY5" s="239"/>
      <c r="AZ5" s="239"/>
      <c r="BA5" s="239"/>
      <c r="BB5" s="239"/>
      <c r="BC5" s="239"/>
      <c r="BD5" s="239"/>
      <c r="BE5" s="239"/>
      <c r="BF5" s="239"/>
      <c r="BG5" s="239"/>
      <c r="BH5" s="239"/>
      <c r="BI5" s="239"/>
      <c r="BJ5" s="239"/>
      <c r="BK5" s="239"/>
      <c r="BL5" s="239"/>
      <c r="BM5" s="193"/>
    </row>
    <row r="6" spans="1:65" x14ac:dyDescent="0.25">
      <c r="A6" s="193"/>
      <c r="B6" s="239"/>
      <c r="C6" s="239"/>
      <c r="D6" s="239"/>
      <c r="E6" s="239"/>
      <c r="F6" s="239"/>
      <c r="G6" s="239"/>
      <c r="H6" s="239"/>
      <c r="I6" s="239"/>
      <c r="J6" s="239"/>
      <c r="K6" s="239"/>
      <c r="L6" s="239"/>
      <c r="M6" s="239"/>
      <c r="N6" s="239"/>
      <c r="O6" s="239"/>
      <c r="P6" s="239"/>
      <c r="Q6" s="239"/>
      <c r="R6" s="239"/>
      <c r="S6" s="239"/>
      <c r="T6" s="239"/>
      <c r="U6" s="239"/>
      <c r="V6" s="239"/>
      <c r="W6" s="239"/>
      <c r="X6" s="239"/>
      <c r="Y6" s="239"/>
      <c r="Z6" s="370"/>
      <c r="AA6" s="370"/>
      <c r="AB6" s="370"/>
      <c r="AC6" s="370"/>
      <c r="AD6" s="239"/>
      <c r="AE6" s="239"/>
      <c r="AF6" s="239"/>
      <c r="AG6" s="194"/>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39"/>
      <c r="BH6" s="239"/>
      <c r="BI6" s="239"/>
      <c r="BJ6" s="239"/>
      <c r="BK6" s="239"/>
      <c r="BL6" s="239"/>
      <c r="BM6" s="193"/>
    </row>
    <row r="7" spans="1:65" x14ac:dyDescent="0.25">
      <c r="A7" s="193"/>
      <c r="B7" s="239"/>
      <c r="C7" s="239"/>
      <c r="D7" s="239"/>
      <c r="E7" s="239"/>
      <c r="F7" s="239"/>
      <c r="G7" s="239"/>
      <c r="H7" s="239"/>
      <c r="I7" s="239"/>
      <c r="J7" s="239"/>
      <c r="K7" s="239"/>
      <c r="L7" s="239"/>
      <c r="M7" s="239"/>
      <c r="N7" s="239"/>
      <c r="O7" s="239"/>
      <c r="P7" s="239"/>
      <c r="Q7" s="239"/>
      <c r="R7" s="239"/>
      <c r="S7" s="239"/>
      <c r="T7" s="239"/>
      <c r="U7" s="239"/>
      <c r="V7" s="239"/>
      <c r="W7" s="239"/>
      <c r="X7" s="239"/>
      <c r="Y7" s="239"/>
      <c r="Z7" s="370"/>
      <c r="AA7" s="370"/>
      <c r="AB7" s="370"/>
      <c r="AC7" s="370"/>
      <c r="AD7" s="239"/>
      <c r="AE7" s="239"/>
      <c r="AF7" s="239"/>
      <c r="AG7" s="194"/>
      <c r="AH7" s="239"/>
      <c r="AI7" s="239"/>
      <c r="AJ7" s="239"/>
      <c r="AK7" s="239"/>
      <c r="AL7" s="239"/>
      <c r="AM7" s="239"/>
      <c r="AN7" s="239"/>
      <c r="AO7" s="239"/>
      <c r="AP7" s="239"/>
      <c r="AQ7" s="239"/>
      <c r="AR7" s="239"/>
      <c r="AS7" s="239"/>
      <c r="AT7" s="239"/>
      <c r="AU7" s="239"/>
      <c r="AV7" s="239"/>
      <c r="AW7" s="239"/>
      <c r="AX7" s="239"/>
      <c r="AY7" s="239"/>
      <c r="AZ7" s="239"/>
      <c r="BA7" s="239"/>
      <c r="BB7" s="239"/>
      <c r="BC7" s="239"/>
      <c r="BD7" s="239"/>
      <c r="BE7" s="239"/>
      <c r="BF7" s="239"/>
      <c r="BG7" s="239"/>
      <c r="BH7" s="239"/>
      <c r="BI7" s="239"/>
      <c r="BJ7" s="239"/>
      <c r="BK7" s="239"/>
      <c r="BL7" s="239"/>
      <c r="BM7" s="193"/>
    </row>
    <row r="8" spans="1:65" x14ac:dyDescent="0.25">
      <c r="A8" s="193"/>
      <c r="B8" s="239"/>
      <c r="C8" s="239"/>
      <c r="D8" s="239"/>
      <c r="E8" s="239"/>
      <c r="F8" s="239"/>
      <c r="G8" s="239"/>
      <c r="H8" s="239"/>
      <c r="I8" s="239"/>
      <c r="J8" s="239"/>
      <c r="K8" s="239"/>
      <c r="L8" s="239"/>
      <c r="M8" s="239"/>
      <c r="N8" s="239"/>
      <c r="O8" s="239"/>
      <c r="P8" s="239"/>
      <c r="Q8" s="239"/>
      <c r="R8" s="239"/>
      <c r="S8" s="239"/>
      <c r="T8" s="239"/>
      <c r="U8" s="239"/>
      <c r="V8" s="239"/>
      <c r="W8" s="239"/>
      <c r="X8" s="239"/>
      <c r="Y8" s="239"/>
      <c r="Z8" s="370"/>
      <c r="AA8" s="370"/>
      <c r="AB8" s="370"/>
      <c r="AC8" s="370"/>
      <c r="AD8" s="239"/>
      <c r="AE8" s="239"/>
      <c r="AF8" s="239"/>
      <c r="AG8" s="194"/>
      <c r="AH8" s="239"/>
      <c r="AI8" s="239"/>
      <c r="AJ8" s="239"/>
      <c r="AK8" s="239"/>
      <c r="AL8" s="239"/>
      <c r="AM8" s="239"/>
      <c r="AN8" s="239"/>
      <c r="AO8" s="239"/>
      <c r="AP8" s="239"/>
      <c r="AQ8" s="239"/>
      <c r="AR8" s="239"/>
      <c r="AS8" s="239"/>
      <c r="AT8" s="239"/>
      <c r="AU8" s="239"/>
      <c r="AV8" s="239"/>
      <c r="AW8" s="239"/>
      <c r="AX8" s="239"/>
      <c r="AY8" s="239"/>
      <c r="AZ8" s="239"/>
      <c r="BA8" s="239"/>
      <c r="BB8" s="239"/>
      <c r="BC8" s="239"/>
      <c r="BD8" s="239"/>
      <c r="BE8" s="239"/>
      <c r="BF8" s="239"/>
      <c r="BG8" s="239"/>
      <c r="BH8" s="239"/>
      <c r="BI8" s="239"/>
      <c r="BJ8" s="239"/>
      <c r="BK8" s="239"/>
      <c r="BL8" s="239"/>
      <c r="BM8" s="193"/>
    </row>
    <row r="9" spans="1:65" x14ac:dyDescent="0.25">
      <c r="A9" s="193"/>
      <c r="B9" s="239"/>
      <c r="C9" s="239"/>
      <c r="D9" s="239"/>
      <c r="E9" s="239"/>
      <c r="F9" s="239"/>
      <c r="G9" s="239"/>
      <c r="H9" s="239"/>
      <c r="I9" s="239"/>
      <c r="J9" s="239"/>
      <c r="K9" s="239"/>
      <c r="L9" s="239"/>
      <c r="M9" s="239"/>
      <c r="N9" s="239"/>
      <c r="O9" s="239"/>
      <c r="P9" s="239"/>
      <c r="Q9" s="239"/>
      <c r="R9" s="239"/>
      <c r="S9" s="239"/>
      <c r="T9" s="239"/>
      <c r="U9" s="239"/>
      <c r="V9" s="239"/>
      <c r="W9" s="239"/>
      <c r="X9" s="239"/>
      <c r="Y9" s="239"/>
      <c r="Z9" s="370"/>
      <c r="AA9" s="370"/>
      <c r="AB9" s="370"/>
      <c r="AC9" s="370"/>
      <c r="AD9" s="239"/>
      <c r="AE9" s="239"/>
      <c r="AF9" s="239"/>
      <c r="AG9" s="194"/>
      <c r="AH9" s="239"/>
      <c r="AI9" s="239"/>
      <c r="AJ9" s="239"/>
      <c r="AK9" s="239"/>
      <c r="AL9" s="239"/>
      <c r="AM9" s="239"/>
      <c r="AN9" s="239"/>
      <c r="AO9" s="239"/>
      <c r="AP9" s="239"/>
      <c r="AQ9" s="239"/>
      <c r="AR9" s="239"/>
      <c r="AS9" s="239"/>
      <c r="AT9" s="239"/>
      <c r="AU9" s="239"/>
      <c r="AV9" s="239"/>
      <c r="AW9" s="239"/>
      <c r="AX9" s="239"/>
      <c r="AY9" s="239"/>
      <c r="AZ9" s="239"/>
      <c r="BA9" s="239"/>
      <c r="BB9" s="239"/>
      <c r="BC9" s="239"/>
      <c r="BD9" s="239"/>
      <c r="BE9" s="239"/>
      <c r="BF9" s="239"/>
      <c r="BG9" s="239"/>
      <c r="BH9" s="239"/>
      <c r="BI9" s="239"/>
      <c r="BJ9" s="239"/>
      <c r="BK9" s="239"/>
      <c r="BL9" s="239"/>
      <c r="BM9" s="193"/>
    </row>
    <row r="10" spans="1:65" ht="15.75" thickBot="1" x14ac:dyDescent="0.3">
      <c r="A10" s="193"/>
      <c r="B10" s="240"/>
      <c r="C10" s="240"/>
      <c r="D10" s="240"/>
      <c r="E10" s="240"/>
      <c r="F10" s="240"/>
      <c r="G10" s="240"/>
      <c r="H10" s="240"/>
      <c r="I10" s="240"/>
      <c r="J10" s="240"/>
      <c r="K10" s="240"/>
      <c r="L10" s="240"/>
      <c r="M10" s="240"/>
      <c r="N10" s="240"/>
      <c r="O10" s="240"/>
      <c r="P10" s="240"/>
      <c r="Q10" s="240"/>
      <c r="R10" s="240"/>
      <c r="S10" s="240"/>
      <c r="T10" s="240"/>
      <c r="U10" s="240"/>
      <c r="V10" s="240"/>
      <c r="W10" s="240"/>
      <c r="X10" s="240"/>
      <c r="Y10" s="240"/>
      <c r="Z10" s="240"/>
      <c r="AA10" s="240"/>
      <c r="AB10" s="240"/>
      <c r="AC10" s="240"/>
      <c r="AD10" s="240"/>
      <c r="AE10" s="240"/>
      <c r="AF10" s="240"/>
      <c r="AG10" s="195"/>
      <c r="AH10" s="240"/>
      <c r="AI10" s="240"/>
      <c r="AJ10" s="240"/>
      <c r="AK10" s="240"/>
      <c r="AL10" s="240"/>
      <c r="AM10" s="240"/>
      <c r="AN10" s="240"/>
      <c r="AO10" s="240"/>
      <c r="AP10" s="240"/>
      <c r="AQ10" s="240"/>
      <c r="AR10" s="240"/>
      <c r="AS10" s="240"/>
      <c r="AT10" s="240"/>
      <c r="AU10" s="240"/>
      <c r="AV10" s="240"/>
      <c r="AW10" s="240"/>
      <c r="AX10" s="240"/>
      <c r="AY10" s="240"/>
      <c r="AZ10" s="240"/>
      <c r="BA10" s="240"/>
      <c r="BB10" s="240"/>
      <c r="BC10" s="240"/>
      <c r="BD10" s="240"/>
      <c r="BE10" s="240"/>
      <c r="BF10" s="240"/>
      <c r="BG10" s="240"/>
      <c r="BH10" s="240"/>
      <c r="BI10" s="240"/>
      <c r="BJ10" s="240"/>
      <c r="BK10" s="240"/>
      <c r="BL10" s="240"/>
      <c r="BM10" s="193"/>
    </row>
    <row r="11" spans="1:65" x14ac:dyDescent="0.25">
      <c r="A11" s="193"/>
      <c r="B11" s="196"/>
      <c r="C11" s="196"/>
      <c r="D11" s="196"/>
      <c r="E11" s="196"/>
      <c r="F11" s="196"/>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4"/>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3"/>
    </row>
    <row r="12" spans="1:65" x14ac:dyDescent="0.25">
      <c r="A12" s="193"/>
      <c r="B12" s="196"/>
      <c r="C12" s="196"/>
      <c r="D12" s="196"/>
      <c r="E12" s="196"/>
      <c r="F12" s="196"/>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4"/>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197"/>
      <c r="BJ12" s="197"/>
      <c r="BK12" s="197"/>
      <c r="BL12" s="197"/>
      <c r="BM12" s="193"/>
    </row>
    <row r="13" spans="1:65" x14ac:dyDescent="0.25">
      <c r="A13" s="193"/>
      <c r="B13" s="196"/>
      <c r="C13" s="196"/>
      <c r="D13" s="196"/>
      <c r="E13" s="196"/>
      <c r="F13" s="196"/>
      <c r="G13" s="197"/>
      <c r="H13" s="197"/>
      <c r="I13" s="197"/>
      <c r="J13" s="197"/>
      <c r="K13" s="197"/>
      <c r="L13" s="197"/>
      <c r="M13" s="197"/>
      <c r="N13" s="197"/>
      <c r="O13" s="197"/>
      <c r="P13" s="197"/>
      <c r="Q13" s="197"/>
      <c r="R13" s="197"/>
      <c r="S13" s="197"/>
      <c r="T13" s="197"/>
      <c r="U13" s="197"/>
      <c r="V13" s="197"/>
      <c r="W13" s="197"/>
      <c r="X13" s="197"/>
      <c r="Y13" s="197"/>
      <c r="Z13" s="197"/>
      <c r="AA13" s="197"/>
      <c r="AB13" s="197"/>
      <c r="AC13" s="197"/>
      <c r="AD13" s="197"/>
      <c r="AE13" s="197"/>
      <c r="AF13" s="197"/>
      <c r="AG13" s="194"/>
      <c r="AH13" s="197"/>
      <c r="AI13" s="197"/>
      <c r="AJ13" s="197"/>
      <c r="AK13" s="197"/>
      <c r="AL13" s="197"/>
      <c r="AM13" s="197"/>
      <c r="AN13" s="197"/>
      <c r="AO13" s="197"/>
      <c r="AP13" s="197"/>
      <c r="AQ13" s="197"/>
      <c r="AR13" s="197"/>
      <c r="AS13" s="197"/>
      <c r="AT13" s="197"/>
      <c r="AU13" s="197"/>
      <c r="AV13" s="197"/>
      <c r="AW13" s="197"/>
      <c r="AX13" s="197"/>
      <c r="AY13" s="197"/>
      <c r="AZ13" s="197"/>
      <c r="BA13" s="197"/>
      <c r="BB13" s="197"/>
      <c r="BC13" s="197"/>
      <c r="BD13" s="197"/>
      <c r="BE13" s="197"/>
      <c r="BF13" s="197"/>
      <c r="BG13" s="197"/>
      <c r="BH13" s="197"/>
      <c r="BI13" s="197"/>
      <c r="BJ13" s="197"/>
      <c r="BK13" s="197"/>
      <c r="BL13" s="197"/>
      <c r="BM13" s="193"/>
    </row>
    <row r="14" spans="1:65" x14ac:dyDescent="0.25">
      <c r="A14" s="193"/>
      <c r="B14" s="196"/>
      <c r="C14" s="196"/>
      <c r="D14" s="196"/>
      <c r="E14" s="196"/>
      <c r="F14" s="196"/>
      <c r="G14" s="197"/>
      <c r="H14" s="197"/>
      <c r="I14" s="197"/>
      <c r="J14" s="197"/>
      <c r="K14" s="197"/>
      <c r="L14" s="197"/>
      <c r="M14" s="197"/>
      <c r="N14" s="197"/>
      <c r="O14" s="197"/>
      <c r="P14" s="197"/>
      <c r="Q14" s="197"/>
      <c r="R14" s="197"/>
      <c r="S14" s="197"/>
      <c r="T14" s="197"/>
      <c r="U14" s="197"/>
      <c r="V14" s="197"/>
      <c r="W14" s="197"/>
      <c r="X14" s="197"/>
      <c r="Y14" s="197"/>
      <c r="Z14" s="197"/>
      <c r="AA14" s="197"/>
      <c r="AB14" s="197"/>
      <c r="AC14" s="197"/>
      <c r="AD14" s="197"/>
      <c r="AE14" s="197"/>
      <c r="AF14" s="197"/>
      <c r="AG14" s="194"/>
      <c r="AH14" s="197"/>
      <c r="AI14" s="197"/>
      <c r="AJ14" s="197"/>
      <c r="AK14" s="197"/>
      <c r="AL14" s="197"/>
      <c r="AM14" s="197"/>
      <c r="AN14" s="197"/>
      <c r="AO14" s="197"/>
      <c r="AP14" s="197"/>
      <c r="AQ14" s="197"/>
      <c r="AR14" s="197"/>
      <c r="AS14" s="197"/>
      <c r="AT14" s="197"/>
      <c r="AU14" s="197"/>
      <c r="AV14" s="197"/>
      <c r="AW14" s="197"/>
      <c r="AX14" s="197"/>
      <c r="AY14" s="197"/>
      <c r="AZ14" s="197"/>
      <c r="BA14" s="197"/>
      <c r="BB14" s="197"/>
      <c r="BC14" s="197"/>
      <c r="BD14" s="197"/>
      <c r="BE14" s="197"/>
      <c r="BF14" s="197"/>
      <c r="BG14" s="197"/>
      <c r="BH14" s="197"/>
      <c r="BI14" s="197"/>
      <c r="BJ14" s="197"/>
      <c r="BK14" s="197"/>
      <c r="BL14" s="197"/>
      <c r="BM14" s="193"/>
    </row>
    <row r="15" spans="1:65" x14ac:dyDescent="0.25">
      <c r="A15" s="193"/>
      <c r="B15" s="196"/>
      <c r="C15" s="196"/>
      <c r="D15" s="196"/>
      <c r="E15" s="196"/>
      <c r="F15" s="196"/>
      <c r="G15" s="197"/>
      <c r="H15" s="197"/>
      <c r="I15" s="197"/>
      <c r="J15" s="197"/>
      <c r="K15" s="197"/>
      <c r="L15" s="197"/>
      <c r="M15" s="197"/>
      <c r="N15" s="197"/>
      <c r="O15" s="197"/>
      <c r="P15" s="197"/>
      <c r="Q15" s="197"/>
      <c r="R15" s="197"/>
      <c r="S15" s="197"/>
      <c r="T15" s="197"/>
      <c r="U15" s="197"/>
      <c r="V15" s="197"/>
      <c r="W15" s="197"/>
      <c r="X15" s="197"/>
      <c r="Y15" s="197"/>
      <c r="Z15" s="197"/>
      <c r="AA15" s="197"/>
      <c r="AB15" s="197"/>
      <c r="AC15" s="197"/>
      <c r="AD15" s="197"/>
      <c r="AE15" s="197"/>
      <c r="AF15" s="197"/>
      <c r="AG15" s="194"/>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3"/>
    </row>
    <row r="16" spans="1:65" x14ac:dyDescent="0.25">
      <c r="A16" s="193"/>
      <c r="B16" s="196"/>
      <c r="C16" s="196"/>
      <c r="D16" s="196"/>
      <c r="E16" s="196"/>
      <c r="F16" s="196"/>
      <c r="G16" s="197"/>
      <c r="H16" s="197"/>
      <c r="I16" s="197"/>
      <c r="J16" s="197"/>
      <c r="K16" s="197"/>
      <c r="L16" s="197"/>
      <c r="M16" s="197"/>
      <c r="N16" s="197"/>
      <c r="O16" s="197"/>
      <c r="P16" s="197"/>
      <c r="Q16" s="197"/>
      <c r="R16" s="197"/>
      <c r="S16" s="197"/>
      <c r="T16" s="197"/>
      <c r="U16" s="197"/>
      <c r="V16" s="197"/>
      <c r="W16" s="197"/>
      <c r="X16" s="197"/>
      <c r="Y16" s="197"/>
      <c r="Z16" s="197"/>
      <c r="AA16" s="197"/>
      <c r="AB16" s="197"/>
      <c r="AC16" s="197"/>
      <c r="AD16" s="197"/>
      <c r="AE16" s="197"/>
      <c r="AF16" s="197"/>
      <c r="AG16" s="194"/>
      <c r="AH16" s="197"/>
      <c r="AI16" s="197"/>
      <c r="AJ16" s="197"/>
      <c r="AK16" s="197"/>
      <c r="AL16" s="197"/>
      <c r="AM16" s="197"/>
      <c r="AN16" s="197"/>
      <c r="AO16" s="197"/>
      <c r="AP16" s="197"/>
      <c r="AQ16" s="197"/>
      <c r="AR16" s="197"/>
      <c r="AS16" s="197"/>
      <c r="AT16" s="197"/>
      <c r="AU16" s="197"/>
      <c r="AV16" s="197"/>
      <c r="AW16" s="197"/>
      <c r="AX16" s="197"/>
      <c r="AY16" s="197"/>
      <c r="AZ16" s="197"/>
      <c r="BA16" s="197"/>
      <c r="BB16" s="197"/>
      <c r="BC16" s="197"/>
      <c r="BD16" s="197"/>
      <c r="BE16" s="197"/>
      <c r="BF16" s="197"/>
      <c r="BG16" s="197"/>
      <c r="BH16" s="197"/>
      <c r="BI16" s="197"/>
      <c r="BJ16" s="197"/>
      <c r="BK16" s="197"/>
      <c r="BL16" s="197"/>
      <c r="BM16" s="193"/>
    </row>
    <row r="17" spans="1:65" x14ac:dyDescent="0.25">
      <c r="A17" s="193"/>
      <c r="B17" s="196"/>
      <c r="C17" s="196"/>
      <c r="D17" s="196"/>
      <c r="E17" s="196"/>
      <c r="F17" s="196"/>
      <c r="G17" s="197"/>
      <c r="H17" s="197"/>
      <c r="I17" s="197"/>
      <c r="J17" s="197"/>
      <c r="K17" s="197"/>
      <c r="L17" s="197"/>
      <c r="M17" s="197"/>
      <c r="N17" s="197"/>
      <c r="O17" s="197"/>
      <c r="P17" s="197"/>
      <c r="Q17" s="197"/>
      <c r="R17" s="197"/>
      <c r="S17" s="197"/>
      <c r="T17" s="197"/>
      <c r="U17" s="197"/>
      <c r="V17" s="197"/>
      <c r="W17" s="197"/>
      <c r="X17" s="197"/>
      <c r="Y17" s="197"/>
      <c r="Z17" s="197"/>
      <c r="AA17" s="197"/>
      <c r="AB17" s="197"/>
      <c r="AC17" s="197"/>
      <c r="AD17" s="197"/>
      <c r="AE17" s="197"/>
      <c r="AF17" s="197"/>
      <c r="AG17" s="194"/>
      <c r="AH17" s="197"/>
      <c r="AI17" s="197"/>
      <c r="AJ17" s="197"/>
      <c r="AK17" s="197"/>
      <c r="AL17" s="197"/>
      <c r="AM17" s="197"/>
      <c r="AN17" s="197"/>
      <c r="AO17" s="197"/>
      <c r="AP17" s="197"/>
      <c r="AQ17" s="197"/>
      <c r="AR17" s="197"/>
      <c r="AS17" s="197"/>
      <c r="AT17" s="197"/>
      <c r="AU17" s="197"/>
      <c r="AV17" s="197"/>
      <c r="AW17" s="197"/>
      <c r="AX17" s="197"/>
      <c r="AY17" s="197"/>
      <c r="AZ17" s="197"/>
      <c r="BA17" s="197"/>
      <c r="BB17" s="197"/>
      <c r="BC17" s="197"/>
      <c r="BD17" s="197"/>
      <c r="BE17" s="197"/>
      <c r="BF17" s="197"/>
      <c r="BG17" s="197"/>
      <c r="BH17" s="197"/>
      <c r="BI17" s="197"/>
      <c r="BJ17" s="197"/>
      <c r="BK17" s="197"/>
      <c r="BL17" s="197"/>
      <c r="BM17" s="193"/>
    </row>
    <row r="18" spans="1:65" x14ac:dyDescent="0.25">
      <c r="A18" s="193"/>
      <c r="B18" s="196"/>
      <c r="C18" s="196"/>
      <c r="D18" s="196"/>
      <c r="E18" s="196"/>
      <c r="F18" s="196"/>
      <c r="G18" s="197"/>
      <c r="H18" s="197"/>
      <c r="I18" s="197"/>
      <c r="J18" s="197"/>
      <c r="K18" s="197"/>
      <c r="L18" s="197"/>
      <c r="M18" s="197"/>
      <c r="N18" s="197"/>
      <c r="O18" s="197"/>
      <c r="P18" s="197"/>
      <c r="Q18" s="197"/>
      <c r="R18" s="197"/>
      <c r="S18" s="197"/>
      <c r="T18" s="197"/>
      <c r="U18" s="197"/>
      <c r="V18" s="197"/>
      <c r="W18" s="197"/>
      <c r="X18" s="197"/>
      <c r="Y18" s="197"/>
      <c r="Z18" s="197"/>
      <c r="AA18" s="197"/>
      <c r="AB18" s="197"/>
      <c r="AC18" s="197"/>
      <c r="AD18" s="197"/>
      <c r="AE18" s="197"/>
      <c r="AF18" s="197"/>
      <c r="AG18" s="194"/>
      <c r="AH18" s="197"/>
      <c r="AI18" s="197"/>
      <c r="AJ18" s="197"/>
      <c r="AK18" s="197"/>
      <c r="AL18" s="197"/>
      <c r="AM18" s="197"/>
      <c r="AN18" s="197"/>
      <c r="AO18" s="197"/>
      <c r="AP18" s="197"/>
      <c r="AQ18" s="197"/>
      <c r="AR18" s="197"/>
      <c r="AS18" s="197"/>
      <c r="AT18" s="197"/>
      <c r="AU18" s="197"/>
      <c r="AV18" s="197"/>
      <c r="AW18" s="197"/>
      <c r="AX18" s="197"/>
      <c r="AY18" s="197"/>
      <c r="AZ18" s="197"/>
      <c r="BA18" s="197"/>
      <c r="BB18" s="197"/>
      <c r="BC18" s="197"/>
      <c r="BD18" s="197"/>
      <c r="BE18" s="197"/>
      <c r="BF18" s="197"/>
      <c r="BG18" s="197"/>
      <c r="BH18" s="197"/>
      <c r="BI18" s="197"/>
      <c r="BJ18" s="197"/>
      <c r="BK18" s="197"/>
      <c r="BL18" s="197"/>
      <c r="BM18" s="193"/>
    </row>
    <row r="19" spans="1:65" x14ac:dyDescent="0.25">
      <c r="A19" s="193"/>
      <c r="B19" s="196"/>
      <c r="C19" s="196"/>
      <c r="D19" s="196"/>
      <c r="E19" s="196"/>
      <c r="F19" s="196"/>
      <c r="G19" s="197"/>
      <c r="H19" s="197"/>
      <c r="I19" s="197"/>
      <c r="J19" s="197"/>
      <c r="K19" s="197"/>
      <c r="L19" s="197"/>
      <c r="M19" s="197"/>
      <c r="N19" s="197"/>
      <c r="O19" s="197"/>
      <c r="P19" s="197"/>
      <c r="Q19" s="197"/>
      <c r="R19" s="197"/>
      <c r="S19" s="197"/>
      <c r="T19" s="197"/>
      <c r="U19" s="197"/>
      <c r="V19" s="197"/>
      <c r="W19" s="197"/>
      <c r="X19" s="197"/>
      <c r="Y19" s="197"/>
      <c r="Z19" s="197"/>
      <c r="AA19" s="197"/>
      <c r="AB19" s="197"/>
      <c r="AC19" s="197"/>
      <c r="AD19" s="197"/>
      <c r="AE19" s="197"/>
      <c r="AF19" s="197"/>
      <c r="AG19" s="194"/>
      <c r="AH19" s="197"/>
      <c r="AI19" s="197"/>
      <c r="AJ19" s="197"/>
      <c r="AK19" s="197"/>
      <c r="AL19" s="197"/>
      <c r="AM19" s="197"/>
      <c r="AN19" s="197"/>
      <c r="AO19" s="197"/>
      <c r="AP19" s="197"/>
      <c r="AQ19" s="197"/>
      <c r="AR19" s="197"/>
      <c r="AS19" s="197"/>
      <c r="AT19" s="197"/>
      <c r="AU19" s="197"/>
      <c r="AV19" s="197"/>
      <c r="AW19" s="197"/>
      <c r="AX19" s="197"/>
      <c r="AY19" s="197"/>
      <c r="AZ19" s="197"/>
      <c r="BA19" s="197"/>
      <c r="BB19" s="197"/>
      <c r="BC19" s="197"/>
      <c r="BD19" s="197"/>
      <c r="BE19" s="197"/>
      <c r="BF19" s="197"/>
      <c r="BG19" s="197"/>
      <c r="BH19" s="197"/>
      <c r="BI19" s="197"/>
      <c r="BJ19" s="197"/>
      <c r="BK19" s="197"/>
      <c r="BL19" s="197"/>
      <c r="BM19" s="193"/>
    </row>
    <row r="20" spans="1:65" x14ac:dyDescent="0.25">
      <c r="A20" s="193"/>
      <c r="B20" s="196"/>
      <c r="C20" s="196"/>
      <c r="D20" s="196"/>
      <c r="E20" s="196"/>
      <c r="F20" s="196"/>
      <c r="G20" s="197"/>
      <c r="H20" s="197"/>
      <c r="I20" s="197"/>
      <c r="J20" s="197"/>
      <c r="K20" s="197"/>
      <c r="L20" s="197"/>
      <c r="M20" s="197"/>
      <c r="N20" s="197"/>
      <c r="O20" s="197"/>
      <c r="P20" s="197"/>
      <c r="Q20" s="197"/>
      <c r="R20" s="197"/>
      <c r="S20" s="197"/>
      <c r="T20" s="197"/>
      <c r="U20" s="197"/>
      <c r="V20" s="197"/>
      <c r="W20" s="197"/>
      <c r="X20" s="197"/>
      <c r="Y20" s="197"/>
      <c r="Z20" s="197"/>
      <c r="AA20" s="197"/>
      <c r="AB20" s="197"/>
      <c r="AC20" s="197"/>
      <c r="AD20" s="197"/>
      <c r="AE20" s="197"/>
      <c r="AF20" s="197"/>
      <c r="AG20" s="194"/>
      <c r="AH20" s="197"/>
      <c r="AI20" s="197"/>
      <c r="AJ20" s="197"/>
      <c r="AK20" s="197"/>
      <c r="AL20" s="197"/>
      <c r="AM20" s="197"/>
      <c r="AN20" s="197"/>
      <c r="AO20" s="197"/>
      <c r="AP20" s="197"/>
      <c r="AQ20" s="197"/>
      <c r="AR20" s="197"/>
      <c r="AS20" s="197"/>
      <c r="AT20" s="197"/>
      <c r="AU20" s="197"/>
      <c r="AV20" s="197"/>
      <c r="AW20" s="197"/>
      <c r="AX20" s="197"/>
      <c r="AY20" s="197"/>
      <c r="AZ20" s="197"/>
      <c r="BA20" s="197"/>
      <c r="BB20" s="197"/>
      <c r="BC20" s="197"/>
      <c r="BD20" s="197"/>
      <c r="BE20" s="197"/>
      <c r="BF20" s="197"/>
      <c r="BG20" s="197"/>
      <c r="BH20" s="197"/>
      <c r="BI20" s="197"/>
      <c r="BJ20" s="197"/>
      <c r="BK20" s="197"/>
      <c r="BL20" s="197"/>
      <c r="BM20" s="193"/>
    </row>
    <row r="21" spans="1:65" x14ac:dyDescent="0.25">
      <c r="A21" s="193"/>
      <c r="B21" s="196"/>
      <c r="C21" s="196"/>
      <c r="D21" s="196"/>
      <c r="E21" s="196"/>
      <c r="F21" s="196"/>
      <c r="G21" s="197"/>
      <c r="H21" s="197"/>
      <c r="I21" s="197"/>
      <c r="J21" s="197"/>
      <c r="K21" s="197"/>
      <c r="L21" s="197"/>
      <c r="M21" s="197"/>
      <c r="N21" s="197"/>
      <c r="O21" s="197"/>
      <c r="P21" s="197"/>
      <c r="Q21" s="197"/>
      <c r="R21" s="197"/>
      <c r="S21" s="197"/>
      <c r="T21" s="197"/>
      <c r="U21" s="197"/>
      <c r="V21" s="197"/>
      <c r="W21" s="197"/>
      <c r="X21" s="197"/>
      <c r="Y21" s="197"/>
      <c r="Z21" s="197"/>
      <c r="AA21" s="197"/>
      <c r="AB21" s="197"/>
      <c r="AC21" s="197"/>
      <c r="AD21" s="197"/>
      <c r="AE21" s="197"/>
      <c r="AF21" s="197"/>
      <c r="AG21" s="194"/>
      <c r="AH21" s="197"/>
      <c r="AI21" s="197"/>
      <c r="AJ21" s="197"/>
      <c r="AK21" s="197"/>
      <c r="AL21" s="197"/>
      <c r="AM21" s="197"/>
      <c r="AN21" s="197"/>
      <c r="AO21" s="197"/>
      <c r="AP21" s="197"/>
      <c r="AQ21" s="197"/>
      <c r="AR21" s="197"/>
      <c r="AS21" s="197"/>
      <c r="AT21" s="197"/>
      <c r="AU21" s="197"/>
      <c r="AV21" s="197"/>
      <c r="AW21" s="197"/>
      <c r="AX21" s="197"/>
      <c r="AY21" s="197"/>
      <c r="AZ21" s="197"/>
      <c r="BA21" s="197"/>
      <c r="BB21" s="197"/>
      <c r="BC21" s="197"/>
      <c r="BD21" s="197"/>
      <c r="BE21" s="197"/>
      <c r="BF21" s="197"/>
      <c r="BG21" s="197"/>
      <c r="BH21" s="197"/>
      <c r="BI21" s="197"/>
      <c r="BJ21" s="197"/>
      <c r="BK21" s="197"/>
      <c r="BL21" s="197"/>
      <c r="BM21" s="193"/>
    </row>
    <row r="22" spans="1:65" x14ac:dyDescent="0.25">
      <c r="A22" s="193"/>
      <c r="B22" s="196"/>
      <c r="C22" s="196"/>
      <c r="D22" s="196"/>
      <c r="E22" s="196"/>
      <c r="F22" s="196"/>
      <c r="G22" s="197"/>
      <c r="H22" s="197"/>
      <c r="I22" s="197"/>
      <c r="J22" s="197"/>
      <c r="K22" s="197"/>
      <c r="L22" s="197"/>
      <c r="M22" s="197"/>
      <c r="N22" s="197"/>
      <c r="O22" s="197"/>
      <c r="P22" s="197"/>
      <c r="Q22" s="197"/>
      <c r="R22" s="197"/>
      <c r="S22" s="197"/>
      <c r="T22" s="197"/>
      <c r="U22" s="197"/>
      <c r="V22" s="197"/>
      <c r="W22" s="197"/>
      <c r="X22" s="197"/>
      <c r="Y22" s="197"/>
      <c r="Z22" s="197"/>
      <c r="AA22" s="197"/>
      <c r="AB22" s="197"/>
      <c r="AC22" s="197"/>
      <c r="AD22" s="197"/>
      <c r="AE22" s="197"/>
      <c r="AF22" s="197"/>
      <c r="AG22" s="194"/>
      <c r="AH22" s="197"/>
      <c r="AI22" s="197"/>
      <c r="AJ22" s="197"/>
      <c r="AK22" s="197"/>
      <c r="AL22" s="197"/>
      <c r="AM22" s="197"/>
      <c r="AN22" s="197"/>
      <c r="AO22" s="197"/>
      <c r="AP22" s="197"/>
      <c r="AQ22" s="197"/>
      <c r="AR22" s="197"/>
      <c r="AS22" s="197"/>
      <c r="AT22" s="197"/>
      <c r="AU22" s="197"/>
      <c r="AV22" s="197"/>
      <c r="AW22" s="197"/>
      <c r="AX22" s="197"/>
      <c r="AY22" s="197"/>
      <c r="AZ22" s="197"/>
      <c r="BA22" s="197"/>
      <c r="BB22" s="197"/>
      <c r="BC22" s="197"/>
      <c r="BD22" s="197"/>
      <c r="BE22" s="197"/>
      <c r="BF22" s="197"/>
      <c r="BG22" s="197"/>
      <c r="BH22" s="197"/>
      <c r="BI22" s="197"/>
      <c r="BJ22" s="197"/>
      <c r="BK22" s="197"/>
      <c r="BL22" s="197"/>
      <c r="BM22" s="193"/>
    </row>
    <row r="23" spans="1:65" x14ac:dyDescent="0.25">
      <c r="A23" s="193"/>
      <c r="B23" s="196"/>
      <c r="C23" s="196"/>
      <c r="D23" s="196" t="s">
        <v>94</v>
      </c>
      <c r="E23" s="196"/>
      <c r="F23" s="196"/>
      <c r="G23" s="197"/>
      <c r="H23" s="197"/>
      <c r="I23" s="197"/>
      <c r="J23" s="197"/>
      <c r="K23" s="197"/>
      <c r="L23" s="197"/>
      <c r="M23" s="197"/>
      <c r="N23" s="197"/>
      <c r="O23" s="197"/>
      <c r="P23" s="197"/>
      <c r="Q23" s="197"/>
      <c r="R23" s="197"/>
      <c r="S23" s="197"/>
      <c r="T23" s="197"/>
      <c r="U23" s="197"/>
      <c r="V23" s="197"/>
      <c r="W23" s="197"/>
      <c r="X23" s="197"/>
      <c r="Y23" s="197"/>
      <c r="Z23" s="197"/>
      <c r="AA23" s="197"/>
      <c r="AB23" s="197"/>
      <c r="AC23" s="197"/>
      <c r="AD23" s="197"/>
      <c r="AE23" s="197"/>
      <c r="AF23" s="197"/>
      <c r="AG23" s="194"/>
      <c r="AH23" s="197"/>
      <c r="AI23" s="197"/>
      <c r="AJ23" s="197"/>
      <c r="AK23" s="197"/>
      <c r="AL23" s="197"/>
      <c r="AM23" s="197"/>
      <c r="AN23" s="197"/>
      <c r="AO23" s="197"/>
      <c r="AP23" s="197"/>
      <c r="AQ23" s="197"/>
      <c r="AR23" s="197"/>
      <c r="AS23" s="197"/>
      <c r="AT23" s="197"/>
      <c r="AU23" s="197"/>
      <c r="AV23" s="197"/>
      <c r="AW23" s="197"/>
      <c r="AX23" s="197"/>
      <c r="AY23" s="197"/>
      <c r="AZ23" s="197"/>
      <c r="BA23" s="197"/>
      <c r="BB23" s="197"/>
      <c r="BC23" s="197"/>
      <c r="BD23" s="197"/>
      <c r="BE23" s="197"/>
      <c r="BF23" s="197"/>
      <c r="BG23" s="197"/>
      <c r="BH23" s="197"/>
      <c r="BI23" s="197"/>
      <c r="BJ23" s="197"/>
      <c r="BK23" s="197"/>
      <c r="BL23" s="197"/>
      <c r="BM23" s="193"/>
    </row>
    <row r="24" spans="1:65" x14ac:dyDescent="0.25">
      <c r="A24" s="193"/>
      <c r="B24" s="196"/>
      <c r="C24" s="196"/>
      <c r="D24" s="196"/>
      <c r="E24" s="196"/>
      <c r="F24" s="196"/>
      <c r="G24" s="197"/>
      <c r="H24" s="197"/>
      <c r="I24" s="197"/>
      <c r="J24" s="197"/>
      <c r="K24" s="197"/>
      <c r="L24" s="197"/>
      <c r="M24" s="197"/>
      <c r="N24" s="197"/>
      <c r="O24" s="197"/>
      <c r="P24" s="197"/>
      <c r="Q24" s="197"/>
      <c r="R24" s="197"/>
      <c r="S24" s="197"/>
      <c r="T24" s="197"/>
      <c r="U24" s="197"/>
      <c r="V24" s="197"/>
      <c r="W24" s="197"/>
      <c r="X24" s="197"/>
      <c r="Y24" s="197"/>
      <c r="Z24" s="197"/>
      <c r="AA24" s="197"/>
      <c r="AB24" s="197"/>
      <c r="AC24" s="197"/>
      <c r="AD24" s="197"/>
      <c r="AE24" s="197"/>
      <c r="AF24" s="197"/>
      <c r="AG24" s="194"/>
      <c r="AH24" s="197"/>
      <c r="AI24" s="197"/>
      <c r="AJ24" s="197"/>
      <c r="AK24" s="197"/>
      <c r="AL24" s="197"/>
      <c r="AM24" s="197"/>
      <c r="AN24" s="197"/>
      <c r="AO24" s="197"/>
      <c r="AP24" s="197"/>
      <c r="AQ24" s="197"/>
      <c r="AR24" s="197"/>
      <c r="AS24" s="197"/>
      <c r="AT24" s="197"/>
      <c r="AU24" s="197"/>
      <c r="AV24" s="197"/>
      <c r="AW24" s="197"/>
      <c r="AX24" s="197"/>
      <c r="AY24" s="197"/>
      <c r="AZ24" s="197"/>
      <c r="BA24" s="197"/>
      <c r="BB24" s="197"/>
      <c r="BC24" s="197"/>
      <c r="BD24" s="197"/>
      <c r="BE24" s="197"/>
      <c r="BF24" s="197"/>
      <c r="BG24" s="197"/>
      <c r="BH24" s="197"/>
      <c r="BI24" s="197"/>
      <c r="BJ24" s="197"/>
      <c r="BK24" s="197"/>
      <c r="BL24" s="197"/>
      <c r="BM24" s="193"/>
    </row>
    <row r="25" spans="1:65" x14ac:dyDescent="0.25">
      <c r="A25" s="193"/>
      <c r="B25" s="196"/>
      <c r="C25" s="196"/>
      <c r="D25" s="196"/>
      <c r="E25" s="196"/>
      <c r="F25" s="196"/>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4"/>
      <c r="AH25" s="197"/>
      <c r="AI25" s="197"/>
      <c r="AJ25" s="197"/>
      <c r="AK25" s="197"/>
      <c r="AL25" s="197"/>
      <c r="AM25" s="197"/>
      <c r="AN25" s="197"/>
      <c r="AO25" s="197"/>
      <c r="AP25" s="197"/>
      <c r="AQ25" s="197"/>
      <c r="AR25" s="197"/>
      <c r="AS25" s="197"/>
      <c r="AT25" s="197"/>
      <c r="AU25" s="197"/>
      <c r="AV25" s="197"/>
      <c r="AW25" s="197"/>
      <c r="AX25" s="197"/>
      <c r="AY25" s="197"/>
      <c r="AZ25" s="197"/>
      <c r="BA25" s="197"/>
      <c r="BB25" s="197"/>
      <c r="BC25" s="197"/>
      <c r="BD25" s="197"/>
      <c r="BE25" s="197"/>
      <c r="BF25" s="197"/>
      <c r="BG25" s="197"/>
      <c r="BH25" s="197"/>
      <c r="BI25" s="197"/>
      <c r="BJ25" s="197"/>
      <c r="BK25" s="197"/>
      <c r="BL25" s="197"/>
      <c r="BM25" s="193"/>
    </row>
    <row r="26" spans="1:65" x14ac:dyDescent="0.25">
      <c r="A26" s="193"/>
      <c r="B26" s="196"/>
      <c r="C26" s="196"/>
      <c r="D26" s="196"/>
      <c r="E26" s="196"/>
      <c r="F26" s="196"/>
      <c r="G26" s="197"/>
      <c r="H26" s="197"/>
      <c r="I26" s="197"/>
      <c r="J26" s="197"/>
      <c r="K26" s="197"/>
      <c r="L26" s="197"/>
      <c r="M26" s="197"/>
      <c r="N26" s="197"/>
      <c r="O26" s="197"/>
      <c r="P26" s="197"/>
      <c r="Q26" s="197"/>
      <c r="R26" s="197"/>
      <c r="S26" s="197"/>
      <c r="T26" s="197"/>
      <c r="U26" s="197"/>
      <c r="V26" s="197"/>
      <c r="W26" s="197"/>
      <c r="X26" s="197"/>
      <c r="Y26" s="197"/>
      <c r="Z26" s="197"/>
      <c r="AA26" s="197"/>
      <c r="AB26" s="197"/>
      <c r="AC26" s="197"/>
      <c r="AD26" s="197"/>
      <c r="AE26" s="197"/>
      <c r="AF26" s="197"/>
      <c r="AG26" s="194"/>
      <c r="AH26" s="197"/>
      <c r="AI26" s="197"/>
      <c r="AJ26" s="197"/>
      <c r="AK26" s="197"/>
      <c r="AL26" s="197"/>
      <c r="AM26" s="197"/>
      <c r="AN26" s="197"/>
      <c r="AO26" s="197"/>
      <c r="AP26" s="197"/>
      <c r="AQ26" s="197"/>
      <c r="AR26" s="197"/>
      <c r="AS26" s="197"/>
      <c r="AT26" s="197"/>
      <c r="AU26" s="197"/>
      <c r="AV26" s="197"/>
      <c r="AW26" s="197"/>
      <c r="AX26" s="197"/>
      <c r="AY26" s="197"/>
      <c r="AZ26" s="197"/>
      <c r="BA26" s="197"/>
      <c r="BB26" s="197"/>
      <c r="BC26" s="197"/>
      <c r="BD26" s="197"/>
      <c r="BE26" s="197"/>
      <c r="BF26" s="197"/>
      <c r="BG26" s="197"/>
      <c r="BH26" s="197"/>
      <c r="BI26" s="197"/>
      <c r="BJ26" s="197"/>
      <c r="BK26" s="197"/>
      <c r="BL26" s="197"/>
      <c r="BM26" s="193"/>
    </row>
    <row r="27" spans="1:65" x14ac:dyDescent="0.25">
      <c r="A27" s="193"/>
      <c r="B27" s="197"/>
      <c r="C27" s="197"/>
      <c r="D27" s="197"/>
      <c r="E27" s="197"/>
      <c r="F27" s="197"/>
      <c r="G27" s="197"/>
      <c r="H27" s="197"/>
      <c r="I27" s="197"/>
      <c r="J27" s="197"/>
      <c r="K27" s="197"/>
      <c r="L27" s="197"/>
      <c r="M27" s="197"/>
      <c r="N27" s="197"/>
      <c r="O27" s="197"/>
      <c r="P27" s="197"/>
      <c r="Q27" s="197"/>
      <c r="R27" s="197"/>
      <c r="S27" s="197"/>
      <c r="T27" s="197"/>
      <c r="U27" s="197"/>
      <c r="V27" s="197"/>
      <c r="W27" s="197"/>
      <c r="X27" s="197"/>
      <c r="Y27" s="197"/>
      <c r="Z27" s="197"/>
      <c r="AA27" s="197"/>
      <c r="AB27" s="197"/>
      <c r="AC27" s="197"/>
      <c r="AD27" s="197"/>
      <c r="AE27" s="197"/>
      <c r="AF27" s="197"/>
      <c r="AG27" s="194"/>
      <c r="AH27" s="197"/>
      <c r="AI27" s="197"/>
      <c r="AJ27" s="197"/>
      <c r="AK27" s="197"/>
      <c r="AL27" s="197"/>
      <c r="AM27" s="197"/>
      <c r="AN27" s="197"/>
      <c r="AO27" s="197"/>
      <c r="AP27" s="197"/>
      <c r="AQ27" s="197"/>
      <c r="AR27" s="197"/>
      <c r="AS27" s="197"/>
      <c r="AT27" s="197"/>
      <c r="AU27" s="197"/>
      <c r="AV27" s="197"/>
      <c r="AW27" s="197"/>
      <c r="AX27" s="197"/>
      <c r="AY27" s="197"/>
      <c r="AZ27" s="197"/>
      <c r="BA27" s="197"/>
      <c r="BB27" s="197"/>
      <c r="BC27" s="197"/>
      <c r="BD27" s="197"/>
      <c r="BE27" s="197"/>
      <c r="BF27" s="197"/>
      <c r="BG27" s="197"/>
      <c r="BH27" s="197"/>
      <c r="BI27" s="197"/>
      <c r="BJ27" s="197"/>
      <c r="BK27" s="197"/>
      <c r="BL27" s="197"/>
      <c r="BM27" s="193"/>
    </row>
    <row r="28" spans="1:65" x14ac:dyDescent="0.25">
      <c r="A28" s="193"/>
      <c r="B28" s="197"/>
      <c r="C28" s="197"/>
      <c r="D28" s="197"/>
      <c r="E28" s="197"/>
      <c r="F28" s="197"/>
      <c r="G28" s="197"/>
      <c r="H28" s="197"/>
      <c r="I28" s="197"/>
      <c r="J28" s="197"/>
      <c r="K28" s="197"/>
      <c r="L28" s="197"/>
      <c r="M28" s="197"/>
      <c r="N28" s="197"/>
      <c r="O28" s="197"/>
      <c r="P28" s="197"/>
      <c r="Q28" s="197"/>
      <c r="R28" s="197"/>
      <c r="S28" s="197"/>
      <c r="T28" s="197"/>
      <c r="U28" s="197"/>
      <c r="V28" s="197"/>
      <c r="W28" s="197"/>
      <c r="X28" s="197"/>
      <c r="Y28" s="197"/>
      <c r="Z28" s="197"/>
      <c r="AA28" s="197"/>
      <c r="AB28" s="197"/>
      <c r="AC28" s="197"/>
      <c r="AD28" s="197"/>
      <c r="AE28" s="197"/>
      <c r="AF28" s="197"/>
      <c r="AG28" s="194"/>
      <c r="AH28" s="197"/>
      <c r="AI28" s="197"/>
      <c r="AJ28" s="197"/>
      <c r="AK28" s="197"/>
      <c r="AL28" s="197"/>
      <c r="AM28" s="197"/>
      <c r="AN28" s="197"/>
      <c r="AO28" s="197"/>
      <c r="AP28" s="197"/>
      <c r="AQ28" s="197"/>
      <c r="AR28" s="197"/>
      <c r="AS28" s="197"/>
      <c r="AT28" s="197"/>
      <c r="AU28" s="197"/>
      <c r="AV28" s="197"/>
      <c r="AW28" s="197"/>
      <c r="AX28" s="197"/>
      <c r="AY28" s="197"/>
      <c r="AZ28" s="197"/>
      <c r="BA28" s="197"/>
      <c r="BB28" s="197"/>
      <c r="BC28" s="197"/>
      <c r="BD28" s="197"/>
      <c r="BE28" s="197"/>
      <c r="BF28" s="197"/>
      <c r="BG28" s="197"/>
      <c r="BH28" s="197"/>
      <c r="BI28" s="197"/>
      <c r="BJ28" s="197"/>
      <c r="BK28" s="197"/>
      <c r="BL28" s="197"/>
      <c r="BM28" s="193"/>
    </row>
    <row r="29" spans="1:65" x14ac:dyDescent="0.25">
      <c r="A29" s="193"/>
      <c r="B29" s="197"/>
      <c r="C29" s="197"/>
      <c r="D29" s="197"/>
      <c r="E29" s="197"/>
      <c r="F29" s="197"/>
      <c r="G29" s="197"/>
      <c r="H29" s="197"/>
      <c r="I29" s="197"/>
      <c r="J29" s="197"/>
      <c r="K29" s="197"/>
      <c r="L29" s="197"/>
      <c r="M29" s="197"/>
      <c r="N29" s="197"/>
      <c r="O29" s="197"/>
      <c r="P29" s="197"/>
      <c r="Q29" s="197"/>
      <c r="R29" s="197"/>
      <c r="S29" s="197"/>
      <c r="T29" s="197"/>
      <c r="U29" s="197"/>
      <c r="V29" s="197"/>
      <c r="W29" s="197"/>
      <c r="X29" s="197"/>
      <c r="Y29" s="197"/>
      <c r="Z29" s="197"/>
      <c r="AA29" s="197"/>
      <c r="AB29" s="197"/>
      <c r="AC29" s="197"/>
      <c r="AD29" s="197"/>
      <c r="AE29" s="197"/>
      <c r="AF29" s="197"/>
      <c r="AG29" s="194"/>
      <c r="AH29" s="197"/>
      <c r="AI29" s="197"/>
      <c r="AJ29" s="197"/>
      <c r="AK29" s="197"/>
      <c r="AL29" s="197"/>
      <c r="AM29" s="197"/>
      <c r="AN29" s="197"/>
      <c r="AO29" s="197"/>
      <c r="AP29" s="197"/>
      <c r="AQ29" s="197"/>
      <c r="AR29" s="197"/>
      <c r="AS29" s="197"/>
      <c r="AT29" s="197"/>
      <c r="AU29" s="197"/>
      <c r="AV29" s="197"/>
      <c r="AW29" s="197"/>
      <c r="AX29" s="197"/>
      <c r="AY29" s="197"/>
      <c r="AZ29" s="197"/>
      <c r="BA29" s="197"/>
      <c r="BB29" s="197"/>
      <c r="BC29" s="197"/>
      <c r="BD29" s="197"/>
      <c r="BE29" s="197"/>
      <c r="BF29" s="197"/>
      <c r="BG29" s="197"/>
      <c r="BH29" s="197"/>
      <c r="BI29" s="197"/>
      <c r="BJ29" s="197"/>
      <c r="BK29" s="197"/>
      <c r="BL29" s="197"/>
      <c r="BM29" s="193"/>
    </row>
    <row r="30" spans="1:65" x14ac:dyDescent="0.25">
      <c r="A30" s="193"/>
      <c r="B30" s="197"/>
      <c r="C30" s="197"/>
      <c r="D30" s="197"/>
      <c r="E30" s="197"/>
      <c r="F30" s="197"/>
      <c r="G30" s="197"/>
      <c r="H30" s="197"/>
      <c r="I30" s="197"/>
      <c r="J30" s="197"/>
      <c r="K30" s="197"/>
      <c r="L30" s="197"/>
      <c r="M30" s="197"/>
      <c r="N30" s="197"/>
      <c r="O30" s="197"/>
      <c r="P30" s="197"/>
      <c r="Q30" s="197"/>
      <c r="R30" s="197"/>
      <c r="S30" s="197"/>
      <c r="T30" s="197"/>
      <c r="U30" s="197"/>
      <c r="V30" s="197"/>
      <c r="W30" s="197"/>
      <c r="X30" s="197"/>
      <c r="Y30" s="197"/>
      <c r="Z30" s="197"/>
      <c r="AA30" s="197"/>
      <c r="AB30" s="197"/>
      <c r="AC30" s="197"/>
      <c r="AD30" s="197"/>
      <c r="AE30" s="197"/>
      <c r="AF30" s="197"/>
      <c r="AG30" s="194"/>
      <c r="AH30" s="197"/>
      <c r="AI30" s="197"/>
      <c r="AJ30" s="197"/>
      <c r="AK30" s="197"/>
      <c r="AL30" s="197"/>
      <c r="AM30" s="197"/>
      <c r="AN30" s="197"/>
      <c r="AO30" s="197"/>
      <c r="AP30" s="197"/>
      <c r="AQ30" s="197"/>
      <c r="AR30" s="197"/>
      <c r="AS30" s="197"/>
      <c r="AT30" s="197"/>
      <c r="AU30" s="197"/>
      <c r="AV30" s="197"/>
      <c r="AW30" s="197"/>
      <c r="AX30" s="197"/>
      <c r="AY30" s="197"/>
      <c r="AZ30" s="197"/>
      <c r="BA30" s="197"/>
      <c r="BB30" s="197"/>
      <c r="BC30" s="197"/>
      <c r="BD30" s="197"/>
      <c r="BE30" s="197"/>
      <c r="BF30" s="197"/>
      <c r="BG30" s="197"/>
      <c r="BH30" s="197"/>
      <c r="BI30" s="197"/>
      <c r="BJ30" s="197"/>
      <c r="BK30" s="197"/>
      <c r="BL30" s="197"/>
      <c r="BM30" s="193"/>
    </row>
    <row r="31" spans="1:65" x14ac:dyDescent="0.25">
      <c r="A31" s="193"/>
      <c r="B31" s="197"/>
      <c r="C31" s="197"/>
      <c r="D31" s="197"/>
      <c r="E31" s="197"/>
      <c r="F31" s="197"/>
      <c r="G31" s="197"/>
      <c r="H31" s="197"/>
      <c r="I31" s="197"/>
      <c r="J31" s="197"/>
      <c r="K31" s="197"/>
      <c r="L31" s="197"/>
      <c r="M31" s="197"/>
      <c r="N31" s="197"/>
      <c r="O31" s="197"/>
      <c r="P31" s="197"/>
      <c r="Q31" s="197"/>
      <c r="R31" s="197"/>
      <c r="S31" s="197"/>
      <c r="T31" s="197"/>
      <c r="U31" s="197"/>
      <c r="V31" s="197"/>
      <c r="W31" s="197"/>
      <c r="X31" s="197"/>
      <c r="Y31" s="197"/>
      <c r="Z31" s="197"/>
      <c r="AA31" s="197"/>
      <c r="AB31" s="197"/>
      <c r="AC31" s="197"/>
      <c r="AD31" s="197"/>
      <c r="AE31" s="197"/>
      <c r="AF31" s="197"/>
      <c r="AG31" s="194"/>
      <c r="AH31" s="197"/>
      <c r="AI31" s="197"/>
      <c r="AJ31" s="197"/>
      <c r="AK31" s="197"/>
      <c r="AL31" s="197"/>
      <c r="AM31" s="197"/>
      <c r="AN31" s="197"/>
      <c r="AO31" s="197"/>
      <c r="AP31" s="197"/>
      <c r="AQ31" s="197"/>
      <c r="AR31" s="197"/>
      <c r="AS31" s="197"/>
      <c r="AT31" s="197"/>
      <c r="AU31" s="197"/>
      <c r="AV31" s="197"/>
      <c r="AW31" s="197"/>
      <c r="AX31" s="197"/>
      <c r="AY31" s="197"/>
      <c r="AZ31" s="197"/>
      <c r="BA31" s="197"/>
      <c r="BB31" s="197"/>
      <c r="BC31" s="197"/>
      <c r="BD31" s="197"/>
      <c r="BE31" s="197"/>
      <c r="BF31" s="197"/>
      <c r="BG31" s="197"/>
      <c r="BH31" s="197"/>
      <c r="BI31" s="197"/>
      <c r="BJ31" s="197"/>
      <c r="BK31" s="197"/>
      <c r="BL31" s="197"/>
      <c r="BM31" s="193"/>
    </row>
    <row r="32" spans="1:65" x14ac:dyDescent="0.25">
      <c r="A32" s="193"/>
      <c r="B32" s="197"/>
      <c r="C32" s="197"/>
      <c r="D32" s="197"/>
      <c r="E32" s="197"/>
      <c r="F32" s="197"/>
      <c r="G32" s="197"/>
      <c r="H32" s="197"/>
      <c r="I32" s="197"/>
      <c r="J32" s="197"/>
      <c r="K32" s="197"/>
      <c r="L32" s="197"/>
      <c r="M32" s="197"/>
      <c r="N32" s="197"/>
      <c r="O32" s="197"/>
      <c r="P32" s="197"/>
      <c r="Q32" s="197"/>
      <c r="R32" s="197"/>
      <c r="S32" s="197"/>
      <c r="T32" s="197"/>
      <c r="U32" s="197"/>
      <c r="V32" s="197"/>
      <c r="W32" s="197"/>
      <c r="X32" s="197"/>
      <c r="Y32" s="197"/>
      <c r="Z32" s="197"/>
      <c r="AA32" s="197"/>
      <c r="AB32" s="197"/>
      <c r="AC32" s="197"/>
      <c r="AD32" s="197"/>
      <c r="AE32" s="197"/>
      <c r="AF32" s="197"/>
      <c r="AG32" s="194"/>
      <c r="AH32" s="197"/>
      <c r="AI32" s="197"/>
      <c r="AJ32" s="197"/>
      <c r="AK32" s="197"/>
      <c r="AL32" s="197"/>
      <c r="AM32" s="197"/>
      <c r="AN32" s="197"/>
      <c r="AO32" s="197"/>
      <c r="AP32" s="197"/>
      <c r="AQ32" s="197"/>
      <c r="AR32" s="197"/>
      <c r="AS32" s="197"/>
      <c r="AT32" s="197"/>
      <c r="AU32" s="197"/>
      <c r="AV32" s="197"/>
      <c r="AW32" s="197"/>
      <c r="AX32" s="197"/>
      <c r="AY32" s="197"/>
      <c r="AZ32" s="197"/>
      <c r="BA32" s="197"/>
      <c r="BB32" s="197"/>
      <c r="BC32" s="197"/>
      <c r="BD32" s="197"/>
      <c r="BE32" s="197"/>
      <c r="BF32" s="197"/>
      <c r="BG32" s="197"/>
      <c r="BH32" s="197"/>
      <c r="BI32" s="197"/>
      <c r="BJ32" s="197"/>
      <c r="BK32" s="197"/>
      <c r="BL32" s="197"/>
      <c r="BM32" s="193"/>
    </row>
    <row r="33" spans="1:65" x14ac:dyDescent="0.25">
      <c r="A33" s="193"/>
      <c r="B33" s="197"/>
      <c r="C33" s="197"/>
      <c r="D33" s="197"/>
      <c r="E33" s="197"/>
      <c r="F33" s="197"/>
      <c r="G33" s="197"/>
      <c r="H33" s="197"/>
      <c r="I33" s="197"/>
      <c r="J33" s="197"/>
      <c r="K33" s="197"/>
      <c r="L33" s="197"/>
      <c r="M33" s="197"/>
      <c r="N33" s="197"/>
      <c r="O33" s="197"/>
      <c r="P33" s="197"/>
      <c r="Q33" s="197"/>
      <c r="R33" s="197"/>
      <c r="S33" s="197"/>
      <c r="T33" s="197"/>
      <c r="U33" s="197"/>
      <c r="V33" s="197"/>
      <c r="W33" s="197"/>
      <c r="X33" s="197"/>
      <c r="Y33" s="197"/>
      <c r="Z33" s="197"/>
      <c r="AA33" s="197"/>
      <c r="AB33" s="197"/>
      <c r="AC33" s="197"/>
      <c r="AD33" s="197"/>
      <c r="AE33" s="197"/>
      <c r="AF33" s="197"/>
      <c r="AG33" s="194"/>
      <c r="AH33" s="197"/>
      <c r="AI33" s="197"/>
      <c r="AJ33" s="197"/>
      <c r="AK33" s="197"/>
      <c r="AL33" s="197"/>
      <c r="AM33" s="197"/>
      <c r="AN33" s="197"/>
      <c r="AO33" s="197"/>
      <c r="AP33" s="197"/>
      <c r="AQ33" s="197"/>
      <c r="AR33" s="197"/>
      <c r="AS33" s="197"/>
      <c r="AT33" s="197"/>
      <c r="AU33" s="197"/>
      <c r="AV33" s="197"/>
      <c r="AW33" s="197"/>
      <c r="AX33" s="197"/>
      <c r="AY33" s="197"/>
      <c r="AZ33" s="197"/>
      <c r="BA33" s="197"/>
      <c r="BB33" s="197"/>
      <c r="BC33" s="197"/>
      <c r="BD33" s="197"/>
      <c r="BE33" s="197"/>
      <c r="BF33" s="197"/>
      <c r="BG33" s="197"/>
      <c r="BH33" s="197"/>
      <c r="BI33" s="197"/>
      <c r="BJ33" s="197"/>
      <c r="BK33" s="197"/>
      <c r="BL33" s="197"/>
      <c r="BM33" s="193"/>
    </row>
    <row r="34" spans="1:65" x14ac:dyDescent="0.25">
      <c r="A34" s="193"/>
      <c r="B34" s="197"/>
      <c r="C34" s="197"/>
      <c r="D34" s="197"/>
      <c r="E34" s="197"/>
      <c r="F34" s="197"/>
      <c r="G34" s="197"/>
      <c r="H34" s="197"/>
      <c r="I34" s="197"/>
      <c r="J34" s="197"/>
      <c r="K34" s="197"/>
      <c r="L34" s="197"/>
      <c r="M34" s="197"/>
      <c r="N34" s="197"/>
      <c r="O34" s="197"/>
      <c r="P34" s="197"/>
      <c r="Q34" s="197"/>
      <c r="R34" s="197"/>
      <c r="S34" s="197"/>
      <c r="T34" s="197"/>
      <c r="U34" s="197"/>
      <c r="V34" s="197"/>
      <c r="W34" s="197"/>
      <c r="X34" s="197"/>
      <c r="Y34" s="197"/>
      <c r="Z34" s="197"/>
      <c r="AA34" s="197"/>
      <c r="AB34" s="197"/>
      <c r="AC34" s="197"/>
      <c r="AD34" s="197"/>
      <c r="AE34" s="197"/>
      <c r="AF34" s="197"/>
      <c r="AG34" s="194"/>
      <c r="AH34" s="197"/>
      <c r="AI34" s="197"/>
      <c r="AJ34" s="197"/>
      <c r="AK34" s="197"/>
      <c r="AL34" s="197"/>
      <c r="AM34" s="197"/>
      <c r="AN34" s="197"/>
      <c r="AO34" s="197"/>
      <c r="AP34" s="197"/>
      <c r="AQ34" s="197"/>
      <c r="AR34" s="197"/>
      <c r="AS34" s="197"/>
      <c r="AT34" s="197"/>
      <c r="AU34" s="197"/>
      <c r="AV34" s="197"/>
      <c r="AW34" s="197"/>
      <c r="AX34" s="197"/>
      <c r="AY34" s="197"/>
      <c r="AZ34" s="197"/>
      <c r="BA34" s="197"/>
      <c r="BB34" s="197"/>
      <c r="BC34" s="197"/>
      <c r="BD34" s="197"/>
      <c r="BE34" s="197"/>
      <c r="BF34" s="197"/>
      <c r="BG34" s="197"/>
      <c r="BH34" s="197"/>
      <c r="BI34" s="197"/>
      <c r="BJ34" s="197"/>
      <c r="BK34" s="197"/>
      <c r="BL34" s="197"/>
      <c r="BM34" s="193"/>
    </row>
    <row r="35" spans="1:65" x14ac:dyDescent="0.25">
      <c r="A35" s="193"/>
      <c r="B35" s="197"/>
      <c r="C35" s="197"/>
      <c r="D35" s="197"/>
      <c r="E35" s="197"/>
      <c r="F35" s="197"/>
      <c r="G35" s="197"/>
      <c r="H35" s="197"/>
      <c r="I35" s="197"/>
      <c r="J35" s="197"/>
      <c r="K35" s="197"/>
      <c r="L35" s="197"/>
      <c r="M35" s="197"/>
      <c r="N35" s="197"/>
      <c r="O35" s="197"/>
      <c r="P35" s="197"/>
      <c r="Q35" s="197"/>
      <c r="R35" s="197"/>
      <c r="S35" s="197"/>
      <c r="T35" s="197"/>
      <c r="U35" s="197"/>
      <c r="V35" s="197"/>
      <c r="W35" s="197"/>
      <c r="X35" s="197"/>
      <c r="Y35" s="197"/>
      <c r="Z35" s="197"/>
      <c r="AA35" s="197"/>
      <c r="AB35" s="197"/>
      <c r="AC35" s="197"/>
      <c r="AD35" s="197"/>
      <c r="AE35" s="197"/>
      <c r="AF35" s="197"/>
      <c r="AG35" s="194"/>
      <c r="AH35" s="197"/>
      <c r="AI35" s="197"/>
      <c r="AJ35" s="197"/>
      <c r="AK35" s="197"/>
      <c r="AL35" s="197"/>
      <c r="AM35" s="197"/>
      <c r="AN35" s="197"/>
      <c r="AO35" s="197"/>
      <c r="AP35" s="197"/>
      <c r="AQ35" s="197"/>
      <c r="AR35" s="197"/>
      <c r="AS35" s="197"/>
      <c r="AT35" s="197"/>
      <c r="AU35" s="197"/>
      <c r="AV35" s="197"/>
      <c r="AW35" s="197"/>
      <c r="AX35" s="197"/>
      <c r="AY35" s="197"/>
      <c r="AZ35" s="197"/>
      <c r="BA35" s="197"/>
      <c r="BB35" s="197"/>
      <c r="BC35" s="197"/>
      <c r="BD35" s="197"/>
      <c r="BE35" s="197"/>
      <c r="BF35" s="197"/>
      <c r="BG35" s="197"/>
      <c r="BH35" s="197"/>
      <c r="BI35" s="197"/>
      <c r="BJ35" s="197"/>
      <c r="BK35" s="197"/>
      <c r="BL35" s="197"/>
      <c r="BM35" s="193"/>
    </row>
    <row r="36" spans="1:65" x14ac:dyDescent="0.25">
      <c r="A36" s="193"/>
      <c r="B36" s="197"/>
      <c r="C36" s="197"/>
      <c r="D36" s="197"/>
      <c r="E36" s="197"/>
      <c r="F36" s="197"/>
      <c r="G36" s="197"/>
      <c r="H36" s="197"/>
      <c r="I36" s="197"/>
      <c r="J36" s="197"/>
      <c r="K36" s="197"/>
      <c r="L36" s="197"/>
      <c r="M36" s="197"/>
      <c r="N36" s="197"/>
      <c r="O36" s="197"/>
      <c r="P36" s="197"/>
      <c r="Q36" s="197"/>
      <c r="R36" s="197"/>
      <c r="S36" s="197"/>
      <c r="T36" s="197"/>
      <c r="U36" s="197"/>
      <c r="V36" s="197"/>
      <c r="W36" s="197"/>
      <c r="X36" s="197"/>
      <c r="Y36" s="197"/>
      <c r="Z36" s="197"/>
      <c r="AA36" s="197"/>
      <c r="AB36" s="197"/>
      <c r="AC36" s="197"/>
      <c r="AD36" s="197"/>
      <c r="AE36" s="197"/>
      <c r="AF36" s="197"/>
      <c r="AG36" s="194"/>
      <c r="AH36" s="197"/>
      <c r="AI36" s="197"/>
      <c r="AJ36" s="197"/>
      <c r="AK36" s="197"/>
      <c r="AL36" s="197"/>
      <c r="AM36" s="197"/>
      <c r="AN36" s="197"/>
      <c r="AO36" s="197"/>
      <c r="AP36" s="197"/>
      <c r="AQ36" s="197"/>
      <c r="AR36" s="197"/>
      <c r="AS36" s="197"/>
      <c r="AT36" s="197"/>
      <c r="AU36" s="197"/>
      <c r="AV36" s="197"/>
      <c r="AW36" s="197"/>
      <c r="AX36" s="197"/>
      <c r="AY36" s="197"/>
      <c r="AZ36" s="197"/>
      <c r="BA36" s="197"/>
      <c r="BB36" s="197"/>
      <c r="BC36" s="197"/>
      <c r="BD36" s="197"/>
      <c r="BE36" s="197"/>
      <c r="BF36" s="197"/>
      <c r="BG36" s="197"/>
      <c r="BH36" s="197"/>
      <c r="BI36" s="197"/>
      <c r="BJ36" s="197"/>
      <c r="BK36" s="197"/>
      <c r="BL36" s="197"/>
      <c r="BM36" s="193"/>
    </row>
    <row r="37" spans="1:65" x14ac:dyDescent="0.25">
      <c r="A37" s="193"/>
      <c r="B37" s="197"/>
      <c r="C37" s="197"/>
      <c r="D37" s="197"/>
      <c r="E37" s="197"/>
      <c r="F37" s="197"/>
      <c r="G37" s="197"/>
      <c r="H37" s="197"/>
      <c r="I37" s="197"/>
      <c r="J37" s="197"/>
      <c r="K37" s="197"/>
      <c r="L37" s="197"/>
      <c r="M37" s="197"/>
      <c r="N37" s="197"/>
      <c r="O37" s="197"/>
      <c r="P37" s="197"/>
      <c r="Q37" s="197"/>
      <c r="R37" s="197"/>
      <c r="S37" s="197"/>
      <c r="T37" s="197"/>
      <c r="U37" s="197"/>
      <c r="V37" s="197"/>
      <c r="W37" s="197"/>
      <c r="X37" s="197"/>
      <c r="Y37" s="197"/>
      <c r="Z37" s="197"/>
      <c r="AA37" s="197"/>
      <c r="AB37" s="197"/>
      <c r="AC37" s="197"/>
      <c r="AD37" s="197"/>
      <c r="AE37" s="197"/>
      <c r="AF37" s="197"/>
      <c r="AG37" s="194"/>
      <c r="AH37" s="197"/>
      <c r="AI37" s="197"/>
      <c r="AJ37" s="197"/>
      <c r="AK37" s="197"/>
      <c r="AL37" s="197"/>
      <c r="AM37" s="197"/>
      <c r="AN37" s="197"/>
      <c r="AO37" s="197"/>
      <c r="AP37" s="197"/>
      <c r="AQ37" s="197"/>
      <c r="AR37" s="197"/>
      <c r="AS37" s="197"/>
      <c r="AT37" s="197"/>
      <c r="AU37" s="197"/>
      <c r="AV37" s="197"/>
      <c r="AW37" s="197"/>
      <c r="AX37" s="197"/>
      <c r="AY37" s="197"/>
      <c r="AZ37" s="197"/>
      <c r="BA37" s="197"/>
      <c r="BB37" s="197"/>
      <c r="BC37" s="197"/>
      <c r="BD37" s="197"/>
      <c r="BE37" s="197"/>
      <c r="BF37" s="197"/>
      <c r="BG37" s="197"/>
      <c r="BH37" s="197"/>
      <c r="BI37" s="197"/>
      <c r="BJ37" s="197"/>
      <c r="BK37" s="197"/>
      <c r="BL37" s="197"/>
      <c r="BM37" s="193"/>
    </row>
    <row r="38" spans="1:65" x14ac:dyDescent="0.25">
      <c r="A38" s="193"/>
      <c r="B38" s="197"/>
      <c r="C38" s="197"/>
      <c r="D38" s="197"/>
      <c r="E38" s="197"/>
      <c r="F38" s="197"/>
      <c r="G38" s="197"/>
      <c r="H38" s="197"/>
      <c r="I38" s="197"/>
      <c r="J38" s="197"/>
      <c r="K38" s="197"/>
      <c r="L38" s="197"/>
      <c r="M38" s="197"/>
      <c r="N38" s="197"/>
      <c r="O38" s="197"/>
      <c r="P38" s="197"/>
      <c r="Q38" s="197"/>
      <c r="R38" s="197"/>
      <c r="S38" s="197"/>
      <c r="T38" s="197"/>
      <c r="U38" s="197"/>
      <c r="V38" s="197"/>
      <c r="W38" s="197"/>
      <c r="X38" s="197"/>
      <c r="Y38" s="197"/>
      <c r="Z38" s="197"/>
      <c r="AA38" s="197"/>
      <c r="AB38" s="197"/>
      <c r="AC38" s="197"/>
      <c r="AD38" s="197"/>
      <c r="AE38" s="197"/>
      <c r="AF38" s="197"/>
      <c r="AG38" s="194"/>
      <c r="AH38" s="197"/>
      <c r="AI38" s="197"/>
      <c r="AJ38" s="197"/>
      <c r="AK38" s="197"/>
      <c r="AL38" s="197"/>
      <c r="AM38" s="197"/>
      <c r="AN38" s="197"/>
      <c r="AO38" s="197"/>
      <c r="AP38" s="197"/>
      <c r="AQ38" s="197"/>
      <c r="AR38" s="197"/>
      <c r="AS38" s="197"/>
      <c r="AT38" s="197"/>
      <c r="AU38" s="197"/>
      <c r="AV38" s="197"/>
      <c r="AW38" s="197"/>
      <c r="AX38" s="197"/>
      <c r="AY38" s="197"/>
      <c r="AZ38" s="197"/>
      <c r="BA38" s="197"/>
      <c r="BB38" s="197"/>
      <c r="BC38" s="197"/>
      <c r="BD38" s="197"/>
      <c r="BE38" s="197"/>
      <c r="BF38" s="197"/>
      <c r="BG38" s="197"/>
      <c r="BH38" s="197"/>
      <c r="BI38" s="197"/>
      <c r="BJ38" s="197"/>
      <c r="BK38" s="197"/>
      <c r="BL38" s="197"/>
      <c r="BM38" s="193"/>
    </row>
    <row r="39" spans="1:65" x14ac:dyDescent="0.25">
      <c r="A39" s="193"/>
      <c r="B39" s="197"/>
      <c r="C39" s="197"/>
      <c r="D39" s="197"/>
      <c r="E39" s="197"/>
      <c r="F39" s="197"/>
      <c r="G39" s="197"/>
      <c r="H39" s="197"/>
      <c r="I39" s="197"/>
      <c r="J39" s="197"/>
      <c r="K39" s="197"/>
      <c r="L39" s="197"/>
      <c r="M39" s="197"/>
      <c r="N39" s="197"/>
      <c r="O39" s="197"/>
      <c r="P39" s="197"/>
      <c r="Q39" s="197"/>
      <c r="R39" s="197"/>
      <c r="S39" s="197"/>
      <c r="T39" s="197"/>
      <c r="U39" s="197"/>
      <c r="V39" s="197"/>
      <c r="W39" s="197"/>
      <c r="X39" s="197"/>
      <c r="Y39" s="197"/>
      <c r="Z39" s="197"/>
      <c r="AA39" s="197"/>
      <c r="AB39" s="197"/>
      <c r="AC39" s="197"/>
      <c r="AD39" s="197"/>
      <c r="AE39" s="197"/>
      <c r="AF39" s="197"/>
      <c r="AG39" s="194"/>
      <c r="AH39" s="197"/>
      <c r="AI39" s="197"/>
      <c r="AJ39" s="197"/>
      <c r="AK39" s="197"/>
      <c r="AL39" s="197"/>
      <c r="AM39" s="197"/>
      <c r="AN39" s="197"/>
      <c r="AO39" s="197"/>
      <c r="AP39" s="197"/>
      <c r="AQ39" s="197"/>
      <c r="AR39" s="197"/>
      <c r="AS39" s="197"/>
      <c r="AT39" s="197"/>
      <c r="AU39" s="197"/>
      <c r="AV39" s="197"/>
      <c r="AW39" s="197"/>
      <c r="AX39" s="197"/>
      <c r="AY39" s="197"/>
      <c r="AZ39" s="197"/>
      <c r="BA39" s="197"/>
      <c r="BB39" s="197"/>
      <c r="BC39" s="197"/>
      <c r="BD39" s="197"/>
      <c r="BE39" s="197"/>
      <c r="BF39" s="197"/>
      <c r="BG39" s="197"/>
      <c r="BH39" s="197"/>
      <c r="BI39" s="197"/>
      <c r="BJ39" s="197"/>
      <c r="BK39" s="197"/>
      <c r="BL39" s="197"/>
      <c r="BM39" s="193"/>
    </row>
    <row r="40" spans="1:65" x14ac:dyDescent="0.25">
      <c r="A40" s="193"/>
      <c r="B40" s="197"/>
      <c r="C40" s="197"/>
      <c r="D40" s="197"/>
      <c r="E40" s="197"/>
      <c r="F40" s="197"/>
      <c r="G40" s="197"/>
      <c r="H40" s="197"/>
      <c r="I40" s="197"/>
      <c r="J40" s="197"/>
      <c r="K40" s="197"/>
      <c r="L40" s="197"/>
      <c r="M40" s="197"/>
      <c r="N40" s="197"/>
      <c r="O40" s="197"/>
      <c r="P40" s="197"/>
      <c r="Q40" s="197"/>
      <c r="R40" s="197"/>
      <c r="S40" s="197"/>
      <c r="T40" s="197"/>
      <c r="U40" s="197"/>
      <c r="V40" s="197"/>
      <c r="W40" s="197"/>
      <c r="X40" s="197"/>
      <c r="Y40" s="197"/>
      <c r="Z40" s="197"/>
      <c r="AA40" s="197"/>
      <c r="AB40" s="197"/>
      <c r="AC40" s="197"/>
      <c r="AD40" s="197"/>
      <c r="AE40" s="197"/>
      <c r="AF40" s="197"/>
      <c r="AG40" s="194"/>
      <c r="AH40" s="197"/>
      <c r="AI40" s="197"/>
      <c r="AJ40" s="197"/>
      <c r="AK40" s="197"/>
      <c r="AL40" s="197"/>
      <c r="AM40" s="197"/>
      <c r="AN40" s="197"/>
      <c r="AO40" s="197"/>
      <c r="AP40" s="197"/>
      <c r="AQ40" s="197"/>
      <c r="AR40" s="197"/>
      <c r="AS40" s="197"/>
      <c r="AT40" s="197"/>
      <c r="AU40" s="197"/>
      <c r="AV40" s="197"/>
      <c r="AW40" s="197"/>
      <c r="AX40" s="197"/>
      <c r="AY40" s="197"/>
      <c r="AZ40" s="197"/>
      <c r="BA40" s="197"/>
      <c r="BB40" s="197"/>
      <c r="BC40" s="197"/>
      <c r="BD40" s="197"/>
      <c r="BE40" s="197"/>
      <c r="BF40" s="197"/>
      <c r="BG40" s="197"/>
      <c r="BH40" s="197"/>
      <c r="BI40" s="197"/>
      <c r="BJ40" s="197"/>
      <c r="BK40" s="197"/>
      <c r="BL40" s="197"/>
      <c r="BM40" s="193"/>
    </row>
    <row r="41" spans="1:65" x14ac:dyDescent="0.25">
      <c r="A41" s="193"/>
      <c r="B41" s="197"/>
      <c r="C41" s="197"/>
      <c r="D41" s="197"/>
      <c r="E41" s="197"/>
      <c r="F41" s="197"/>
      <c r="G41" s="197"/>
      <c r="H41" s="197"/>
      <c r="I41" s="197"/>
      <c r="J41" s="197"/>
      <c r="K41" s="197"/>
      <c r="L41" s="197"/>
      <c r="M41" s="197"/>
      <c r="N41" s="197"/>
      <c r="O41" s="197"/>
      <c r="P41" s="197"/>
      <c r="Q41" s="197"/>
      <c r="R41" s="197"/>
      <c r="S41" s="197"/>
      <c r="T41" s="197"/>
      <c r="U41" s="197"/>
      <c r="V41" s="197"/>
      <c r="W41" s="197"/>
      <c r="X41" s="197"/>
      <c r="Y41" s="197"/>
      <c r="Z41" s="197"/>
      <c r="AA41" s="197"/>
      <c r="AB41" s="197"/>
      <c r="AC41" s="197"/>
      <c r="AD41" s="197"/>
      <c r="AE41" s="197"/>
      <c r="AF41" s="197"/>
      <c r="AG41" s="194"/>
      <c r="AH41" s="197"/>
      <c r="AI41" s="197"/>
      <c r="AJ41" s="197"/>
      <c r="AK41" s="197"/>
      <c r="AL41" s="197"/>
      <c r="AM41" s="197"/>
      <c r="AN41" s="197"/>
      <c r="AO41" s="197"/>
      <c r="AP41" s="197"/>
      <c r="AQ41" s="197"/>
      <c r="AR41" s="197"/>
      <c r="AS41" s="197"/>
      <c r="AT41" s="197"/>
      <c r="AU41" s="197"/>
      <c r="AV41" s="197"/>
      <c r="AW41" s="197"/>
      <c r="AX41" s="197"/>
      <c r="AY41" s="197"/>
      <c r="AZ41" s="197"/>
      <c r="BA41" s="197"/>
      <c r="BB41" s="197"/>
      <c r="BC41" s="197"/>
      <c r="BD41" s="197"/>
      <c r="BE41" s="197"/>
      <c r="BF41" s="197"/>
      <c r="BG41" s="197"/>
      <c r="BH41" s="197"/>
      <c r="BI41" s="197"/>
      <c r="BJ41" s="197"/>
      <c r="BK41" s="197"/>
      <c r="BL41" s="197"/>
      <c r="BM41" s="193"/>
    </row>
    <row r="42" spans="1:65" x14ac:dyDescent="0.25">
      <c r="A42" s="193"/>
      <c r="B42" s="197"/>
      <c r="C42" s="197"/>
      <c r="D42" s="197"/>
      <c r="E42" s="197"/>
      <c r="F42" s="197"/>
      <c r="G42" s="197"/>
      <c r="H42" s="197"/>
      <c r="I42" s="197"/>
      <c r="J42" s="197"/>
      <c r="K42" s="197"/>
      <c r="L42" s="197"/>
      <c r="M42" s="197"/>
      <c r="N42" s="197"/>
      <c r="O42" s="197"/>
      <c r="P42" s="197"/>
      <c r="Q42" s="197"/>
      <c r="R42" s="197"/>
      <c r="S42" s="197"/>
      <c r="T42" s="197"/>
      <c r="U42" s="197"/>
      <c r="V42" s="197"/>
      <c r="W42" s="197"/>
      <c r="X42" s="197"/>
      <c r="Y42" s="197"/>
      <c r="Z42" s="197"/>
      <c r="AA42" s="197"/>
      <c r="AB42" s="197"/>
      <c r="AC42" s="197"/>
      <c r="AD42" s="197"/>
      <c r="AE42" s="197"/>
      <c r="AF42" s="197"/>
      <c r="AG42" s="194"/>
      <c r="AH42" s="197"/>
      <c r="AI42" s="197"/>
      <c r="AJ42" s="197"/>
      <c r="AK42" s="197"/>
      <c r="AL42" s="197"/>
      <c r="AM42" s="197"/>
      <c r="AN42" s="197"/>
      <c r="AO42" s="197"/>
      <c r="AP42" s="197"/>
      <c r="AQ42" s="197"/>
      <c r="AR42" s="197"/>
      <c r="AS42" s="197"/>
      <c r="AT42" s="197"/>
      <c r="AU42" s="197"/>
      <c r="AV42" s="197"/>
      <c r="AW42" s="197"/>
      <c r="AX42" s="197"/>
      <c r="AY42" s="197"/>
      <c r="AZ42" s="197"/>
      <c r="BA42" s="197"/>
      <c r="BB42" s="197"/>
      <c r="BC42" s="197"/>
      <c r="BD42" s="197"/>
      <c r="BE42" s="197"/>
      <c r="BF42" s="197"/>
      <c r="BG42" s="197"/>
      <c r="BH42" s="197"/>
      <c r="BI42" s="197"/>
      <c r="BJ42" s="197"/>
      <c r="BK42" s="197"/>
      <c r="BL42" s="197"/>
      <c r="BM42" s="193"/>
    </row>
    <row r="43" spans="1:65" x14ac:dyDescent="0.25">
      <c r="A43" s="193"/>
      <c r="B43" s="197"/>
      <c r="C43" s="197"/>
      <c r="D43" s="197"/>
      <c r="E43" s="197"/>
      <c r="F43" s="197"/>
      <c r="G43" s="197"/>
      <c r="H43" s="197"/>
      <c r="I43" s="197"/>
      <c r="J43" s="197"/>
      <c r="K43" s="197"/>
      <c r="L43" s="197"/>
      <c r="M43" s="197"/>
      <c r="N43" s="197"/>
      <c r="O43" s="197"/>
      <c r="P43" s="197"/>
      <c r="Q43" s="197"/>
      <c r="R43" s="197"/>
      <c r="S43" s="197"/>
      <c r="T43" s="197"/>
      <c r="U43" s="197"/>
      <c r="V43" s="197"/>
      <c r="W43" s="197"/>
      <c r="X43" s="197"/>
      <c r="Y43" s="197"/>
      <c r="Z43" s="197"/>
      <c r="AA43" s="197"/>
      <c r="AB43" s="197"/>
      <c r="AC43" s="197"/>
      <c r="AD43" s="197"/>
      <c r="AE43" s="197"/>
      <c r="AF43" s="197"/>
      <c r="AG43" s="194"/>
      <c r="AH43" s="197"/>
      <c r="AI43" s="197"/>
      <c r="AJ43" s="197"/>
      <c r="AK43" s="197"/>
      <c r="AL43" s="197"/>
      <c r="AM43" s="197"/>
      <c r="AN43" s="197"/>
      <c r="AO43" s="197"/>
      <c r="AP43" s="197"/>
      <c r="AQ43" s="197"/>
      <c r="AR43" s="197"/>
      <c r="AS43" s="197"/>
      <c r="AT43" s="197"/>
      <c r="AU43" s="197"/>
      <c r="AV43" s="197"/>
      <c r="AW43" s="197"/>
      <c r="AX43" s="197"/>
      <c r="AY43" s="197"/>
      <c r="AZ43" s="197"/>
      <c r="BA43" s="197"/>
      <c r="BB43" s="197"/>
      <c r="BC43" s="197"/>
      <c r="BD43" s="197"/>
      <c r="BE43" s="197"/>
      <c r="BF43" s="197"/>
      <c r="BG43" s="197"/>
      <c r="BH43" s="197"/>
      <c r="BI43" s="197"/>
      <c r="BJ43" s="197"/>
      <c r="BK43" s="197"/>
      <c r="BL43" s="197"/>
      <c r="BM43" s="193"/>
    </row>
    <row r="44" spans="1:65" x14ac:dyDescent="0.25">
      <c r="A44" s="193"/>
      <c r="B44" s="197"/>
      <c r="C44" s="197"/>
      <c r="D44" s="197"/>
      <c r="E44" s="197"/>
      <c r="F44" s="197"/>
      <c r="G44" s="197"/>
      <c r="H44" s="197"/>
      <c r="I44" s="197"/>
      <c r="J44" s="197"/>
      <c r="K44" s="197"/>
      <c r="L44" s="197"/>
      <c r="M44" s="197"/>
      <c r="N44" s="197"/>
      <c r="O44" s="197"/>
      <c r="P44" s="197"/>
      <c r="Q44" s="197"/>
      <c r="R44" s="197"/>
      <c r="S44" s="197"/>
      <c r="T44" s="197"/>
      <c r="U44" s="197"/>
      <c r="V44" s="197"/>
      <c r="W44" s="197"/>
      <c r="X44" s="197"/>
      <c r="Y44" s="197"/>
      <c r="Z44" s="197"/>
      <c r="AA44" s="197"/>
      <c r="AB44" s="197"/>
      <c r="AC44" s="197"/>
      <c r="AD44" s="197"/>
      <c r="AE44" s="197"/>
      <c r="AF44" s="197"/>
      <c r="AG44" s="194"/>
      <c r="AH44" s="197"/>
      <c r="AI44" s="197"/>
      <c r="AJ44" s="197"/>
      <c r="AK44" s="197"/>
      <c r="AL44" s="197"/>
      <c r="AM44" s="197"/>
      <c r="AN44" s="197"/>
      <c r="AO44" s="197"/>
      <c r="AP44" s="197"/>
      <c r="AQ44" s="197"/>
      <c r="AR44" s="197"/>
      <c r="AS44" s="197"/>
      <c r="AT44" s="197"/>
      <c r="AU44" s="197"/>
      <c r="AV44" s="197"/>
      <c r="AW44" s="197"/>
      <c r="AX44" s="197"/>
      <c r="AY44" s="197"/>
      <c r="AZ44" s="197"/>
      <c r="BA44" s="197"/>
      <c r="BB44" s="197"/>
      <c r="BC44" s="197"/>
      <c r="BD44" s="197"/>
      <c r="BE44" s="197"/>
      <c r="BF44" s="197"/>
      <c r="BG44" s="197"/>
      <c r="BH44" s="197"/>
      <c r="BI44" s="197"/>
      <c r="BJ44" s="197"/>
      <c r="BK44" s="197"/>
      <c r="BL44" s="197"/>
      <c r="BM44" s="193"/>
    </row>
    <row r="45" spans="1:65" x14ac:dyDescent="0.25">
      <c r="A45" s="193"/>
      <c r="B45" s="197"/>
      <c r="C45" s="197"/>
      <c r="D45" s="197"/>
      <c r="E45" s="197"/>
      <c r="F45" s="197"/>
      <c r="G45" s="197"/>
      <c r="H45" s="197"/>
      <c r="I45" s="197"/>
      <c r="J45" s="197"/>
      <c r="K45" s="197"/>
      <c r="L45" s="197"/>
      <c r="M45" s="197"/>
      <c r="N45" s="197"/>
      <c r="O45" s="197"/>
      <c r="P45" s="197"/>
      <c r="Q45" s="197"/>
      <c r="R45" s="197"/>
      <c r="S45" s="197"/>
      <c r="T45" s="197"/>
      <c r="U45" s="197"/>
      <c r="V45" s="197"/>
      <c r="W45" s="197"/>
      <c r="X45" s="197"/>
      <c r="Y45" s="197"/>
      <c r="Z45" s="197"/>
      <c r="AA45" s="197"/>
      <c r="AB45" s="197"/>
      <c r="AC45" s="197"/>
      <c r="AD45" s="197"/>
      <c r="AE45" s="197"/>
      <c r="AF45" s="197"/>
      <c r="AG45" s="194"/>
      <c r="AH45" s="197"/>
      <c r="AI45" s="197"/>
      <c r="AJ45" s="197"/>
      <c r="AK45" s="197"/>
      <c r="AL45" s="197"/>
      <c r="AM45" s="197"/>
      <c r="AN45" s="197"/>
      <c r="AO45" s="197"/>
      <c r="AP45" s="197"/>
      <c r="AQ45" s="197"/>
      <c r="AR45" s="197"/>
      <c r="AS45" s="197"/>
      <c r="AT45" s="197"/>
      <c r="AU45" s="197"/>
      <c r="AV45" s="197"/>
      <c r="AW45" s="197"/>
      <c r="AX45" s="197"/>
      <c r="AY45" s="197"/>
      <c r="AZ45" s="197"/>
      <c r="BA45" s="197"/>
      <c r="BB45" s="197"/>
      <c r="BC45" s="197"/>
      <c r="BD45" s="197"/>
      <c r="BE45" s="197"/>
      <c r="BF45" s="197"/>
      <c r="BG45" s="197"/>
      <c r="BH45" s="197"/>
      <c r="BI45" s="197"/>
      <c r="BJ45" s="197"/>
      <c r="BK45" s="197"/>
      <c r="BL45" s="197"/>
      <c r="BM45" s="193"/>
    </row>
    <row r="46" spans="1:65" x14ac:dyDescent="0.25">
      <c r="A46" s="193"/>
      <c r="B46" s="197"/>
      <c r="C46" s="197"/>
      <c r="D46" s="197"/>
      <c r="E46" s="197"/>
      <c r="F46" s="197"/>
      <c r="G46" s="197"/>
      <c r="H46" s="197"/>
      <c r="I46" s="197"/>
      <c r="J46" s="197"/>
      <c r="K46" s="197"/>
      <c r="L46" s="197"/>
      <c r="M46" s="197"/>
      <c r="N46" s="197"/>
      <c r="O46" s="197"/>
      <c r="P46" s="197"/>
      <c r="Q46" s="197"/>
      <c r="R46" s="197"/>
      <c r="S46" s="197"/>
      <c r="T46" s="197"/>
      <c r="U46" s="197"/>
      <c r="V46" s="197"/>
      <c r="W46" s="197"/>
      <c r="X46" s="197"/>
      <c r="Y46" s="197"/>
      <c r="Z46" s="197"/>
      <c r="AA46" s="197"/>
      <c r="AB46" s="197"/>
      <c r="AC46" s="197"/>
      <c r="AD46" s="197"/>
      <c r="AE46" s="197"/>
      <c r="AF46" s="197"/>
      <c r="AG46" s="194"/>
      <c r="AH46" s="197"/>
      <c r="AI46" s="197"/>
      <c r="AJ46" s="197"/>
      <c r="AK46" s="197"/>
      <c r="AL46" s="197"/>
      <c r="AM46" s="197"/>
      <c r="AN46" s="197"/>
      <c r="AO46" s="197"/>
      <c r="AP46" s="197"/>
      <c r="AQ46" s="197"/>
      <c r="AR46" s="197"/>
      <c r="AS46" s="197"/>
      <c r="AT46" s="197"/>
      <c r="AU46" s="197"/>
      <c r="AV46" s="197"/>
      <c r="AW46" s="197"/>
      <c r="AX46" s="197"/>
      <c r="AY46" s="197"/>
      <c r="AZ46" s="197"/>
      <c r="BA46" s="197"/>
      <c r="BB46" s="197"/>
      <c r="BC46" s="197"/>
      <c r="BD46" s="197"/>
      <c r="BE46" s="197"/>
      <c r="BF46" s="197"/>
      <c r="BG46" s="197"/>
      <c r="BH46" s="197"/>
      <c r="BI46" s="197"/>
      <c r="BJ46" s="197"/>
      <c r="BK46" s="197"/>
      <c r="BL46" s="197"/>
      <c r="BM46" s="193"/>
    </row>
    <row r="47" spans="1:65" x14ac:dyDescent="0.25">
      <c r="A47" s="193"/>
      <c r="B47" s="197"/>
      <c r="C47" s="197"/>
      <c r="D47" s="197"/>
      <c r="E47" s="197"/>
      <c r="F47" s="197"/>
      <c r="G47" s="197"/>
      <c r="H47" s="197"/>
      <c r="I47" s="197"/>
      <c r="J47" s="197"/>
      <c r="K47" s="197"/>
      <c r="L47" s="197"/>
      <c r="M47" s="197"/>
      <c r="N47" s="197"/>
      <c r="O47" s="197"/>
      <c r="P47" s="197"/>
      <c r="Q47" s="197"/>
      <c r="R47" s="197"/>
      <c r="S47" s="197"/>
      <c r="T47" s="197"/>
      <c r="U47" s="197"/>
      <c r="V47" s="197"/>
      <c r="W47" s="197"/>
      <c r="X47" s="197"/>
      <c r="Y47" s="197"/>
      <c r="Z47" s="197"/>
      <c r="AA47" s="197"/>
      <c r="AB47" s="197"/>
      <c r="AC47" s="197"/>
      <c r="AD47" s="197"/>
      <c r="AE47" s="197"/>
      <c r="AF47" s="197"/>
      <c r="AG47" s="194"/>
      <c r="AH47" s="197"/>
      <c r="AI47" s="197"/>
      <c r="AJ47" s="197"/>
      <c r="AK47" s="197"/>
      <c r="AL47" s="197"/>
      <c r="AM47" s="197"/>
      <c r="AN47" s="197"/>
      <c r="AO47" s="197"/>
      <c r="AP47" s="197"/>
      <c r="AQ47" s="197"/>
      <c r="AR47" s="197"/>
      <c r="AS47" s="197"/>
      <c r="AT47" s="197"/>
      <c r="AU47" s="197"/>
      <c r="AV47" s="197"/>
      <c r="AW47" s="197"/>
      <c r="AX47" s="197"/>
      <c r="AY47" s="197"/>
      <c r="AZ47" s="197"/>
      <c r="BA47" s="197"/>
      <c r="BB47" s="197"/>
      <c r="BC47" s="197"/>
      <c r="BD47" s="197"/>
      <c r="BE47" s="197"/>
      <c r="BF47" s="197"/>
      <c r="BG47" s="197"/>
      <c r="BH47" s="197"/>
      <c r="BI47" s="197"/>
      <c r="BJ47" s="197"/>
      <c r="BK47" s="197"/>
      <c r="BL47" s="197"/>
      <c r="BM47" s="193"/>
    </row>
    <row r="48" spans="1:65" x14ac:dyDescent="0.25">
      <c r="A48" s="193"/>
      <c r="B48" s="197"/>
      <c r="C48" s="197"/>
      <c r="D48" s="197"/>
      <c r="E48" s="197"/>
      <c r="F48" s="197"/>
      <c r="G48" s="197"/>
      <c r="H48" s="197"/>
      <c r="I48" s="197"/>
      <c r="J48" s="197"/>
      <c r="K48" s="197"/>
      <c r="L48" s="197"/>
      <c r="M48" s="197"/>
      <c r="N48" s="197"/>
      <c r="O48" s="197"/>
      <c r="P48" s="197"/>
      <c r="Q48" s="197"/>
      <c r="R48" s="197"/>
      <c r="S48" s="197"/>
      <c r="T48" s="197"/>
      <c r="U48" s="197"/>
      <c r="V48" s="197"/>
      <c r="W48" s="197"/>
      <c r="X48" s="197"/>
      <c r="Y48" s="197"/>
      <c r="Z48" s="197"/>
      <c r="AA48" s="197"/>
      <c r="AB48" s="197"/>
      <c r="AC48" s="197"/>
      <c r="AD48" s="197"/>
      <c r="AE48" s="197"/>
      <c r="AF48" s="197"/>
      <c r="AG48" s="194"/>
      <c r="AH48" s="197"/>
      <c r="AI48" s="197"/>
      <c r="AJ48" s="197"/>
      <c r="AK48" s="197"/>
      <c r="AL48" s="197"/>
      <c r="AM48" s="197"/>
      <c r="AN48" s="197"/>
      <c r="AO48" s="197"/>
      <c r="AP48" s="197"/>
      <c r="AQ48" s="197"/>
      <c r="AR48" s="197"/>
      <c r="AS48" s="197"/>
      <c r="AT48" s="197"/>
      <c r="AU48" s="197"/>
      <c r="AV48" s="197"/>
      <c r="AW48" s="197"/>
      <c r="AX48" s="197"/>
      <c r="AY48" s="197"/>
      <c r="AZ48" s="197"/>
      <c r="BA48" s="197"/>
      <c r="BB48" s="197"/>
      <c r="BC48" s="197"/>
      <c r="BD48" s="197"/>
      <c r="BE48" s="197"/>
      <c r="BF48" s="197"/>
      <c r="BG48" s="197"/>
      <c r="BH48" s="197"/>
      <c r="BI48" s="197"/>
      <c r="BJ48" s="197"/>
      <c r="BK48" s="197"/>
      <c r="BL48" s="197"/>
      <c r="BM48" s="193"/>
    </row>
    <row r="49" spans="1:65" x14ac:dyDescent="0.25">
      <c r="A49" s="193"/>
      <c r="B49" s="193"/>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4"/>
      <c r="AH49" s="193"/>
      <c r="AI49" s="193"/>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row>
    <row r="50" spans="1:65" x14ac:dyDescent="0.25">
      <c r="A50" s="193"/>
      <c r="B50" s="197"/>
      <c r="C50" s="197"/>
      <c r="D50" s="197"/>
      <c r="E50" s="197"/>
      <c r="F50" s="197"/>
      <c r="G50" s="197"/>
      <c r="H50" s="197"/>
      <c r="I50" s="197"/>
      <c r="J50" s="197"/>
      <c r="K50" s="197"/>
      <c r="L50" s="197"/>
      <c r="M50" s="197"/>
      <c r="N50" s="197"/>
      <c r="O50" s="197"/>
      <c r="P50" s="197"/>
      <c r="Q50" s="197"/>
      <c r="R50" s="197"/>
      <c r="S50" s="197"/>
      <c r="T50" s="197"/>
      <c r="U50" s="197"/>
      <c r="V50" s="197"/>
      <c r="W50" s="197"/>
      <c r="X50" s="197"/>
      <c r="Y50" s="197"/>
      <c r="Z50" s="197"/>
      <c r="AA50" s="197"/>
      <c r="AB50" s="197"/>
      <c r="AC50" s="197"/>
      <c r="AD50" s="197"/>
      <c r="AE50" s="197"/>
      <c r="AF50" s="197"/>
      <c r="AG50" s="194"/>
      <c r="AH50" s="197"/>
      <c r="AI50" s="197"/>
      <c r="AJ50" s="197"/>
      <c r="AK50" s="197"/>
      <c r="AL50" s="197"/>
      <c r="AM50" s="197"/>
      <c r="AN50" s="197"/>
      <c r="AO50" s="197"/>
      <c r="AP50" s="197"/>
      <c r="AQ50" s="197"/>
      <c r="AR50" s="197"/>
      <c r="AS50" s="197"/>
      <c r="AT50" s="197"/>
      <c r="AU50" s="197"/>
      <c r="AV50" s="197"/>
      <c r="AW50" s="197"/>
      <c r="AX50" s="197"/>
      <c r="AY50" s="197"/>
      <c r="AZ50" s="197"/>
      <c r="BA50" s="197"/>
      <c r="BB50" s="197"/>
      <c r="BC50" s="197"/>
      <c r="BD50" s="197"/>
      <c r="BE50" s="197"/>
      <c r="BF50" s="197"/>
      <c r="BG50" s="197"/>
      <c r="BH50" s="197"/>
      <c r="BI50" s="197"/>
      <c r="BJ50" s="197"/>
      <c r="BK50" s="197"/>
      <c r="BL50" s="197"/>
      <c r="BM50" s="193"/>
    </row>
    <row r="51" spans="1:65" x14ac:dyDescent="0.25">
      <c r="A51" s="193"/>
      <c r="B51" s="197"/>
      <c r="C51" s="197"/>
      <c r="D51" s="197"/>
      <c r="E51" s="197"/>
      <c r="F51" s="197"/>
      <c r="G51" s="197"/>
      <c r="H51" s="197"/>
      <c r="I51" s="197"/>
      <c r="J51" s="197"/>
      <c r="K51" s="197"/>
      <c r="L51" s="197"/>
      <c r="M51" s="197"/>
      <c r="N51" s="197"/>
      <c r="O51" s="197"/>
      <c r="P51" s="197"/>
      <c r="Q51" s="197"/>
      <c r="R51" s="197"/>
      <c r="S51" s="197"/>
      <c r="T51" s="197"/>
      <c r="U51" s="197"/>
      <c r="V51" s="197"/>
      <c r="W51" s="197"/>
      <c r="X51" s="197"/>
      <c r="Y51" s="197"/>
      <c r="Z51" s="197"/>
      <c r="AA51" s="197"/>
      <c r="AB51" s="197"/>
      <c r="AC51" s="197"/>
      <c r="AD51" s="197"/>
      <c r="AE51" s="197"/>
      <c r="AF51" s="197"/>
      <c r="AG51" s="194"/>
      <c r="AH51" s="197"/>
      <c r="AI51" s="197"/>
      <c r="AJ51" s="197"/>
      <c r="AK51" s="197"/>
      <c r="AL51" s="197"/>
      <c r="AM51" s="197"/>
      <c r="AN51" s="197"/>
      <c r="AO51" s="197"/>
      <c r="AP51" s="197"/>
      <c r="AQ51" s="197"/>
      <c r="AR51" s="197"/>
      <c r="AS51" s="197"/>
      <c r="AT51" s="197"/>
      <c r="AU51" s="197"/>
      <c r="AV51" s="197"/>
      <c r="AW51" s="197"/>
      <c r="AX51" s="197"/>
      <c r="AY51" s="197"/>
      <c r="AZ51" s="197"/>
      <c r="BA51" s="197"/>
      <c r="BB51" s="197"/>
      <c r="BC51" s="197"/>
      <c r="BD51" s="197"/>
      <c r="BE51" s="197"/>
      <c r="BF51" s="197"/>
      <c r="BG51" s="197"/>
      <c r="BH51" s="197"/>
      <c r="BI51" s="197"/>
      <c r="BJ51" s="197"/>
      <c r="BK51" s="197"/>
      <c r="BL51" s="197"/>
      <c r="BM51" s="193"/>
    </row>
    <row r="52" spans="1:65" x14ac:dyDescent="0.25">
      <c r="A52" s="193"/>
      <c r="B52" s="197"/>
      <c r="C52" s="197"/>
      <c r="D52" s="197"/>
      <c r="E52" s="197"/>
      <c r="F52" s="197"/>
      <c r="G52" s="197"/>
      <c r="H52" s="197"/>
      <c r="I52" s="197"/>
      <c r="J52" s="197"/>
      <c r="K52" s="197"/>
      <c r="L52" s="197"/>
      <c r="M52" s="197"/>
      <c r="N52" s="197"/>
      <c r="O52" s="197"/>
      <c r="P52" s="197"/>
      <c r="Q52" s="197"/>
      <c r="R52" s="197"/>
      <c r="S52" s="197"/>
      <c r="T52" s="197"/>
      <c r="U52" s="197"/>
      <c r="V52" s="197"/>
      <c r="W52" s="197"/>
      <c r="X52" s="197"/>
      <c r="Y52" s="197"/>
      <c r="Z52" s="197"/>
      <c r="AA52" s="197"/>
      <c r="AB52" s="197"/>
      <c r="AC52" s="197"/>
      <c r="AD52" s="197"/>
      <c r="AE52" s="197"/>
      <c r="AF52" s="197"/>
      <c r="AG52" s="194"/>
      <c r="AH52" s="197"/>
      <c r="AI52" s="197"/>
      <c r="AJ52" s="197"/>
      <c r="AK52" s="197"/>
      <c r="AL52" s="197"/>
      <c r="AM52" s="197"/>
      <c r="AN52" s="197"/>
      <c r="AO52" s="197"/>
      <c r="AP52" s="197"/>
      <c r="AQ52" s="197"/>
      <c r="AR52" s="197"/>
      <c r="AS52" s="197"/>
      <c r="AT52" s="197"/>
      <c r="AU52" s="197"/>
      <c r="AV52" s="197"/>
      <c r="AW52" s="197"/>
      <c r="AX52" s="197"/>
      <c r="AY52" s="197"/>
      <c r="AZ52" s="197"/>
      <c r="BA52" s="197"/>
      <c r="BB52" s="197"/>
      <c r="BC52" s="197"/>
      <c r="BD52" s="197"/>
      <c r="BE52" s="197"/>
      <c r="BF52" s="197"/>
      <c r="BG52" s="197"/>
      <c r="BH52" s="197"/>
      <c r="BI52" s="197"/>
      <c r="BJ52" s="197"/>
      <c r="BK52" s="197"/>
      <c r="BL52" s="197"/>
      <c r="BM52" s="193"/>
    </row>
    <row r="53" spans="1:65" x14ac:dyDescent="0.25">
      <c r="A53" s="193"/>
      <c r="B53" s="197"/>
      <c r="C53" s="197"/>
      <c r="D53" s="197"/>
      <c r="E53" s="197"/>
      <c r="F53" s="197"/>
      <c r="G53" s="197"/>
      <c r="H53" s="197"/>
      <c r="I53" s="197"/>
      <c r="J53" s="197"/>
      <c r="K53" s="197"/>
      <c r="L53" s="197"/>
      <c r="M53" s="197"/>
      <c r="N53" s="197"/>
      <c r="O53" s="197"/>
      <c r="P53" s="197"/>
      <c r="Q53" s="197"/>
      <c r="R53" s="197"/>
      <c r="S53" s="197"/>
      <c r="T53" s="197"/>
      <c r="U53" s="197"/>
      <c r="V53" s="197"/>
      <c r="W53" s="197"/>
      <c r="X53" s="197"/>
      <c r="Y53" s="197"/>
      <c r="Z53" s="197"/>
      <c r="AA53" s="197"/>
      <c r="AB53" s="197"/>
      <c r="AC53" s="197"/>
      <c r="AD53" s="197"/>
      <c r="AE53" s="197"/>
      <c r="AF53" s="197"/>
      <c r="AG53" s="194"/>
      <c r="AH53" s="197"/>
      <c r="AI53" s="197"/>
      <c r="AJ53" s="197"/>
      <c r="AK53" s="197"/>
      <c r="AL53" s="197"/>
      <c r="AM53" s="197"/>
      <c r="AN53" s="197"/>
      <c r="AO53" s="197"/>
      <c r="AP53" s="197"/>
      <c r="AQ53" s="197"/>
      <c r="AR53" s="197"/>
      <c r="AS53" s="197"/>
      <c r="AT53" s="197"/>
      <c r="AU53" s="197"/>
      <c r="AV53" s="197"/>
      <c r="AW53" s="197"/>
      <c r="AX53" s="197"/>
      <c r="AY53" s="197"/>
      <c r="AZ53" s="197"/>
      <c r="BA53" s="197"/>
      <c r="BB53" s="197"/>
      <c r="BC53" s="197"/>
      <c r="BD53" s="197"/>
      <c r="BE53" s="197"/>
      <c r="BF53" s="197"/>
      <c r="BG53" s="197"/>
      <c r="BH53" s="197"/>
      <c r="BI53" s="197"/>
      <c r="BJ53" s="197"/>
      <c r="BK53" s="197"/>
      <c r="BL53" s="197"/>
      <c r="BM53" s="193"/>
    </row>
    <row r="54" spans="1:65" x14ac:dyDescent="0.25">
      <c r="A54" s="193"/>
      <c r="B54" s="197"/>
      <c r="C54" s="197"/>
      <c r="D54" s="197"/>
      <c r="E54" s="197"/>
      <c r="F54" s="197"/>
      <c r="G54" s="197"/>
      <c r="H54" s="197"/>
      <c r="I54" s="197"/>
      <c r="J54" s="197"/>
      <c r="K54" s="197"/>
      <c r="L54" s="197"/>
      <c r="M54" s="197"/>
      <c r="N54" s="197"/>
      <c r="O54" s="197"/>
      <c r="P54" s="197"/>
      <c r="Q54" s="197"/>
      <c r="R54" s="197"/>
      <c r="S54" s="197"/>
      <c r="T54" s="197"/>
      <c r="U54" s="197"/>
      <c r="V54" s="197"/>
      <c r="W54" s="197"/>
      <c r="X54" s="197"/>
      <c r="Y54" s="197"/>
      <c r="Z54" s="197"/>
      <c r="AA54" s="197"/>
      <c r="AB54" s="197"/>
      <c r="AC54" s="197"/>
      <c r="AD54" s="197"/>
      <c r="AE54" s="197"/>
      <c r="AF54" s="197"/>
      <c r="AG54" s="194"/>
      <c r="AH54" s="197"/>
      <c r="AI54" s="197"/>
      <c r="AJ54" s="197"/>
      <c r="AK54" s="197"/>
      <c r="AL54" s="197"/>
      <c r="AM54" s="197"/>
      <c r="AN54" s="197"/>
      <c r="AO54" s="197"/>
      <c r="AP54" s="197"/>
      <c r="AQ54" s="197"/>
      <c r="AR54" s="197"/>
      <c r="AS54" s="197"/>
      <c r="AT54" s="197"/>
      <c r="AU54" s="197"/>
      <c r="AV54" s="197"/>
      <c r="AW54" s="197"/>
      <c r="AX54" s="197"/>
      <c r="AY54" s="197"/>
      <c r="AZ54" s="197"/>
      <c r="BA54" s="197"/>
      <c r="BB54" s="197"/>
      <c r="BC54" s="197"/>
      <c r="BD54" s="197"/>
      <c r="BE54" s="197"/>
      <c r="BF54" s="197"/>
      <c r="BG54" s="197"/>
      <c r="BH54" s="197"/>
      <c r="BI54" s="197"/>
      <c r="BJ54" s="197"/>
      <c r="BK54" s="197"/>
      <c r="BL54" s="197"/>
      <c r="BM54" s="193"/>
    </row>
    <row r="55" spans="1:65" x14ac:dyDescent="0.25">
      <c r="A55" s="193"/>
      <c r="B55" s="197"/>
      <c r="C55" s="197"/>
      <c r="D55" s="197"/>
      <c r="E55" s="197"/>
      <c r="F55" s="197"/>
      <c r="G55" s="197"/>
      <c r="H55" s="197"/>
      <c r="I55" s="197"/>
      <c r="J55" s="197"/>
      <c r="K55" s="197"/>
      <c r="L55" s="197"/>
      <c r="M55" s="197"/>
      <c r="N55" s="197"/>
      <c r="O55" s="197"/>
      <c r="P55" s="197"/>
      <c r="Q55" s="197"/>
      <c r="R55" s="197"/>
      <c r="S55" s="197"/>
      <c r="T55" s="197"/>
      <c r="U55" s="197"/>
      <c r="V55" s="197"/>
      <c r="W55" s="197"/>
      <c r="X55" s="197"/>
      <c r="Y55" s="197"/>
      <c r="Z55" s="197"/>
      <c r="AA55" s="197"/>
      <c r="AB55" s="197"/>
      <c r="AC55" s="197"/>
      <c r="AD55" s="197"/>
      <c r="AE55" s="197"/>
      <c r="AF55" s="197"/>
      <c r="AG55" s="194"/>
      <c r="AH55" s="197"/>
      <c r="AI55" s="197"/>
      <c r="AJ55" s="197"/>
      <c r="AK55" s="197"/>
      <c r="AL55" s="197"/>
      <c r="AM55" s="197"/>
      <c r="AN55" s="197"/>
      <c r="AO55" s="197"/>
      <c r="AP55" s="197"/>
      <c r="AQ55" s="197"/>
      <c r="AR55" s="197"/>
      <c r="AS55" s="197"/>
      <c r="AT55" s="197"/>
      <c r="AU55" s="197"/>
      <c r="AV55" s="197"/>
      <c r="AW55" s="197"/>
      <c r="AX55" s="197"/>
      <c r="AY55" s="197"/>
      <c r="AZ55" s="197"/>
      <c r="BA55" s="197"/>
      <c r="BB55" s="197"/>
      <c r="BC55" s="197"/>
      <c r="BD55" s="197"/>
      <c r="BE55" s="197"/>
      <c r="BF55" s="197"/>
      <c r="BG55" s="197"/>
      <c r="BH55" s="197"/>
      <c r="BI55" s="197"/>
      <c r="BJ55" s="197"/>
      <c r="BK55" s="197"/>
      <c r="BL55" s="197"/>
      <c r="BM55" s="193"/>
    </row>
    <row r="56" spans="1:65" x14ac:dyDescent="0.25">
      <c r="A56" s="193"/>
      <c r="B56" s="197"/>
      <c r="C56" s="197"/>
      <c r="D56" s="197"/>
      <c r="E56" s="197"/>
      <c r="F56" s="197"/>
      <c r="G56" s="197"/>
      <c r="H56" s="197"/>
      <c r="I56" s="197"/>
      <c r="J56" s="197"/>
      <c r="K56" s="197"/>
      <c r="L56" s="197"/>
      <c r="M56" s="197"/>
      <c r="N56" s="197"/>
      <c r="O56" s="197"/>
      <c r="P56" s="197"/>
      <c r="Q56" s="197"/>
      <c r="R56" s="197"/>
      <c r="S56" s="197"/>
      <c r="T56" s="197"/>
      <c r="U56" s="197"/>
      <c r="V56" s="197"/>
      <c r="W56" s="197"/>
      <c r="X56" s="197"/>
      <c r="Y56" s="197"/>
      <c r="Z56" s="197"/>
      <c r="AA56" s="197"/>
      <c r="AB56" s="197"/>
      <c r="AC56" s="197"/>
      <c r="AD56" s="197"/>
      <c r="AE56" s="197"/>
      <c r="AF56" s="197"/>
      <c r="AG56" s="194"/>
      <c r="AH56" s="197"/>
      <c r="AI56" s="197"/>
      <c r="AJ56" s="197"/>
      <c r="AK56" s="197"/>
      <c r="AL56" s="197"/>
      <c r="AM56" s="197"/>
      <c r="AN56" s="197"/>
      <c r="AO56" s="197"/>
      <c r="AP56" s="197"/>
      <c r="AQ56" s="197"/>
      <c r="AR56" s="197"/>
      <c r="AS56" s="197"/>
      <c r="AT56" s="197"/>
      <c r="AU56" s="197"/>
      <c r="AV56" s="197"/>
      <c r="AW56" s="197"/>
      <c r="AX56" s="197"/>
      <c r="AY56" s="197"/>
      <c r="AZ56" s="197"/>
      <c r="BA56" s="197"/>
      <c r="BB56" s="197"/>
      <c r="BC56" s="197"/>
      <c r="BD56" s="197"/>
      <c r="BE56" s="197"/>
      <c r="BF56" s="197"/>
      <c r="BG56" s="197"/>
      <c r="BH56" s="197"/>
      <c r="BI56" s="197"/>
      <c r="BJ56" s="197"/>
      <c r="BK56" s="197"/>
      <c r="BL56" s="197"/>
      <c r="BM56" s="193"/>
    </row>
    <row r="57" spans="1:65" x14ac:dyDescent="0.25">
      <c r="A57" s="193"/>
      <c r="B57" s="197"/>
      <c r="C57" s="197"/>
      <c r="D57" s="197"/>
      <c r="E57" s="197"/>
      <c r="F57" s="197"/>
      <c r="G57" s="197"/>
      <c r="H57" s="197"/>
      <c r="I57" s="197"/>
      <c r="J57" s="197"/>
      <c r="K57" s="197"/>
      <c r="L57" s="197"/>
      <c r="M57" s="197"/>
      <c r="N57" s="197"/>
      <c r="O57" s="197"/>
      <c r="P57" s="197"/>
      <c r="Q57" s="197"/>
      <c r="R57" s="197"/>
      <c r="S57" s="197"/>
      <c r="T57" s="197"/>
      <c r="U57" s="197"/>
      <c r="V57" s="197"/>
      <c r="W57" s="197"/>
      <c r="X57" s="197"/>
      <c r="Y57" s="197"/>
      <c r="Z57" s="197"/>
      <c r="AA57" s="197"/>
      <c r="AB57" s="197"/>
      <c r="AC57" s="197"/>
      <c r="AD57" s="197"/>
      <c r="AE57" s="197"/>
      <c r="AF57" s="197"/>
      <c r="AG57" s="194"/>
      <c r="AH57" s="197"/>
      <c r="AI57" s="197"/>
      <c r="AJ57" s="197"/>
      <c r="AK57" s="197"/>
      <c r="AL57" s="197"/>
      <c r="AM57" s="197"/>
      <c r="AN57" s="197"/>
      <c r="AO57" s="197"/>
      <c r="AP57" s="197"/>
      <c r="AQ57" s="197"/>
      <c r="AR57" s="197"/>
      <c r="AS57" s="197"/>
      <c r="AT57" s="197"/>
      <c r="AU57" s="197"/>
      <c r="AV57" s="197"/>
      <c r="AW57" s="197"/>
      <c r="AX57" s="197"/>
      <c r="AY57" s="197"/>
      <c r="AZ57" s="197"/>
      <c r="BA57" s="197"/>
      <c r="BB57" s="197"/>
      <c r="BC57" s="197"/>
      <c r="BD57" s="197"/>
      <c r="BE57" s="197"/>
      <c r="BF57" s="197"/>
      <c r="BG57" s="197"/>
      <c r="BH57" s="197"/>
      <c r="BI57" s="197"/>
      <c r="BJ57" s="197"/>
      <c r="BK57" s="197"/>
      <c r="BL57" s="197"/>
      <c r="BM57" s="193"/>
    </row>
    <row r="58" spans="1:65" x14ac:dyDescent="0.25">
      <c r="A58" s="193"/>
      <c r="B58" s="197"/>
      <c r="C58" s="197"/>
      <c r="D58" s="197"/>
      <c r="E58" s="197"/>
      <c r="F58" s="197"/>
      <c r="G58" s="197"/>
      <c r="H58" s="197"/>
      <c r="I58" s="197"/>
      <c r="J58" s="197"/>
      <c r="K58" s="197"/>
      <c r="L58" s="197"/>
      <c r="M58" s="197"/>
      <c r="N58" s="197"/>
      <c r="O58" s="197"/>
      <c r="P58" s="197"/>
      <c r="Q58" s="197"/>
      <c r="R58" s="197"/>
      <c r="S58" s="197"/>
      <c r="T58" s="197"/>
      <c r="U58" s="197"/>
      <c r="V58" s="197"/>
      <c r="W58" s="197"/>
      <c r="X58" s="197"/>
      <c r="Y58" s="197"/>
      <c r="Z58" s="197"/>
      <c r="AA58" s="197"/>
      <c r="AB58" s="197"/>
      <c r="AC58" s="197"/>
      <c r="AD58" s="197"/>
      <c r="AE58" s="197"/>
      <c r="AF58" s="197"/>
      <c r="AG58" s="194"/>
      <c r="AH58" s="197"/>
      <c r="AI58" s="197"/>
      <c r="AJ58" s="197"/>
      <c r="AK58" s="197"/>
      <c r="AL58" s="197"/>
      <c r="AM58" s="197"/>
      <c r="AN58" s="197"/>
      <c r="AO58" s="197"/>
      <c r="AP58" s="197"/>
      <c r="AQ58" s="197"/>
      <c r="AR58" s="197"/>
      <c r="AS58" s="197"/>
      <c r="AT58" s="197"/>
      <c r="AU58" s="197"/>
      <c r="AV58" s="197"/>
      <c r="AW58" s="197"/>
      <c r="AX58" s="197"/>
      <c r="AY58" s="197"/>
      <c r="AZ58" s="197"/>
      <c r="BA58" s="197"/>
      <c r="BB58" s="197"/>
      <c r="BC58" s="197"/>
      <c r="BD58" s="197"/>
      <c r="BE58" s="197"/>
      <c r="BF58" s="197"/>
      <c r="BG58" s="197"/>
      <c r="BH58" s="197"/>
      <c r="BI58" s="197"/>
      <c r="BJ58" s="197"/>
      <c r="BK58" s="197"/>
      <c r="BL58" s="197"/>
      <c r="BM58" s="193"/>
    </row>
    <row r="59" spans="1:65" x14ac:dyDescent="0.25">
      <c r="A59" s="193"/>
      <c r="B59" s="197"/>
      <c r="C59" s="197"/>
      <c r="D59" s="197"/>
      <c r="E59" s="197"/>
      <c r="F59" s="197"/>
      <c r="G59" s="197"/>
      <c r="H59" s="197"/>
      <c r="I59" s="197"/>
      <c r="J59" s="197"/>
      <c r="K59" s="197"/>
      <c r="L59" s="197"/>
      <c r="M59" s="197"/>
      <c r="N59" s="197"/>
      <c r="O59" s="197"/>
      <c r="P59" s="197"/>
      <c r="Q59" s="197"/>
      <c r="R59" s="197"/>
      <c r="S59" s="197"/>
      <c r="T59" s="197"/>
      <c r="U59" s="197"/>
      <c r="V59" s="197"/>
      <c r="W59" s="197"/>
      <c r="X59" s="197"/>
      <c r="Y59" s="197"/>
      <c r="Z59" s="197"/>
      <c r="AA59" s="197"/>
      <c r="AB59" s="197"/>
      <c r="AC59" s="197"/>
      <c r="AD59" s="197"/>
      <c r="AE59" s="197"/>
      <c r="AF59" s="197"/>
      <c r="AG59" s="194"/>
      <c r="AH59" s="197"/>
      <c r="AI59" s="197"/>
      <c r="AJ59" s="197"/>
      <c r="AK59" s="197"/>
      <c r="AL59" s="197"/>
      <c r="AM59" s="197"/>
      <c r="AN59" s="197"/>
      <c r="AO59" s="197"/>
      <c r="AP59" s="197"/>
      <c r="AQ59" s="197"/>
      <c r="AR59" s="197"/>
      <c r="AS59" s="197"/>
      <c r="AT59" s="197"/>
      <c r="AU59" s="197"/>
      <c r="AV59" s="197"/>
      <c r="AW59" s="197"/>
      <c r="AX59" s="197"/>
      <c r="AY59" s="197"/>
      <c r="AZ59" s="197"/>
      <c r="BA59" s="197"/>
      <c r="BB59" s="197"/>
      <c r="BC59" s="197"/>
      <c r="BD59" s="197"/>
      <c r="BE59" s="197"/>
      <c r="BF59" s="197"/>
      <c r="BG59" s="197"/>
      <c r="BH59" s="197"/>
      <c r="BI59" s="197"/>
      <c r="BJ59" s="197"/>
      <c r="BK59" s="197"/>
      <c r="BL59" s="197"/>
      <c r="BM59" s="193"/>
    </row>
    <row r="60" spans="1:65" x14ac:dyDescent="0.25">
      <c r="A60" s="193"/>
      <c r="B60" s="197"/>
      <c r="C60" s="197"/>
      <c r="D60" s="197"/>
      <c r="E60" s="197"/>
      <c r="F60" s="197"/>
      <c r="G60" s="197"/>
      <c r="H60" s="197"/>
      <c r="I60" s="197"/>
      <c r="J60" s="197"/>
      <c r="K60" s="197"/>
      <c r="L60" s="197"/>
      <c r="M60" s="197"/>
      <c r="N60" s="197"/>
      <c r="O60" s="197"/>
      <c r="P60" s="197"/>
      <c r="Q60" s="197"/>
      <c r="R60" s="197"/>
      <c r="S60" s="197"/>
      <c r="T60" s="197"/>
      <c r="U60" s="197"/>
      <c r="V60" s="197"/>
      <c r="W60" s="197"/>
      <c r="X60" s="197"/>
      <c r="Y60" s="197"/>
      <c r="Z60" s="197"/>
      <c r="AA60" s="197"/>
      <c r="AB60" s="197"/>
      <c r="AC60" s="197"/>
      <c r="AD60" s="197"/>
      <c r="AE60" s="197"/>
      <c r="AF60" s="197"/>
      <c r="AG60" s="194"/>
      <c r="AH60" s="197"/>
      <c r="AI60" s="197"/>
      <c r="AJ60" s="197"/>
      <c r="AK60" s="197"/>
      <c r="AL60" s="197"/>
      <c r="AM60" s="197"/>
      <c r="AN60" s="197"/>
      <c r="AO60" s="197"/>
      <c r="AP60" s="197"/>
      <c r="AQ60" s="197"/>
      <c r="AR60" s="197"/>
      <c r="AS60" s="197"/>
      <c r="AT60" s="197"/>
      <c r="AU60" s="197"/>
      <c r="AV60" s="197"/>
      <c r="AW60" s="197"/>
      <c r="AX60" s="197"/>
      <c r="AY60" s="197"/>
      <c r="AZ60" s="197"/>
      <c r="BA60" s="197"/>
      <c r="BB60" s="197"/>
      <c r="BC60" s="197"/>
      <c r="BD60" s="197"/>
      <c r="BE60" s="197"/>
      <c r="BF60" s="197"/>
      <c r="BG60" s="197"/>
      <c r="BH60" s="197"/>
      <c r="BI60" s="197"/>
      <c r="BJ60" s="197"/>
      <c r="BK60" s="197"/>
      <c r="BL60" s="197"/>
      <c r="BM60" s="193"/>
    </row>
    <row r="61" spans="1:65" x14ac:dyDescent="0.25">
      <c r="A61" s="193"/>
      <c r="B61" s="197"/>
      <c r="C61" s="197"/>
      <c r="D61" s="197"/>
      <c r="E61" s="197"/>
      <c r="F61" s="197"/>
      <c r="G61" s="197"/>
      <c r="H61" s="197"/>
      <c r="I61" s="197"/>
      <c r="J61" s="197"/>
      <c r="K61" s="197"/>
      <c r="L61" s="197"/>
      <c r="M61" s="197"/>
      <c r="N61" s="197"/>
      <c r="O61" s="197"/>
      <c r="P61" s="197"/>
      <c r="Q61" s="197"/>
      <c r="R61" s="197"/>
      <c r="S61" s="197"/>
      <c r="T61" s="197"/>
      <c r="U61" s="197"/>
      <c r="V61" s="197"/>
      <c r="W61" s="197"/>
      <c r="X61" s="197"/>
      <c r="Y61" s="197"/>
      <c r="Z61" s="197"/>
      <c r="AA61" s="197"/>
      <c r="AB61" s="197"/>
      <c r="AC61" s="197"/>
      <c r="AD61" s="197"/>
      <c r="AE61" s="197"/>
      <c r="AF61" s="197"/>
      <c r="AG61" s="194"/>
      <c r="AH61" s="197"/>
      <c r="AI61" s="197"/>
      <c r="AJ61" s="197"/>
      <c r="AK61" s="197"/>
      <c r="AL61" s="197"/>
      <c r="AM61" s="197"/>
      <c r="AN61" s="197"/>
      <c r="AO61" s="197"/>
      <c r="AP61" s="197"/>
      <c r="AQ61" s="197"/>
      <c r="AR61" s="197"/>
      <c r="AS61" s="197"/>
      <c r="AT61" s="197"/>
      <c r="AU61" s="197"/>
      <c r="AV61" s="197"/>
      <c r="AW61" s="197"/>
      <c r="AX61" s="197"/>
      <c r="AY61" s="197"/>
      <c r="AZ61" s="197"/>
      <c r="BA61" s="197"/>
      <c r="BB61" s="197"/>
      <c r="BC61" s="197"/>
      <c r="BD61" s="197"/>
      <c r="BE61" s="197"/>
      <c r="BF61" s="197"/>
      <c r="BG61" s="197"/>
      <c r="BH61" s="197"/>
      <c r="BI61" s="197"/>
      <c r="BJ61" s="197"/>
      <c r="BK61" s="197"/>
      <c r="BL61" s="197"/>
      <c r="BM61" s="193"/>
    </row>
    <row r="62" spans="1:65" x14ac:dyDescent="0.25">
      <c r="A62" s="193"/>
      <c r="B62" s="197"/>
      <c r="C62" s="197"/>
      <c r="D62" s="197"/>
      <c r="E62" s="197"/>
      <c r="F62" s="197"/>
      <c r="G62" s="197"/>
      <c r="H62" s="197"/>
      <c r="I62" s="197"/>
      <c r="J62" s="197"/>
      <c r="K62" s="197"/>
      <c r="L62" s="197"/>
      <c r="M62" s="197"/>
      <c r="N62" s="197"/>
      <c r="O62" s="197"/>
      <c r="P62" s="197"/>
      <c r="Q62" s="197"/>
      <c r="R62" s="197"/>
      <c r="S62" s="197"/>
      <c r="T62" s="197"/>
      <c r="U62" s="197"/>
      <c r="V62" s="197"/>
      <c r="W62" s="197"/>
      <c r="X62" s="197"/>
      <c r="Y62" s="197"/>
      <c r="Z62" s="197"/>
      <c r="AA62" s="197"/>
      <c r="AB62" s="197"/>
      <c r="AC62" s="197"/>
      <c r="AD62" s="197"/>
      <c r="AE62" s="197"/>
      <c r="AF62" s="197"/>
      <c r="AG62" s="194"/>
      <c r="AH62" s="197"/>
      <c r="AI62" s="197"/>
      <c r="AJ62" s="197"/>
      <c r="AK62" s="197"/>
      <c r="AL62" s="197"/>
      <c r="AM62" s="197"/>
      <c r="AN62" s="197"/>
      <c r="AO62" s="197"/>
      <c r="AP62" s="197"/>
      <c r="AQ62" s="197"/>
      <c r="AR62" s="197"/>
      <c r="AS62" s="197"/>
      <c r="AT62" s="197"/>
      <c r="AU62" s="197"/>
      <c r="AV62" s="197"/>
      <c r="AW62" s="197"/>
      <c r="AX62" s="197"/>
      <c r="AY62" s="197"/>
      <c r="AZ62" s="197"/>
      <c r="BA62" s="197"/>
      <c r="BB62" s="197"/>
      <c r="BC62" s="197"/>
      <c r="BD62" s="197"/>
      <c r="BE62" s="197"/>
      <c r="BF62" s="197"/>
      <c r="BG62" s="197"/>
      <c r="BH62" s="197"/>
      <c r="BI62" s="197"/>
      <c r="BJ62" s="197"/>
      <c r="BK62" s="197"/>
      <c r="BL62" s="197"/>
      <c r="BM62" s="193"/>
    </row>
    <row r="63" spans="1:65" x14ac:dyDescent="0.25">
      <c r="A63" s="193"/>
      <c r="B63" s="197"/>
      <c r="C63" s="197"/>
      <c r="D63" s="197"/>
      <c r="E63" s="197"/>
      <c r="F63" s="197"/>
      <c r="G63" s="197"/>
      <c r="H63" s="197"/>
      <c r="I63" s="197"/>
      <c r="J63" s="197"/>
      <c r="K63" s="197"/>
      <c r="L63" s="197"/>
      <c r="M63" s="197"/>
      <c r="N63" s="197"/>
      <c r="O63" s="197"/>
      <c r="P63" s="197"/>
      <c r="Q63" s="197"/>
      <c r="R63" s="197"/>
      <c r="S63" s="197"/>
      <c r="T63" s="197"/>
      <c r="U63" s="197"/>
      <c r="V63" s="197"/>
      <c r="W63" s="197"/>
      <c r="X63" s="197"/>
      <c r="Y63" s="197"/>
      <c r="Z63" s="197"/>
      <c r="AA63" s="197"/>
      <c r="AB63" s="197"/>
      <c r="AC63" s="197"/>
      <c r="AD63" s="197"/>
      <c r="AE63" s="197"/>
      <c r="AF63" s="197"/>
      <c r="AG63" s="194"/>
      <c r="AH63" s="197"/>
      <c r="AI63" s="197"/>
      <c r="AJ63" s="197"/>
      <c r="AK63" s="197"/>
      <c r="AL63" s="197"/>
      <c r="AM63" s="197"/>
      <c r="AN63" s="197"/>
      <c r="AO63" s="197"/>
      <c r="AP63" s="197"/>
      <c r="AQ63" s="197"/>
      <c r="AR63" s="197"/>
      <c r="AS63" s="197"/>
      <c r="AT63" s="197"/>
      <c r="AU63" s="197"/>
      <c r="AV63" s="197"/>
      <c r="AW63" s="197"/>
      <c r="AX63" s="197"/>
      <c r="AY63" s="197"/>
      <c r="AZ63" s="197"/>
      <c r="BA63" s="197"/>
      <c r="BB63" s="197"/>
      <c r="BC63" s="197"/>
      <c r="BD63" s="197"/>
      <c r="BE63" s="197"/>
      <c r="BF63" s="197"/>
      <c r="BG63" s="197"/>
      <c r="BH63" s="197"/>
      <c r="BI63" s="197"/>
      <c r="BJ63" s="197"/>
      <c r="BK63" s="197"/>
      <c r="BL63" s="197"/>
      <c r="BM63" s="193"/>
    </row>
    <row r="64" spans="1:65" x14ac:dyDescent="0.25">
      <c r="A64" s="193"/>
      <c r="B64" s="197"/>
      <c r="C64" s="197"/>
      <c r="D64" s="197"/>
      <c r="E64" s="197"/>
      <c r="F64" s="197"/>
      <c r="G64" s="197"/>
      <c r="H64" s="197"/>
      <c r="I64" s="197"/>
      <c r="J64" s="197"/>
      <c r="K64" s="197"/>
      <c r="L64" s="197"/>
      <c r="M64" s="197"/>
      <c r="N64" s="197"/>
      <c r="O64" s="197"/>
      <c r="P64" s="197"/>
      <c r="Q64" s="197"/>
      <c r="R64" s="197"/>
      <c r="S64" s="197"/>
      <c r="T64" s="197"/>
      <c r="U64" s="197"/>
      <c r="V64" s="197"/>
      <c r="W64" s="197"/>
      <c r="X64" s="197"/>
      <c r="Y64" s="197"/>
      <c r="Z64" s="197"/>
      <c r="AA64" s="197"/>
      <c r="AB64" s="197"/>
      <c r="AC64" s="197"/>
      <c r="AD64" s="197"/>
      <c r="AE64" s="197"/>
      <c r="AF64" s="197"/>
      <c r="AG64" s="194"/>
      <c r="AH64" s="197"/>
      <c r="AI64" s="197"/>
      <c r="AJ64" s="197"/>
      <c r="AK64" s="197"/>
      <c r="AL64" s="197"/>
      <c r="AM64" s="197"/>
      <c r="AN64" s="197"/>
      <c r="AO64" s="197"/>
      <c r="AP64" s="197"/>
      <c r="AQ64" s="197"/>
      <c r="AR64" s="197"/>
      <c r="AS64" s="197"/>
      <c r="AT64" s="197"/>
      <c r="AU64" s="197"/>
      <c r="AV64" s="197"/>
      <c r="AW64" s="197"/>
      <c r="AX64" s="197"/>
      <c r="AY64" s="197"/>
      <c r="AZ64" s="197"/>
      <c r="BA64" s="197"/>
      <c r="BB64" s="197"/>
      <c r="BC64" s="197"/>
      <c r="BD64" s="197"/>
      <c r="BE64" s="197"/>
      <c r="BF64" s="197"/>
      <c r="BG64" s="197"/>
      <c r="BH64" s="197"/>
      <c r="BI64" s="197"/>
      <c r="BJ64" s="197"/>
      <c r="BK64" s="197"/>
      <c r="BL64" s="197"/>
      <c r="BM64" s="193"/>
    </row>
    <row r="65" spans="1:65" x14ac:dyDescent="0.25">
      <c r="A65" s="193"/>
      <c r="B65" s="197"/>
      <c r="C65" s="197"/>
      <c r="D65" s="197"/>
      <c r="E65" s="197"/>
      <c r="F65" s="197"/>
      <c r="G65" s="197"/>
      <c r="H65" s="197"/>
      <c r="I65" s="197"/>
      <c r="J65" s="197"/>
      <c r="K65" s="197"/>
      <c r="L65" s="197"/>
      <c r="M65" s="197"/>
      <c r="N65" s="197"/>
      <c r="O65" s="197"/>
      <c r="P65" s="197"/>
      <c r="Q65" s="197"/>
      <c r="R65" s="197"/>
      <c r="S65" s="197"/>
      <c r="T65" s="197"/>
      <c r="U65" s="197"/>
      <c r="V65" s="197"/>
      <c r="W65" s="197"/>
      <c r="X65" s="197"/>
      <c r="Y65" s="197"/>
      <c r="Z65" s="197"/>
      <c r="AA65" s="197"/>
      <c r="AB65" s="197"/>
      <c r="AC65" s="197"/>
      <c r="AD65" s="197"/>
      <c r="AE65" s="197"/>
      <c r="AF65" s="197"/>
      <c r="AG65" s="194"/>
      <c r="AH65" s="197"/>
      <c r="AI65" s="197"/>
      <c r="AJ65" s="197"/>
      <c r="AK65" s="197"/>
      <c r="AL65" s="197"/>
      <c r="AM65" s="197"/>
      <c r="AN65" s="197"/>
      <c r="AO65" s="197"/>
      <c r="AP65" s="197"/>
      <c r="AQ65" s="197"/>
      <c r="AR65" s="197"/>
      <c r="AS65" s="197"/>
      <c r="AT65" s="197"/>
      <c r="AU65" s="197"/>
      <c r="AV65" s="197"/>
      <c r="AW65" s="197"/>
      <c r="AX65" s="197"/>
      <c r="AY65" s="197"/>
      <c r="AZ65" s="197"/>
      <c r="BA65" s="197"/>
      <c r="BB65" s="197"/>
      <c r="BC65" s="197"/>
      <c r="BD65" s="197"/>
      <c r="BE65" s="197"/>
      <c r="BF65" s="197"/>
      <c r="BG65" s="197"/>
      <c r="BH65" s="197"/>
      <c r="BI65" s="197"/>
      <c r="BJ65" s="197"/>
      <c r="BK65" s="197"/>
      <c r="BL65" s="197"/>
      <c r="BM65" s="193"/>
    </row>
    <row r="66" spans="1:65" x14ac:dyDescent="0.25">
      <c r="A66" s="193"/>
      <c r="B66" s="197"/>
      <c r="C66" s="197"/>
      <c r="D66" s="197"/>
      <c r="E66" s="197"/>
      <c r="F66" s="197"/>
      <c r="G66" s="197"/>
      <c r="H66" s="197"/>
      <c r="I66" s="197"/>
      <c r="J66" s="197"/>
      <c r="K66" s="197"/>
      <c r="L66" s="197"/>
      <c r="M66" s="197"/>
      <c r="N66" s="197"/>
      <c r="O66" s="197"/>
      <c r="P66" s="197"/>
      <c r="Q66" s="197"/>
      <c r="R66" s="197"/>
      <c r="S66" s="197"/>
      <c r="T66" s="197"/>
      <c r="U66" s="197"/>
      <c r="V66" s="197"/>
      <c r="W66" s="197"/>
      <c r="X66" s="197"/>
      <c r="Y66" s="197"/>
      <c r="Z66" s="197"/>
      <c r="AA66" s="197"/>
      <c r="AB66" s="197"/>
      <c r="AC66" s="197"/>
      <c r="AD66" s="197"/>
      <c r="AE66" s="197"/>
      <c r="AF66" s="197"/>
      <c r="AG66" s="194"/>
      <c r="AH66" s="197"/>
      <c r="AI66" s="197"/>
      <c r="AJ66" s="197"/>
      <c r="AK66" s="197"/>
      <c r="AL66" s="197"/>
      <c r="AM66" s="197"/>
      <c r="AN66" s="197"/>
      <c r="AO66" s="197"/>
      <c r="AP66" s="197"/>
      <c r="AQ66" s="197"/>
      <c r="AR66" s="197"/>
      <c r="AS66" s="197"/>
      <c r="AT66" s="197"/>
      <c r="AU66" s="197"/>
      <c r="AV66" s="197"/>
      <c r="AW66" s="197"/>
      <c r="AX66" s="197"/>
      <c r="AY66" s="197"/>
      <c r="AZ66" s="197"/>
      <c r="BA66" s="197"/>
      <c r="BB66" s="197"/>
      <c r="BC66" s="197"/>
      <c r="BD66" s="197"/>
      <c r="BE66" s="197"/>
      <c r="BF66" s="197"/>
      <c r="BG66" s="197"/>
      <c r="BH66" s="197"/>
      <c r="BI66" s="197"/>
      <c r="BJ66" s="197"/>
      <c r="BK66" s="197"/>
      <c r="BL66" s="197"/>
      <c r="BM66" s="193"/>
    </row>
    <row r="67" spans="1:65" x14ac:dyDescent="0.25">
      <c r="A67" s="193"/>
      <c r="B67" s="197"/>
      <c r="C67" s="197"/>
      <c r="D67" s="197"/>
      <c r="E67" s="197"/>
      <c r="F67" s="197"/>
      <c r="G67" s="197"/>
      <c r="H67" s="197"/>
      <c r="I67" s="197"/>
      <c r="J67" s="197"/>
      <c r="K67" s="197"/>
      <c r="L67" s="197"/>
      <c r="M67" s="197"/>
      <c r="N67" s="197"/>
      <c r="O67" s="197"/>
      <c r="P67" s="197"/>
      <c r="Q67" s="197"/>
      <c r="R67" s="197"/>
      <c r="S67" s="197"/>
      <c r="T67" s="197"/>
      <c r="U67" s="197"/>
      <c r="V67" s="197"/>
      <c r="W67" s="197"/>
      <c r="X67" s="197"/>
      <c r="Y67" s="197"/>
      <c r="Z67" s="197"/>
      <c r="AA67" s="197"/>
      <c r="AB67" s="197"/>
      <c r="AC67" s="197"/>
      <c r="AD67" s="197"/>
      <c r="AE67" s="197"/>
      <c r="AF67" s="197"/>
      <c r="AG67" s="194"/>
      <c r="AH67" s="197"/>
      <c r="AI67" s="197"/>
      <c r="AJ67" s="197"/>
      <c r="AK67" s="197"/>
      <c r="AL67" s="197"/>
      <c r="AM67" s="197"/>
      <c r="AN67" s="197"/>
      <c r="AO67" s="197"/>
      <c r="AP67" s="197"/>
      <c r="AQ67" s="197"/>
      <c r="AR67" s="197"/>
      <c r="AS67" s="197"/>
      <c r="AT67" s="197"/>
      <c r="AU67" s="197"/>
      <c r="AV67" s="197"/>
      <c r="AW67" s="197"/>
      <c r="AX67" s="197"/>
      <c r="AY67" s="197"/>
      <c r="AZ67" s="197"/>
      <c r="BA67" s="197"/>
      <c r="BB67" s="197"/>
      <c r="BC67" s="197"/>
      <c r="BD67" s="197"/>
      <c r="BE67" s="197"/>
      <c r="BF67" s="197"/>
      <c r="BG67" s="197"/>
      <c r="BH67" s="197"/>
      <c r="BI67" s="197"/>
      <c r="BJ67" s="197"/>
      <c r="BK67" s="197"/>
      <c r="BL67" s="197"/>
      <c r="BM67" s="193"/>
    </row>
    <row r="68" spans="1:65" x14ac:dyDescent="0.25">
      <c r="A68" s="193"/>
      <c r="B68" s="197"/>
      <c r="C68" s="197"/>
      <c r="D68" s="197"/>
      <c r="E68" s="197"/>
      <c r="F68" s="197"/>
      <c r="G68" s="197"/>
      <c r="H68" s="197"/>
      <c r="I68" s="197"/>
      <c r="J68" s="197"/>
      <c r="K68" s="197"/>
      <c r="L68" s="197"/>
      <c r="M68" s="197"/>
      <c r="N68" s="197"/>
      <c r="O68" s="197"/>
      <c r="P68" s="197"/>
      <c r="Q68" s="197"/>
      <c r="R68" s="197"/>
      <c r="S68" s="197"/>
      <c r="T68" s="197"/>
      <c r="U68" s="197"/>
      <c r="V68" s="197"/>
      <c r="W68" s="197"/>
      <c r="X68" s="197"/>
      <c r="Y68" s="197"/>
      <c r="Z68" s="197"/>
      <c r="AA68" s="197"/>
      <c r="AB68" s="197"/>
      <c r="AC68" s="197"/>
      <c r="AD68" s="197"/>
      <c r="AE68" s="197"/>
      <c r="AF68" s="197"/>
      <c r="AG68" s="194"/>
      <c r="AH68" s="197"/>
      <c r="AI68" s="197"/>
      <c r="AJ68" s="197"/>
      <c r="AK68" s="197"/>
      <c r="AL68" s="197"/>
      <c r="AM68" s="197"/>
      <c r="AN68" s="197"/>
      <c r="AO68" s="197"/>
      <c r="AP68" s="197"/>
      <c r="AQ68" s="197"/>
      <c r="AR68" s="197"/>
      <c r="AS68" s="197"/>
      <c r="AT68" s="197"/>
      <c r="AU68" s="197"/>
      <c r="AV68" s="197"/>
      <c r="AW68" s="197"/>
      <c r="AX68" s="197"/>
      <c r="AY68" s="197"/>
      <c r="AZ68" s="197"/>
      <c r="BA68" s="197"/>
      <c r="BB68" s="197"/>
      <c r="BC68" s="197"/>
      <c r="BD68" s="197"/>
      <c r="BE68" s="197"/>
      <c r="BF68" s="197"/>
      <c r="BG68" s="197"/>
      <c r="BH68" s="197"/>
      <c r="BI68" s="197"/>
      <c r="BJ68" s="197"/>
      <c r="BK68" s="197"/>
      <c r="BL68" s="197"/>
      <c r="BM68" s="193"/>
    </row>
    <row r="69" spans="1:65" x14ac:dyDescent="0.25">
      <c r="A69" s="193"/>
      <c r="B69" s="197"/>
      <c r="C69" s="197"/>
      <c r="D69" s="197"/>
      <c r="E69" s="197"/>
      <c r="F69" s="197"/>
      <c r="G69" s="197"/>
      <c r="H69" s="197"/>
      <c r="I69" s="197"/>
      <c r="J69" s="197"/>
      <c r="K69" s="197"/>
      <c r="L69" s="197"/>
      <c r="M69" s="197"/>
      <c r="N69" s="197"/>
      <c r="O69" s="197"/>
      <c r="P69" s="197"/>
      <c r="Q69" s="197"/>
      <c r="R69" s="197"/>
      <c r="S69" s="197"/>
      <c r="T69" s="197"/>
      <c r="U69" s="197"/>
      <c r="V69" s="197"/>
      <c r="W69" s="197"/>
      <c r="X69" s="197"/>
      <c r="Y69" s="197"/>
      <c r="Z69" s="197"/>
      <c r="AA69" s="197"/>
      <c r="AB69" s="197"/>
      <c r="AC69" s="197"/>
      <c r="AD69" s="197"/>
      <c r="AE69" s="197"/>
      <c r="AF69" s="197"/>
      <c r="AG69" s="194"/>
      <c r="AH69" s="197"/>
      <c r="AI69" s="197"/>
      <c r="AJ69" s="197"/>
      <c r="AK69" s="197"/>
      <c r="AL69" s="197"/>
      <c r="AM69" s="197"/>
      <c r="AN69" s="197"/>
      <c r="AO69" s="197"/>
      <c r="AP69" s="197"/>
      <c r="AQ69" s="197"/>
      <c r="AR69" s="197"/>
      <c r="AS69" s="197"/>
      <c r="AT69" s="197"/>
      <c r="AU69" s="197"/>
      <c r="AV69" s="197"/>
      <c r="AW69" s="197"/>
      <c r="AX69" s="197"/>
      <c r="AY69" s="197"/>
      <c r="AZ69" s="197"/>
      <c r="BA69" s="197"/>
      <c r="BB69" s="197"/>
      <c r="BC69" s="197"/>
      <c r="BD69" s="197"/>
      <c r="BE69" s="197"/>
      <c r="BF69" s="197"/>
      <c r="BG69" s="197"/>
      <c r="BH69" s="197"/>
      <c r="BI69" s="197"/>
      <c r="BJ69" s="197"/>
      <c r="BK69" s="197"/>
      <c r="BL69" s="197"/>
      <c r="BM69" s="193"/>
    </row>
    <row r="70" spans="1:65" x14ac:dyDescent="0.25">
      <c r="A70" s="193"/>
      <c r="B70" s="197"/>
      <c r="C70" s="197"/>
      <c r="D70" s="197"/>
      <c r="E70" s="197"/>
      <c r="F70" s="197"/>
      <c r="G70" s="197"/>
      <c r="H70" s="197"/>
      <c r="I70" s="197"/>
      <c r="J70" s="197"/>
      <c r="K70" s="197"/>
      <c r="L70" s="197"/>
      <c r="M70" s="197"/>
      <c r="N70" s="197"/>
      <c r="O70" s="197"/>
      <c r="P70" s="197"/>
      <c r="Q70" s="197"/>
      <c r="R70" s="197"/>
      <c r="S70" s="197"/>
      <c r="T70" s="197"/>
      <c r="U70" s="197"/>
      <c r="V70" s="197"/>
      <c r="W70" s="197"/>
      <c r="X70" s="197"/>
      <c r="Y70" s="197"/>
      <c r="Z70" s="197"/>
      <c r="AA70" s="197"/>
      <c r="AB70" s="197"/>
      <c r="AC70" s="197"/>
      <c r="AD70" s="197"/>
      <c r="AE70" s="197"/>
      <c r="AF70" s="197"/>
      <c r="AG70" s="194"/>
      <c r="AH70" s="197"/>
      <c r="AI70" s="197"/>
      <c r="AJ70" s="197"/>
      <c r="AK70" s="197"/>
      <c r="AL70" s="197"/>
      <c r="AM70" s="197"/>
      <c r="AN70" s="197"/>
      <c r="AO70" s="197"/>
      <c r="AP70" s="197"/>
      <c r="AQ70" s="197"/>
      <c r="AR70" s="197"/>
      <c r="AS70" s="197"/>
      <c r="AT70" s="197"/>
      <c r="AU70" s="197"/>
      <c r="AV70" s="197"/>
      <c r="AW70" s="197"/>
      <c r="AX70" s="197"/>
      <c r="AY70" s="197"/>
      <c r="AZ70" s="197"/>
      <c r="BA70" s="197"/>
      <c r="BB70" s="197"/>
      <c r="BC70" s="197"/>
      <c r="BD70" s="197"/>
      <c r="BE70" s="197"/>
      <c r="BF70" s="197"/>
      <c r="BG70" s="197"/>
      <c r="BH70" s="197"/>
      <c r="BI70" s="197"/>
      <c r="BJ70" s="197"/>
      <c r="BK70" s="197"/>
      <c r="BL70" s="197"/>
      <c r="BM70" s="193"/>
    </row>
    <row r="71" spans="1:65" x14ac:dyDescent="0.25">
      <c r="A71" s="193"/>
      <c r="B71" s="197"/>
      <c r="C71" s="197"/>
      <c r="D71" s="197"/>
      <c r="E71" s="197"/>
      <c r="F71" s="197"/>
      <c r="G71" s="197"/>
      <c r="H71" s="197"/>
      <c r="I71" s="197"/>
      <c r="J71" s="197"/>
      <c r="K71" s="197"/>
      <c r="L71" s="197"/>
      <c r="M71" s="197"/>
      <c r="N71" s="197"/>
      <c r="O71" s="197"/>
      <c r="P71" s="197"/>
      <c r="Q71" s="197"/>
      <c r="R71" s="197"/>
      <c r="S71" s="197"/>
      <c r="T71" s="197"/>
      <c r="U71" s="197"/>
      <c r="V71" s="197"/>
      <c r="W71" s="197"/>
      <c r="X71" s="197"/>
      <c r="Y71" s="197"/>
      <c r="Z71" s="197"/>
      <c r="AA71" s="197"/>
      <c r="AB71" s="197"/>
      <c r="AC71" s="197"/>
      <c r="AD71" s="197"/>
      <c r="AE71" s="197"/>
      <c r="AF71" s="197"/>
      <c r="AG71" s="194"/>
      <c r="AH71" s="197"/>
      <c r="AI71" s="197"/>
      <c r="AJ71" s="197"/>
      <c r="AK71" s="197"/>
      <c r="AL71" s="197"/>
      <c r="AM71" s="197"/>
      <c r="AN71" s="197"/>
      <c r="AO71" s="197"/>
      <c r="AP71" s="197"/>
      <c r="AQ71" s="197"/>
      <c r="AR71" s="197"/>
      <c r="AS71" s="197"/>
      <c r="AT71" s="197"/>
      <c r="AU71" s="197"/>
      <c r="AV71" s="197"/>
      <c r="AW71" s="197"/>
      <c r="AX71" s="197"/>
      <c r="AY71" s="197"/>
      <c r="AZ71" s="197"/>
      <c r="BA71" s="197"/>
      <c r="BB71" s="197"/>
      <c r="BC71" s="197"/>
      <c r="BD71" s="197"/>
      <c r="BE71" s="197"/>
      <c r="BF71" s="197"/>
      <c r="BG71" s="197"/>
      <c r="BH71" s="197"/>
      <c r="BI71" s="197"/>
      <c r="BJ71" s="197"/>
      <c r="BK71" s="197"/>
      <c r="BL71" s="197"/>
      <c r="BM71" s="193"/>
    </row>
    <row r="72" spans="1:65" x14ac:dyDescent="0.25">
      <c r="A72" s="193"/>
      <c r="B72" s="197"/>
      <c r="C72" s="197"/>
      <c r="D72" s="197"/>
      <c r="E72" s="197"/>
      <c r="F72" s="197"/>
      <c r="G72" s="197"/>
      <c r="H72" s="197"/>
      <c r="I72" s="197"/>
      <c r="J72" s="197"/>
      <c r="K72" s="197"/>
      <c r="L72" s="197"/>
      <c r="M72" s="197"/>
      <c r="N72" s="197"/>
      <c r="O72" s="197"/>
      <c r="P72" s="197"/>
      <c r="Q72" s="197"/>
      <c r="R72" s="197"/>
      <c r="S72" s="197"/>
      <c r="T72" s="197"/>
      <c r="U72" s="197"/>
      <c r="V72" s="197"/>
      <c r="W72" s="197"/>
      <c r="X72" s="197"/>
      <c r="Y72" s="197"/>
      <c r="Z72" s="197"/>
      <c r="AA72" s="197"/>
      <c r="AB72" s="197"/>
      <c r="AC72" s="197"/>
      <c r="AD72" s="197"/>
      <c r="AE72" s="197"/>
      <c r="AF72" s="197"/>
      <c r="AG72" s="194"/>
      <c r="AH72" s="197"/>
      <c r="AI72" s="197"/>
      <c r="AJ72" s="197"/>
      <c r="AK72" s="197"/>
      <c r="AL72" s="197"/>
      <c r="AM72" s="197"/>
      <c r="AN72" s="197"/>
      <c r="AO72" s="197"/>
      <c r="AP72" s="197"/>
      <c r="AQ72" s="197"/>
      <c r="AR72" s="197"/>
      <c r="AS72" s="197"/>
      <c r="AT72" s="197"/>
      <c r="AU72" s="197"/>
      <c r="AV72" s="197"/>
      <c r="AW72" s="197"/>
      <c r="AX72" s="197"/>
      <c r="AY72" s="197"/>
      <c r="AZ72" s="197"/>
      <c r="BA72" s="197"/>
      <c r="BB72" s="197"/>
      <c r="BC72" s="197"/>
      <c r="BD72" s="197"/>
      <c r="BE72" s="197"/>
      <c r="BF72" s="197"/>
      <c r="BG72" s="197"/>
      <c r="BH72" s="197"/>
      <c r="BI72" s="197"/>
      <c r="BJ72" s="197"/>
      <c r="BK72" s="197"/>
      <c r="BL72" s="197"/>
      <c r="BM72" s="193"/>
    </row>
    <row r="73" spans="1:65" x14ac:dyDescent="0.25">
      <c r="A73" s="193"/>
      <c r="B73" s="197"/>
      <c r="C73" s="197"/>
      <c r="D73" s="197"/>
      <c r="E73" s="197"/>
      <c r="F73" s="197"/>
      <c r="G73" s="197"/>
      <c r="H73" s="197"/>
      <c r="I73" s="197"/>
      <c r="J73" s="197"/>
      <c r="K73" s="197"/>
      <c r="L73" s="197"/>
      <c r="M73" s="197"/>
      <c r="N73" s="197"/>
      <c r="O73" s="197"/>
      <c r="P73" s="197"/>
      <c r="Q73" s="197"/>
      <c r="R73" s="197"/>
      <c r="S73" s="197"/>
      <c r="T73" s="197"/>
      <c r="U73" s="197"/>
      <c r="V73" s="197"/>
      <c r="W73" s="197"/>
      <c r="X73" s="197"/>
      <c r="Y73" s="197"/>
      <c r="Z73" s="197"/>
      <c r="AA73" s="197"/>
      <c r="AB73" s="197"/>
      <c r="AC73" s="197"/>
      <c r="AD73" s="197"/>
      <c r="AE73" s="197"/>
      <c r="AF73" s="197"/>
      <c r="AG73" s="194"/>
      <c r="AH73" s="197"/>
      <c r="AI73" s="197"/>
      <c r="AJ73" s="197"/>
      <c r="AK73" s="197"/>
      <c r="AL73" s="197"/>
      <c r="AM73" s="197"/>
      <c r="AN73" s="197"/>
      <c r="AO73" s="197"/>
      <c r="AP73" s="197"/>
      <c r="AQ73" s="197"/>
      <c r="AR73" s="197"/>
      <c r="AS73" s="197"/>
      <c r="AT73" s="197"/>
      <c r="AU73" s="197"/>
      <c r="AV73" s="197"/>
      <c r="AW73" s="197"/>
      <c r="AX73" s="197"/>
      <c r="AY73" s="197"/>
      <c r="AZ73" s="197"/>
      <c r="BA73" s="197"/>
      <c r="BB73" s="197"/>
      <c r="BC73" s="197"/>
      <c r="BD73" s="197"/>
      <c r="BE73" s="197"/>
      <c r="BF73" s="197"/>
      <c r="BG73" s="197"/>
      <c r="BH73" s="197"/>
      <c r="BI73" s="197"/>
      <c r="BJ73" s="197"/>
      <c r="BK73" s="197"/>
      <c r="BL73" s="197"/>
      <c r="BM73" s="193"/>
    </row>
    <row r="74" spans="1:65" x14ac:dyDescent="0.25">
      <c r="A74" s="193"/>
      <c r="B74" s="197"/>
      <c r="C74" s="197"/>
      <c r="D74" s="197"/>
      <c r="E74" s="197"/>
      <c r="F74" s="197"/>
      <c r="G74" s="197"/>
      <c r="H74" s="197"/>
      <c r="I74" s="197"/>
      <c r="J74" s="197"/>
      <c r="K74" s="197"/>
      <c r="L74" s="197"/>
      <c r="M74" s="197"/>
      <c r="N74" s="197"/>
      <c r="O74" s="197"/>
      <c r="P74" s="197"/>
      <c r="Q74" s="197"/>
      <c r="R74" s="197"/>
      <c r="S74" s="197"/>
      <c r="T74" s="197"/>
      <c r="U74" s="197"/>
      <c r="V74" s="197"/>
      <c r="W74" s="197"/>
      <c r="X74" s="197"/>
      <c r="Y74" s="197"/>
      <c r="Z74" s="197"/>
      <c r="AA74" s="197"/>
      <c r="AB74" s="197"/>
      <c r="AC74" s="197"/>
      <c r="AD74" s="197"/>
      <c r="AE74" s="197"/>
      <c r="AF74" s="197"/>
      <c r="AG74" s="194"/>
      <c r="AH74" s="197"/>
      <c r="AI74" s="197"/>
      <c r="AJ74" s="197"/>
      <c r="AK74" s="197"/>
      <c r="AL74" s="197"/>
      <c r="AM74" s="197"/>
      <c r="AN74" s="197"/>
      <c r="AO74" s="197"/>
      <c r="AP74" s="197"/>
      <c r="AQ74" s="197"/>
      <c r="AR74" s="197"/>
      <c r="AS74" s="197"/>
      <c r="AT74" s="197"/>
      <c r="AU74" s="197"/>
      <c r="AV74" s="197"/>
      <c r="AW74" s="197"/>
      <c r="AX74" s="197"/>
      <c r="AY74" s="197"/>
      <c r="AZ74" s="197"/>
      <c r="BA74" s="197"/>
      <c r="BB74" s="197"/>
      <c r="BC74" s="197"/>
      <c r="BD74" s="197"/>
      <c r="BE74" s="197"/>
      <c r="BF74" s="197"/>
      <c r="BG74" s="197"/>
      <c r="BH74" s="197"/>
      <c r="BI74" s="197"/>
      <c r="BJ74" s="197"/>
      <c r="BK74" s="197"/>
      <c r="BL74" s="197"/>
      <c r="BM74" s="193"/>
    </row>
    <row r="75" spans="1:65" x14ac:dyDescent="0.25">
      <c r="A75" s="193"/>
      <c r="B75" s="197"/>
      <c r="C75" s="197"/>
      <c r="D75" s="197"/>
      <c r="E75" s="197"/>
      <c r="F75" s="197"/>
      <c r="G75" s="197"/>
      <c r="H75" s="197"/>
      <c r="I75" s="197"/>
      <c r="J75" s="197"/>
      <c r="K75" s="197"/>
      <c r="L75" s="197"/>
      <c r="M75" s="197"/>
      <c r="N75" s="197"/>
      <c r="O75" s="197"/>
      <c r="P75" s="197"/>
      <c r="Q75" s="197"/>
      <c r="R75" s="197"/>
      <c r="S75" s="197"/>
      <c r="T75" s="197"/>
      <c r="U75" s="197"/>
      <c r="V75" s="197"/>
      <c r="W75" s="197"/>
      <c r="X75" s="197"/>
      <c r="Y75" s="197"/>
      <c r="Z75" s="197"/>
      <c r="AA75" s="197"/>
      <c r="AB75" s="197"/>
      <c r="AC75" s="197"/>
      <c r="AD75" s="197"/>
      <c r="AE75" s="197"/>
      <c r="AF75" s="197"/>
      <c r="AG75" s="194"/>
      <c r="AH75" s="197"/>
      <c r="AI75" s="197"/>
      <c r="AJ75" s="197"/>
      <c r="AK75" s="197"/>
      <c r="AL75" s="197"/>
      <c r="AM75" s="197"/>
      <c r="AN75" s="197"/>
      <c r="AO75" s="197"/>
      <c r="AP75" s="197"/>
      <c r="AQ75" s="197"/>
      <c r="AR75" s="197"/>
      <c r="AS75" s="197"/>
      <c r="AT75" s="197"/>
      <c r="AU75" s="197"/>
      <c r="AV75" s="197"/>
      <c r="AW75" s="197"/>
      <c r="AX75" s="197"/>
      <c r="AY75" s="197"/>
      <c r="AZ75" s="197"/>
      <c r="BA75" s="197"/>
      <c r="BB75" s="197"/>
      <c r="BC75" s="197"/>
      <c r="BD75" s="197"/>
      <c r="BE75" s="197"/>
      <c r="BF75" s="197"/>
      <c r="BG75" s="197"/>
      <c r="BH75" s="197"/>
      <c r="BI75" s="197"/>
      <c r="BJ75" s="197"/>
      <c r="BK75" s="197"/>
      <c r="BL75" s="197"/>
      <c r="BM75" s="193"/>
    </row>
    <row r="76" spans="1:65" x14ac:dyDescent="0.25">
      <c r="A76" s="193"/>
      <c r="B76" s="197"/>
      <c r="C76" s="197"/>
      <c r="D76" s="197"/>
      <c r="E76" s="197"/>
      <c r="F76" s="197"/>
      <c r="G76" s="197"/>
      <c r="H76" s="197"/>
      <c r="I76" s="197"/>
      <c r="J76" s="197"/>
      <c r="K76" s="197"/>
      <c r="L76" s="197"/>
      <c r="M76" s="197"/>
      <c r="N76" s="197"/>
      <c r="O76" s="197"/>
      <c r="P76" s="197"/>
      <c r="Q76" s="197"/>
      <c r="R76" s="197"/>
      <c r="S76" s="197"/>
      <c r="T76" s="197"/>
      <c r="U76" s="197"/>
      <c r="V76" s="197"/>
      <c r="W76" s="197"/>
      <c r="X76" s="197"/>
      <c r="Y76" s="197"/>
      <c r="Z76" s="197"/>
      <c r="AA76" s="197"/>
      <c r="AB76" s="197"/>
      <c r="AC76" s="197"/>
      <c r="AD76" s="197"/>
      <c r="AE76" s="197"/>
      <c r="AF76" s="197"/>
      <c r="AG76" s="194"/>
      <c r="AH76" s="197"/>
      <c r="AI76" s="197"/>
      <c r="AJ76" s="197"/>
      <c r="AK76" s="197"/>
      <c r="AL76" s="197"/>
      <c r="AM76" s="197"/>
      <c r="AN76" s="197"/>
      <c r="AO76" s="197"/>
      <c r="AP76" s="197"/>
      <c r="AQ76" s="197"/>
      <c r="AR76" s="197"/>
      <c r="AS76" s="197"/>
      <c r="AT76" s="197"/>
      <c r="AU76" s="197"/>
      <c r="AV76" s="197"/>
      <c r="AW76" s="197"/>
      <c r="AX76" s="197"/>
      <c r="AY76" s="197"/>
      <c r="AZ76" s="197"/>
      <c r="BA76" s="197"/>
      <c r="BB76" s="197"/>
      <c r="BC76" s="197"/>
      <c r="BD76" s="197"/>
      <c r="BE76" s="197"/>
      <c r="BF76" s="197"/>
      <c r="BG76" s="197"/>
      <c r="BH76" s="197"/>
      <c r="BI76" s="197"/>
      <c r="BJ76" s="197"/>
      <c r="BK76" s="197"/>
      <c r="BL76" s="197"/>
      <c r="BM76" s="193"/>
    </row>
    <row r="77" spans="1:65" x14ac:dyDescent="0.25">
      <c r="A77" s="193"/>
      <c r="B77" s="197"/>
      <c r="C77" s="197"/>
      <c r="D77" s="197"/>
      <c r="E77" s="197"/>
      <c r="F77" s="197"/>
      <c r="G77" s="197"/>
      <c r="H77" s="197"/>
      <c r="I77" s="197"/>
      <c r="J77" s="197"/>
      <c r="K77" s="197"/>
      <c r="L77" s="197"/>
      <c r="M77" s="197"/>
      <c r="N77" s="197"/>
      <c r="O77" s="197"/>
      <c r="P77" s="197"/>
      <c r="Q77" s="197"/>
      <c r="R77" s="197"/>
      <c r="S77" s="197"/>
      <c r="T77" s="197"/>
      <c r="U77" s="197"/>
      <c r="V77" s="197"/>
      <c r="W77" s="197"/>
      <c r="X77" s="197"/>
      <c r="Y77" s="197"/>
      <c r="Z77" s="197"/>
      <c r="AA77" s="197"/>
      <c r="AB77" s="197"/>
      <c r="AC77" s="197"/>
      <c r="AD77" s="197"/>
      <c r="AE77" s="197"/>
      <c r="AF77" s="197"/>
      <c r="AG77" s="194"/>
      <c r="AH77" s="197"/>
      <c r="AI77" s="197"/>
      <c r="AJ77" s="197"/>
      <c r="AK77" s="197"/>
      <c r="AL77" s="197"/>
      <c r="AM77" s="197"/>
      <c r="AN77" s="197"/>
      <c r="AO77" s="197"/>
      <c r="AP77" s="197"/>
      <c r="AQ77" s="197"/>
      <c r="AR77" s="197"/>
      <c r="AS77" s="197"/>
      <c r="AT77" s="197"/>
      <c r="AU77" s="197"/>
      <c r="AV77" s="197"/>
      <c r="AW77" s="197"/>
      <c r="AX77" s="197"/>
      <c r="AY77" s="197"/>
      <c r="AZ77" s="197"/>
      <c r="BA77" s="197"/>
      <c r="BB77" s="197"/>
      <c r="BC77" s="197"/>
      <c r="BD77" s="197"/>
      <c r="BE77" s="197"/>
      <c r="BF77" s="197"/>
      <c r="BG77" s="197"/>
      <c r="BH77" s="197"/>
      <c r="BI77" s="197"/>
      <c r="BJ77" s="197"/>
      <c r="BK77" s="197"/>
      <c r="BL77" s="197"/>
      <c r="BM77" s="193"/>
    </row>
    <row r="78" spans="1:65" x14ac:dyDescent="0.25">
      <c r="A78" s="193"/>
      <c r="B78" s="197"/>
      <c r="C78" s="197"/>
      <c r="D78" s="197"/>
      <c r="E78" s="197"/>
      <c r="F78" s="197"/>
      <c r="G78" s="197"/>
      <c r="H78" s="197"/>
      <c r="I78" s="197"/>
      <c r="J78" s="197"/>
      <c r="K78" s="197"/>
      <c r="L78" s="197"/>
      <c r="M78" s="197"/>
      <c r="N78" s="197"/>
      <c r="O78" s="197"/>
      <c r="P78" s="197"/>
      <c r="Q78" s="197"/>
      <c r="R78" s="197"/>
      <c r="S78" s="197"/>
      <c r="T78" s="197"/>
      <c r="U78" s="197"/>
      <c r="V78" s="197"/>
      <c r="W78" s="197"/>
      <c r="X78" s="197"/>
      <c r="Y78" s="197"/>
      <c r="Z78" s="197"/>
      <c r="AA78" s="197"/>
      <c r="AB78" s="197"/>
      <c r="AC78" s="197"/>
      <c r="AD78" s="197"/>
      <c r="AE78" s="197"/>
      <c r="AF78" s="197"/>
      <c r="AG78" s="194"/>
      <c r="AH78" s="197"/>
      <c r="AI78" s="197"/>
      <c r="AJ78" s="197"/>
      <c r="AK78" s="197"/>
      <c r="AL78" s="197"/>
      <c r="AM78" s="197"/>
      <c r="AN78" s="197"/>
      <c r="AO78" s="197"/>
      <c r="AP78" s="197"/>
      <c r="AQ78" s="197"/>
      <c r="AR78" s="197"/>
      <c r="AS78" s="197"/>
      <c r="AT78" s="197"/>
      <c r="AU78" s="197"/>
      <c r="AV78" s="197"/>
      <c r="AW78" s="197"/>
      <c r="AX78" s="197"/>
      <c r="AY78" s="197"/>
      <c r="AZ78" s="197"/>
      <c r="BA78" s="197"/>
      <c r="BB78" s="197"/>
      <c r="BC78" s="197"/>
      <c r="BD78" s="197"/>
      <c r="BE78" s="197"/>
      <c r="BF78" s="197"/>
      <c r="BG78" s="197"/>
      <c r="BH78" s="197"/>
      <c r="BI78" s="197"/>
      <c r="BJ78" s="197"/>
      <c r="BK78" s="197"/>
      <c r="BL78" s="197"/>
      <c r="BM78" s="193"/>
    </row>
    <row r="79" spans="1:65" x14ac:dyDescent="0.25">
      <c r="A79" s="193"/>
      <c r="B79" s="197"/>
      <c r="C79" s="197"/>
      <c r="D79" s="197"/>
      <c r="E79" s="197"/>
      <c r="F79" s="197"/>
      <c r="G79" s="197"/>
      <c r="H79" s="197"/>
      <c r="I79" s="197"/>
      <c r="J79" s="197"/>
      <c r="K79" s="197"/>
      <c r="L79" s="197"/>
      <c r="M79" s="197"/>
      <c r="N79" s="197"/>
      <c r="O79" s="197"/>
      <c r="P79" s="197"/>
      <c r="Q79" s="197"/>
      <c r="R79" s="197"/>
      <c r="S79" s="197"/>
      <c r="T79" s="197"/>
      <c r="U79" s="197"/>
      <c r="V79" s="197"/>
      <c r="W79" s="197"/>
      <c r="X79" s="197"/>
      <c r="Y79" s="197"/>
      <c r="Z79" s="197"/>
      <c r="AA79" s="197"/>
      <c r="AB79" s="197"/>
      <c r="AC79" s="197"/>
      <c r="AD79" s="197"/>
      <c r="AE79" s="197"/>
      <c r="AF79" s="197"/>
      <c r="AG79" s="194"/>
      <c r="AH79" s="197"/>
      <c r="AI79" s="197"/>
      <c r="AJ79" s="197"/>
      <c r="AK79" s="197"/>
      <c r="AL79" s="197"/>
      <c r="AM79" s="197"/>
      <c r="AN79" s="197"/>
      <c r="AO79" s="197"/>
      <c r="AP79" s="197"/>
      <c r="AQ79" s="197"/>
      <c r="AR79" s="197"/>
      <c r="AS79" s="197"/>
      <c r="AT79" s="197"/>
      <c r="AU79" s="197"/>
      <c r="AV79" s="197"/>
      <c r="AW79" s="197"/>
      <c r="AX79" s="197"/>
      <c r="AY79" s="197"/>
      <c r="AZ79" s="197"/>
      <c r="BA79" s="197"/>
      <c r="BB79" s="197"/>
      <c r="BC79" s="197"/>
      <c r="BD79" s="197"/>
      <c r="BE79" s="197"/>
      <c r="BF79" s="197"/>
      <c r="BG79" s="197"/>
      <c r="BH79" s="197"/>
      <c r="BI79" s="197"/>
      <c r="BJ79" s="197"/>
      <c r="BK79" s="197"/>
      <c r="BL79" s="197"/>
      <c r="BM79" s="193"/>
    </row>
    <row r="80" spans="1:65" x14ac:dyDescent="0.25">
      <c r="A80" s="193"/>
      <c r="B80" s="197"/>
      <c r="C80" s="197"/>
      <c r="D80" s="197"/>
      <c r="E80" s="197"/>
      <c r="F80" s="197"/>
      <c r="G80" s="197"/>
      <c r="H80" s="197"/>
      <c r="I80" s="197"/>
      <c r="J80" s="197"/>
      <c r="K80" s="197"/>
      <c r="L80" s="197"/>
      <c r="M80" s="197"/>
      <c r="N80" s="197"/>
      <c r="O80" s="197"/>
      <c r="P80" s="197"/>
      <c r="Q80" s="197"/>
      <c r="R80" s="197"/>
      <c r="S80" s="197"/>
      <c r="T80" s="197"/>
      <c r="U80" s="197"/>
      <c r="V80" s="197"/>
      <c r="W80" s="197"/>
      <c r="X80" s="197"/>
      <c r="Y80" s="197"/>
      <c r="Z80" s="197"/>
      <c r="AA80" s="197"/>
      <c r="AB80" s="197"/>
      <c r="AC80" s="197"/>
      <c r="AD80" s="197"/>
      <c r="AE80" s="197"/>
      <c r="AF80" s="197"/>
      <c r="AG80" s="194"/>
      <c r="AH80" s="197"/>
      <c r="AI80" s="197"/>
      <c r="AJ80" s="197"/>
      <c r="AK80" s="197"/>
      <c r="AL80" s="197"/>
      <c r="AM80" s="197"/>
      <c r="AN80" s="197"/>
      <c r="AO80" s="197"/>
      <c r="AP80" s="197"/>
      <c r="AQ80" s="197"/>
      <c r="AR80" s="197"/>
      <c r="AS80" s="197"/>
      <c r="AT80" s="197"/>
      <c r="AU80" s="197"/>
      <c r="AV80" s="197"/>
      <c r="AW80" s="197"/>
      <c r="AX80" s="197"/>
      <c r="AY80" s="197"/>
      <c r="AZ80" s="197"/>
      <c r="BA80" s="197"/>
      <c r="BB80" s="197"/>
      <c r="BC80" s="197"/>
      <c r="BD80" s="197"/>
      <c r="BE80" s="197"/>
      <c r="BF80" s="197"/>
      <c r="BG80" s="197"/>
      <c r="BH80" s="197"/>
      <c r="BI80" s="197"/>
      <c r="BJ80" s="197"/>
      <c r="BK80" s="197"/>
      <c r="BL80" s="197"/>
      <c r="BM80" s="193"/>
    </row>
    <row r="81" spans="1:65" x14ac:dyDescent="0.25">
      <c r="A81" s="193"/>
      <c r="B81" s="197"/>
      <c r="C81" s="197"/>
      <c r="D81" s="197"/>
      <c r="E81" s="197"/>
      <c r="F81" s="197"/>
      <c r="G81" s="197"/>
      <c r="H81" s="197"/>
      <c r="I81" s="197"/>
      <c r="J81" s="197"/>
      <c r="K81" s="197"/>
      <c r="L81" s="197"/>
      <c r="M81" s="197"/>
      <c r="N81" s="197"/>
      <c r="O81" s="197"/>
      <c r="P81" s="197"/>
      <c r="Q81" s="197"/>
      <c r="R81" s="197"/>
      <c r="S81" s="197"/>
      <c r="T81" s="197"/>
      <c r="U81" s="197"/>
      <c r="V81" s="197"/>
      <c r="W81" s="197"/>
      <c r="X81" s="197"/>
      <c r="Y81" s="197"/>
      <c r="Z81" s="197"/>
      <c r="AA81" s="197"/>
      <c r="AB81" s="197"/>
      <c r="AC81" s="197"/>
      <c r="AD81" s="197"/>
      <c r="AE81" s="197"/>
      <c r="AF81" s="197"/>
      <c r="AG81" s="194"/>
      <c r="AH81" s="197"/>
      <c r="AI81" s="197"/>
      <c r="AJ81" s="197"/>
      <c r="AK81" s="197"/>
      <c r="AL81" s="197"/>
      <c r="AM81" s="197"/>
      <c r="AN81" s="197"/>
      <c r="AO81" s="197"/>
      <c r="AP81" s="197"/>
      <c r="AQ81" s="197"/>
      <c r="AR81" s="197"/>
      <c r="AS81" s="197"/>
      <c r="AT81" s="197"/>
      <c r="AU81" s="197"/>
      <c r="AV81" s="197"/>
      <c r="AW81" s="197"/>
      <c r="AX81" s="197"/>
      <c r="AY81" s="197"/>
      <c r="AZ81" s="197"/>
      <c r="BA81" s="197"/>
      <c r="BB81" s="197"/>
      <c r="BC81" s="197"/>
      <c r="BD81" s="197"/>
      <c r="BE81" s="197"/>
      <c r="BF81" s="197"/>
      <c r="BG81" s="197"/>
      <c r="BH81" s="197"/>
      <c r="BI81" s="197"/>
      <c r="BJ81" s="197"/>
      <c r="BK81" s="197"/>
      <c r="BL81" s="197"/>
      <c r="BM81" s="193"/>
    </row>
    <row r="82" spans="1:65" x14ac:dyDescent="0.25">
      <c r="A82" s="193"/>
      <c r="B82" s="197"/>
      <c r="C82" s="197"/>
      <c r="D82" s="197"/>
      <c r="E82" s="197"/>
      <c r="F82" s="197"/>
      <c r="G82" s="197"/>
      <c r="H82" s="197"/>
      <c r="I82" s="197"/>
      <c r="J82" s="197"/>
      <c r="K82" s="197"/>
      <c r="L82" s="197"/>
      <c r="M82" s="197"/>
      <c r="N82" s="197"/>
      <c r="O82" s="197"/>
      <c r="P82" s="197"/>
      <c r="Q82" s="197"/>
      <c r="R82" s="197"/>
      <c r="S82" s="197"/>
      <c r="T82" s="197"/>
      <c r="U82" s="197"/>
      <c r="V82" s="197"/>
      <c r="W82" s="197"/>
      <c r="X82" s="197"/>
      <c r="Y82" s="197"/>
      <c r="Z82" s="197"/>
      <c r="AA82" s="197"/>
      <c r="AB82" s="197"/>
      <c r="AC82" s="197"/>
      <c r="AD82" s="197"/>
      <c r="AE82" s="197"/>
      <c r="AF82" s="197"/>
      <c r="AG82" s="194"/>
      <c r="AH82" s="197"/>
      <c r="AI82" s="197"/>
      <c r="AJ82" s="197"/>
      <c r="AK82" s="197"/>
      <c r="AL82" s="197"/>
      <c r="AM82" s="197"/>
      <c r="AN82" s="197"/>
      <c r="AO82" s="197"/>
      <c r="AP82" s="197"/>
      <c r="AQ82" s="197"/>
      <c r="AR82" s="197"/>
      <c r="AS82" s="197"/>
      <c r="AT82" s="197"/>
      <c r="AU82" s="197"/>
      <c r="AV82" s="197"/>
      <c r="AW82" s="197"/>
      <c r="AX82" s="197"/>
      <c r="AY82" s="197"/>
      <c r="AZ82" s="197"/>
      <c r="BA82" s="197"/>
      <c r="BB82" s="197"/>
      <c r="BC82" s="197"/>
      <c r="BD82" s="197"/>
      <c r="BE82" s="197"/>
      <c r="BF82" s="197"/>
      <c r="BG82" s="197"/>
      <c r="BH82" s="197"/>
      <c r="BI82" s="197"/>
      <c r="BJ82" s="197"/>
      <c r="BK82" s="197"/>
      <c r="BL82" s="197"/>
      <c r="BM82" s="193"/>
    </row>
    <row r="83" spans="1:65" x14ac:dyDescent="0.25">
      <c r="A83" s="193"/>
      <c r="B83" s="197"/>
      <c r="C83" s="197"/>
      <c r="D83" s="197"/>
      <c r="E83" s="197"/>
      <c r="F83" s="197"/>
      <c r="G83" s="197"/>
      <c r="H83" s="197"/>
      <c r="I83" s="197"/>
      <c r="J83" s="197"/>
      <c r="K83" s="197"/>
      <c r="L83" s="197"/>
      <c r="M83" s="197"/>
      <c r="N83" s="197"/>
      <c r="O83" s="197"/>
      <c r="P83" s="197"/>
      <c r="Q83" s="197"/>
      <c r="R83" s="197"/>
      <c r="S83" s="197"/>
      <c r="T83" s="197"/>
      <c r="U83" s="197"/>
      <c r="V83" s="197"/>
      <c r="W83" s="197"/>
      <c r="X83" s="197"/>
      <c r="Y83" s="197"/>
      <c r="Z83" s="197"/>
      <c r="AA83" s="197"/>
      <c r="AB83" s="197"/>
      <c r="AC83" s="197"/>
      <c r="AD83" s="197"/>
      <c r="AE83" s="197"/>
      <c r="AF83" s="197"/>
      <c r="AG83" s="194"/>
      <c r="AH83" s="197"/>
      <c r="AI83" s="197"/>
      <c r="AJ83" s="197"/>
      <c r="AK83" s="197"/>
      <c r="AL83" s="197"/>
      <c r="AM83" s="197"/>
      <c r="AN83" s="197"/>
      <c r="AO83" s="197"/>
      <c r="AP83" s="197"/>
      <c r="AQ83" s="197"/>
      <c r="AR83" s="197"/>
      <c r="AS83" s="197"/>
      <c r="AT83" s="197"/>
      <c r="AU83" s="197"/>
      <c r="AV83" s="197"/>
      <c r="AW83" s="197"/>
      <c r="AX83" s="197"/>
      <c r="AY83" s="197"/>
      <c r="AZ83" s="197"/>
      <c r="BA83" s="197"/>
      <c r="BB83" s="197"/>
      <c r="BC83" s="197"/>
      <c r="BD83" s="197"/>
      <c r="BE83" s="197"/>
      <c r="BF83" s="197"/>
      <c r="BG83" s="197"/>
      <c r="BH83" s="197"/>
      <c r="BI83" s="197"/>
      <c r="BJ83" s="197"/>
      <c r="BK83" s="197"/>
      <c r="BL83" s="197"/>
      <c r="BM83" s="193"/>
    </row>
    <row r="84" spans="1:65" x14ac:dyDescent="0.25">
      <c r="A84" s="193"/>
      <c r="B84" s="197"/>
      <c r="C84" s="197"/>
      <c r="D84" s="197"/>
      <c r="E84" s="197"/>
      <c r="F84" s="197"/>
      <c r="G84" s="197"/>
      <c r="H84" s="197"/>
      <c r="I84" s="197"/>
      <c r="J84" s="197"/>
      <c r="K84" s="197"/>
      <c r="L84" s="197"/>
      <c r="M84" s="197"/>
      <c r="N84" s="197"/>
      <c r="O84" s="197"/>
      <c r="P84" s="197"/>
      <c r="Q84" s="197"/>
      <c r="R84" s="197"/>
      <c r="S84" s="197"/>
      <c r="T84" s="197"/>
      <c r="U84" s="197"/>
      <c r="V84" s="197"/>
      <c r="W84" s="197"/>
      <c r="X84" s="197"/>
      <c r="Y84" s="197"/>
      <c r="Z84" s="197"/>
      <c r="AA84" s="197"/>
      <c r="AB84" s="197"/>
      <c r="AC84" s="197"/>
      <c r="AD84" s="197"/>
      <c r="AE84" s="197"/>
      <c r="AF84" s="197"/>
      <c r="AG84" s="194"/>
      <c r="AH84" s="197"/>
      <c r="AI84" s="197"/>
      <c r="AJ84" s="197"/>
      <c r="AK84" s="197"/>
      <c r="AL84" s="197"/>
      <c r="AM84" s="197"/>
      <c r="AN84" s="197"/>
      <c r="AO84" s="197"/>
      <c r="AP84" s="197"/>
      <c r="AQ84" s="197"/>
      <c r="AR84" s="197"/>
      <c r="AS84" s="197"/>
      <c r="AT84" s="197"/>
      <c r="AU84" s="197"/>
      <c r="AV84" s="197"/>
      <c r="AW84" s="197"/>
      <c r="AX84" s="197"/>
      <c r="AY84" s="197"/>
      <c r="AZ84" s="197"/>
      <c r="BA84" s="197"/>
      <c r="BB84" s="197"/>
      <c r="BC84" s="197"/>
      <c r="BD84" s="197"/>
      <c r="BE84" s="197"/>
      <c r="BF84" s="197"/>
      <c r="BG84" s="197"/>
      <c r="BH84" s="197"/>
      <c r="BI84" s="197"/>
      <c r="BJ84" s="197"/>
      <c r="BK84" s="197"/>
      <c r="BL84" s="197"/>
      <c r="BM84" s="193"/>
    </row>
    <row r="85" spans="1:65" x14ac:dyDescent="0.25">
      <c r="A85" s="193"/>
      <c r="B85" s="197"/>
      <c r="C85" s="197"/>
      <c r="D85" s="197"/>
      <c r="E85" s="197"/>
      <c r="F85" s="197"/>
      <c r="G85" s="197"/>
      <c r="H85" s="197"/>
      <c r="I85" s="197"/>
      <c r="J85" s="197"/>
      <c r="K85" s="197"/>
      <c r="L85" s="197"/>
      <c r="M85" s="197"/>
      <c r="N85" s="197"/>
      <c r="O85" s="197"/>
      <c r="P85" s="197"/>
      <c r="Q85" s="197"/>
      <c r="R85" s="197"/>
      <c r="S85" s="197"/>
      <c r="T85" s="197"/>
      <c r="U85" s="197"/>
      <c r="V85" s="197"/>
      <c r="W85" s="197"/>
      <c r="X85" s="197"/>
      <c r="Y85" s="197"/>
      <c r="Z85" s="197"/>
      <c r="AA85" s="197"/>
      <c r="AB85" s="197"/>
      <c r="AC85" s="197"/>
      <c r="AD85" s="197"/>
      <c r="AE85" s="197"/>
      <c r="AF85" s="197"/>
      <c r="AG85" s="194"/>
      <c r="AH85" s="197"/>
      <c r="AI85" s="197"/>
      <c r="AJ85" s="197"/>
      <c r="AK85" s="197"/>
      <c r="AL85" s="197"/>
      <c r="AM85" s="197"/>
      <c r="AN85" s="197"/>
      <c r="AO85" s="197"/>
      <c r="AP85" s="197"/>
      <c r="AQ85" s="197"/>
      <c r="AR85" s="197"/>
      <c r="AS85" s="197"/>
      <c r="AT85" s="197"/>
      <c r="AU85" s="197"/>
      <c r="AV85" s="197"/>
      <c r="AW85" s="197"/>
      <c r="AX85" s="197"/>
      <c r="AY85" s="197"/>
      <c r="AZ85" s="197"/>
      <c r="BA85" s="197"/>
      <c r="BB85" s="197"/>
      <c r="BC85" s="197"/>
      <c r="BD85" s="197"/>
      <c r="BE85" s="197"/>
      <c r="BF85" s="197"/>
      <c r="BG85" s="197"/>
      <c r="BH85" s="197"/>
      <c r="BI85" s="197"/>
      <c r="BJ85" s="197"/>
      <c r="BK85" s="197"/>
      <c r="BL85" s="197"/>
      <c r="BM85" s="193"/>
    </row>
    <row r="86" spans="1:65" x14ac:dyDescent="0.25">
      <c r="A86" s="193"/>
      <c r="B86" s="197"/>
      <c r="C86" s="197"/>
      <c r="D86" s="197"/>
      <c r="E86" s="197"/>
      <c r="F86" s="197"/>
      <c r="G86" s="197"/>
      <c r="H86" s="197"/>
      <c r="I86" s="197"/>
      <c r="J86" s="197"/>
      <c r="K86" s="197"/>
      <c r="L86" s="197"/>
      <c r="M86" s="197"/>
      <c r="N86" s="197"/>
      <c r="O86" s="197"/>
      <c r="P86" s="197"/>
      <c r="Q86" s="197"/>
      <c r="R86" s="197"/>
      <c r="S86" s="197"/>
      <c r="T86" s="197"/>
      <c r="U86" s="197"/>
      <c r="V86" s="197"/>
      <c r="W86" s="197"/>
      <c r="X86" s="197"/>
      <c r="Y86" s="197"/>
      <c r="Z86" s="197"/>
      <c r="AA86" s="197"/>
      <c r="AB86" s="197"/>
      <c r="AC86" s="197"/>
      <c r="AD86" s="197"/>
      <c r="AE86" s="197"/>
      <c r="AF86" s="197"/>
      <c r="AG86" s="194"/>
      <c r="AH86" s="197"/>
      <c r="AI86" s="197"/>
      <c r="AJ86" s="197"/>
      <c r="AK86" s="197"/>
      <c r="AL86" s="197"/>
      <c r="AM86" s="197"/>
      <c r="AN86" s="197"/>
      <c r="AO86" s="197"/>
      <c r="AP86" s="197"/>
      <c r="AQ86" s="197"/>
      <c r="AR86" s="197"/>
      <c r="AS86" s="197"/>
      <c r="AT86" s="197"/>
      <c r="AU86" s="197"/>
      <c r="AV86" s="197"/>
      <c r="AW86" s="197"/>
      <c r="AX86" s="197"/>
      <c r="AY86" s="197"/>
      <c r="AZ86" s="197"/>
      <c r="BA86" s="197"/>
      <c r="BB86" s="197"/>
      <c r="BC86" s="197"/>
      <c r="BD86" s="197"/>
      <c r="BE86" s="197"/>
      <c r="BF86" s="197"/>
      <c r="BG86" s="197"/>
      <c r="BH86" s="197"/>
      <c r="BI86" s="197"/>
      <c r="BJ86" s="197"/>
      <c r="BK86" s="197"/>
      <c r="BL86" s="197"/>
      <c r="BM86" s="193"/>
    </row>
    <row r="87" spans="1:65" x14ac:dyDescent="0.25">
      <c r="A87" s="193"/>
      <c r="B87" s="197"/>
      <c r="C87" s="197"/>
      <c r="D87" s="197"/>
      <c r="E87" s="197"/>
      <c r="F87" s="197"/>
      <c r="G87" s="197"/>
      <c r="H87" s="197"/>
      <c r="I87" s="197"/>
      <c r="J87" s="197"/>
      <c r="K87" s="197"/>
      <c r="L87" s="197"/>
      <c r="M87" s="197"/>
      <c r="N87" s="197"/>
      <c r="O87" s="197"/>
      <c r="P87" s="197"/>
      <c r="Q87" s="197"/>
      <c r="R87" s="197"/>
      <c r="S87" s="197"/>
      <c r="T87" s="197"/>
      <c r="U87" s="197"/>
      <c r="V87" s="197"/>
      <c r="W87" s="197"/>
      <c r="X87" s="197"/>
      <c r="Y87" s="197"/>
      <c r="Z87" s="197"/>
      <c r="AA87" s="197"/>
      <c r="AB87" s="197"/>
      <c r="AC87" s="197"/>
      <c r="AD87" s="197"/>
      <c r="AE87" s="197"/>
      <c r="AF87" s="197"/>
      <c r="AG87" s="194"/>
      <c r="AH87" s="197"/>
      <c r="AI87" s="197"/>
      <c r="AJ87" s="197"/>
      <c r="AK87" s="197"/>
      <c r="AL87" s="197"/>
      <c r="AM87" s="197"/>
      <c r="AN87" s="197"/>
      <c r="AO87" s="197"/>
      <c r="AP87" s="197"/>
      <c r="AQ87" s="197"/>
      <c r="AR87" s="197"/>
      <c r="AS87" s="197"/>
      <c r="AT87" s="197"/>
      <c r="AU87" s="197"/>
      <c r="AV87" s="197"/>
      <c r="AW87" s="197"/>
      <c r="AX87" s="197"/>
      <c r="AY87" s="197"/>
      <c r="AZ87" s="197"/>
      <c r="BA87" s="197"/>
      <c r="BB87" s="197"/>
      <c r="BC87" s="197"/>
      <c r="BD87" s="197"/>
      <c r="BE87" s="197"/>
      <c r="BF87" s="197"/>
      <c r="BG87" s="197"/>
      <c r="BH87" s="197"/>
      <c r="BI87" s="197"/>
      <c r="BJ87" s="197"/>
      <c r="BK87" s="197"/>
      <c r="BL87" s="197"/>
      <c r="BM87" s="193"/>
    </row>
    <row r="88" spans="1:65" x14ac:dyDescent="0.25">
      <c r="A88" s="198"/>
      <c r="B88" s="198"/>
      <c r="C88" s="198"/>
      <c r="D88" s="198"/>
      <c r="E88" s="198"/>
      <c r="F88" s="198"/>
      <c r="G88" s="198"/>
      <c r="H88" s="198"/>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4"/>
      <c r="AH88" s="198"/>
      <c r="AI88" s="198"/>
      <c r="AJ88" s="198"/>
      <c r="AK88" s="198"/>
      <c r="AL88" s="198"/>
      <c r="AM88" s="198"/>
      <c r="AN88" s="198"/>
      <c r="AO88" s="198"/>
      <c r="AP88" s="198"/>
      <c r="AQ88" s="198"/>
      <c r="AR88" s="198"/>
      <c r="AS88" s="198"/>
      <c r="AT88" s="198"/>
      <c r="AU88" s="198"/>
      <c r="AV88" s="198"/>
      <c r="AW88" s="198"/>
      <c r="AX88" s="198"/>
      <c r="AY88" s="198"/>
      <c r="AZ88" s="198"/>
      <c r="BA88" s="198"/>
      <c r="BB88" s="198"/>
      <c r="BC88" s="198"/>
      <c r="BD88" s="198"/>
      <c r="BE88" s="198"/>
      <c r="BF88" s="198"/>
      <c r="BG88" s="198"/>
      <c r="BH88" s="198"/>
      <c r="BI88" s="198"/>
      <c r="BJ88" s="198"/>
      <c r="BK88" s="198"/>
      <c r="BL88" s="198"/>
      <c r="BM88" s="193"/>
    </row>
    <row r="89" spans="1:65" x14ac:dyDescent="0.25">
      <c r="A89" s="193"/>
      <c r="B89" s="197"/>
      <c r="C89" s="197"/>
      <c r="D89" s="197"/>
      <c r="E89" s="197"/>
      <c r="F89" s="197"/>
      <c r="G89" s="197"/>
      <c r="H89" s="197"/>
      <c r="I89" s="197"/>
      <c r="J89" s="197"/>
      <c r="K89" s="197"/>
      <c r="L89" s="197"/>
      <c r="M89" s="197"/>
      <c r="N89" s="197"/>
      <c r="O89" s="197"/>
      <c r="P89" s="197"/>
      <c r="Q89" s="197"/>
      <c r="R89" s="197"/>
      <c r="S89" s="197"/>
      <c r="T89" s="197"/>
      <c r="U89" s="197"/>
      <c r="V89" s="197"/>
      <c r="W89" s="197"/>
      <c r="X89" s="197"/>
      <c r="Y89" s="197"/>
      <c r="Z89" s="197"/>
      <c r="AA89" s="197"/>
      <c r="AB89" s="197"/>
      <c r="AC89" s="197"/>
      <c r="AD89" s="197"/>
      <c r="AE89" s="197"/>
      <c r="AF89" s="197"/>
      <c r="AG89" s="194"/>
      <c r="AH89" s="197"/>
      <c r="AI89" s="197"/>
      <c r="AJ89" s="197"/>
      <c r="AK89" s="197"/>
      <c r="AL89" s="197"/>
      <c r="AM89" s="197"/>
      <c r="AN89" s="197"/>
      <c r="AO89" s="197"/>
      <c r="AP89" s="197"/>
      <c r="AQ89" s="197"/>
      <c r="AR89" s="197"/>
      <c r="AS89" s="197"/>
      <c r="AT89" s="197"/>
      <c r="AU89" s="197"/>
      <c r="AV89" s="197"/>
      <c r="AW89" s="197"/>
      <c r="AX89" s="197"/>
      <c r="AY89" s="197"/>
      <c r="AZ89" s="197"/>
      <c r="BA89" s="197"/>
      <c r="BB89" s="197"/>
      <c r="BC89" s="197"/>
      <c r="BD89" s="197"/>
      <c r="BE89" s="197"/>
      <c r="BF89" s="197"/>
      <c r="BG89" s="197"/>
      <c r="BH89" s="197"/>
      <c r="BI89" s="197"/>
      <c r="BJ89" s="197"/>
      <c r="BK89" s="197"/>
      <c r="BL89" s="197"/>
      <c r="BM89" s="193"/>
    </row>
    <row r="90" spans="1:65" x14ac:dyDescent="0.25">
      <c r="A90" s="193"/>
      <c r="B90" s="197"/>
      <c r="C90" s="197"/>
      <c r="D90" s="197"/>
      <c r="E90" s="197"/>
      <c r="F90" s="197"/>
      <c r="G90" s="197"/>
      <c r="H90" s="197"/>
      <c r="I90" s="197"/>
      <c r="J90" s="197"/>
      <c r="K90" s="197"/>
      <c r="L90" s="197"/>
      <c r="M90" s="197"/>
      <c r="N90" s="197"/>
      <c r="O90" s="197"/>
      <c r="P90" s="197"/>
      <c r="Q90" s="197"/>
      <c r="R90" s="197"/>
      <c r="S90" s="197"/>
      <c r="T90" s="197"/>
      <c r="U90" s="197"/>
      <c r="V90" s="197"/>
      <c r="W90" s="197"/>
      <c r="X90" s="197"/>
      <c r="Y90" s="197"/>
      <c r="Z90" s="197"/>
      <c r="AA90" s="197"/>
      <c r="AB90" s="197"/>
      <c r="AC90" s="197"/>
      <c r="AD90" s="197"/>
      <c r="AE90" s="197"/>
      <c r="AF90" s="197"/>
      <c r="AG90" s="194"/>
      <c r="AH90" s="197"/>
      <c r="AI90" s="197"/>
      <c r="AJ90" s="197"/>
      <c r="AK90" s="197"/>
      <c r="AL90" s="197"/>
      <c r="AM90" s="197"/>
      <c r="AN90" s="197"/>
      <c r="AO90" s="197"/>
      <c r="AP90" s="197"/>
      <c r="AQ90" s="197"/>
      <c r="AR90" s="197"/>
      <c r="AS90" s="197"/>
      <c r="AT90" s="197"/>
      <c r="AU90" s="197"/>
      <c r="AV90" s="197"/>
      <c r="AW90" s="197"/>
      <c r="AX90" s="197"/>
      <c r="AY90" s="197"/>
      <c r="AZ90" s="197"/>
      <c r="BA90" s="197"/>
      <c r="BB90" s="197"/>
      <c r="BC90" s="197"/>
      <c r="BD90" s="197"/>
      <c r="BE90" s="197"/>
      <c r="BF90" s="197"/>
      <c r="BG90" s="197"/>
      <c r="BH90" s="197"/>
      <c r="BI90" s="197"/>
      <c r="BJ90" s="197"/>
      <c r="BK90" s="197"/>
      <c r="BL90" s="197"/>
      <c r="BM90" s="193"/>
    </row>
    <row r="91" spans="1:65" x14ac:dyDescent="0.25">
      <c r="A91" s="193"/>
      <c r="B91" s="197"/>
      <c r="C91" s="197"/>
      <c r="D91" s="197"/>
      <c r="E91" s="197"/>
      <c r="F91" s="197"/>
      <c r="G91" s="197"/>
      <c r="H91" s="197"/>
      <c r="I91" s="197"/>
      <c r="J91" s="197"/>
      <c r="K91" s="197"/>
      <c r="L91" s="197"/>
      <c r="M91" s="197"/>
      <c r="N91" s="197"/>
      <c r="O91" s="197"/>
      <c r="P91" s="197"/>
      <c r="Q91" s="197"/>
      <c r="R91" s="197"/>
      <c r="S91" s="197"/>
      <c r="T91" s="197"/>
      <c r="U91" s="197"/>
      <c r="V91" s="197"/>
      <c r="W91" s="197"/>
      <c r="X91" s="197"/>
      <c r="Y91" s="197"/>
      <c r="Z91" s="197"/>
      <c r="AA91" s="197"/>
      <c r="AB91" s="197"/>
      <c r="AC91" s="197"/>
      <c r="AD91" s="197"/>
      <c r="AE91" s="197"/>
      <c r="AF91" s="197"/>
      <c r="AG91" s="194"/>
      <c r="AH91" s="197"/>
      <c r="AI91" s="197"/>
      <c r="AJ91" s="197"/>
      <c r="AK91" s="197"/>
      <c r="AL91" s="197"/>
      <c r="AM91" s="197"/>
      <c r="AN91" s="197"/>
      <c r="AO91" s="197"/>
      <c r="AP91" s="197"/>
      <c r="AQ91" s="197"/>
      <c r="AR91" s="197"/>
      <c r="AS91" s="197"/>
      <c r="AT91" s="197"/>
      <c r="AU91" s="197"/>
      <c r="AV91" s="197"/>
      <c r="AW91" s="197"/>
      <c r="AX91" s="197"/>
      <c r="AY91" s="197"/>
      <c r="AZ91" s="197"/>
      <c r="BA91" s="197"/>
      <c r="BB91" s="197"/>
      <c r="BC91" s="197"/>
      <c r="BD91" s="197"/>
      <c r="BE91" s="197"/>
      <c r="BF91" s="197"/>
      <c r="BG91" s="197"/>
      <c r="BH91" s="197"/>
      <c r="BI91" s="197"/>
      <c r="BJ91" s="197"/>
      <c r="BK91" s="197"/>
      <c r="BL91" s="197"/>
      <c r="BM91" s="193"/>
    </row>
    <row r="92" spans="1:65" x14ac:dyDescent="0.25">
      <c r="A92" s="193"/>
      <c r="B92" s="197"/>
      <c r="C92" s="197"/>
      <c r="D92" s="197"/>
      <c r="E92" s="197"/>
      <c r="F92" s="197"/>
      <c r="G92" s="197"/>
      <c r="H92" s="197"/>
      <c r="I92" s="197"/>
      <c r="J92" s="197"/>
      <c r="K92" s="197"/>
      <c r="L92" s="197"/>
      <c r="M92" s="197"/>
      <c r="N92" s="197"/>
      <c r="O92" s="197"/>
      <c r="P92" s="197"/>
      <c r="Q92" s="197"/>
      <c r="R92" s="197"/>
      <c r="S92" s="197"/>
      <c r="T92" s="197"/>
      <c r="U92" s="197"/>
      <c r="V92" s="197"/>
      <c r="W92" s="197"/>
      <c r="X92" s="197"/>
      <c r="Y92" s="197"/>
      <c r="Z92" s="197"/>
      <c r="AA92" s="197"/>
      <c r="AB92" s="197"/>
      <c r="AC92" s="197"/>
      <c r="AD92" s="197"/>
      <c r="AE92" s="197"/>
      <c r="AF92" s="197"/>
      <c r="AG92" s="194"/>
      <c r="AH92" s="197"/>
      <c r="AI92" s="197"/>
      <c r="AJ92" s="197"/>
      <c r="AK92" s="197"/>
      <c r="AL92" s="197"/>
      <c r="AM92" s="197"/>
      <c r="AN92" s="197"/>
      <c r="AO92" s="197"/>
      <c r="AP92" s="197"/>
      <c r="AQ92" s="197"/>
      <c r="AR92" s="197"/>
      <c r="AS92" s="197"/>
      <c r="AT92" s="197"/>
      <c r="AU92" s="197"/>
      <c r="AV92" s="197"/>
      <c r="AW92" s="197"/>
      <c r="AX92" s="197"/>
      <c r="AY92" s="197"/>
      <c r="AZ92" s="197"/>
      <c r="BA92" s="197"/>
      <c r="BB92" s="197"/>
      <c r="BC92" s="197"/>
      <c r="BD92" s="197"/>
      <c r="BE92" s="197"/>
      <c r="BF92" s="197"/>
      <c r="BG92" s="197"/>
      <c r="BH92" s="197"/>
      <c r="BI92" s="197"/>
      <c r="BJ92" s="197"/>
      <c r="BK92" s="197"/>
      <c r="BL92" s="197"/>
      <c r="BM92" s="193"/>
    </row>
    <row r="93" spans="1:65" x14ac:dyDescent="0.25">
      <c r="A93" s="193"/>
      <c r="B93" s="197"/>
      <c r="C93" s="197"/>
      <c r="D93" s="197"/>
      <c r="E93" s="197"/>
      <c r="F93" s="197"/>
      <c r="G93" s="197"/>
      <c r="H93" s="197"/>
      <c r="I93" s="197"/>
      <c r="J93" s="197"/>
      <c r="K93" s="197"/>
      <c r="L93" s="197"/>
      <c r="M93" s="197"/>
      <c r="N93" s="197"/>
      <c r="O93" s="197"/>
      <c r="P93" s="197"/>
      <c r="Q93" s="197"/>
      <c r="R93" s="197"/>
      <c r="S93" s="197"/>
      <c r="T93" s="197"/>
      <c r="U93" s="197"/>
      <c r="V93" s="197"/>
      <c r="W93" s="197"/>
      <c r="X93" s="197"/>
      <c r="Y93" s="197"/>
      <c r="Z93" s="197"/>
      <c r="AA93" s="197"/>
      <c r="AB93" s="197"/>
      <c r="AC93" s="197"/>
      <c r="AD93" s="197"/>
      <c r="AE93" s="197"/>
      <c r="AF93" s="197"/>
      <c r="AG93" s="194"/>
      <c r="AH93" s="197"/>
      <c r="AI93" s="197"/>
      <c r="AJ93" s="197"/>
      <c r="AK93" s="197"/>
      <c r="AL93" s="197"/>
      <c r="AM93" s="197"/>
      <c r="AN93" s="197"/>
      <c r="AO93" s="197"/>
      <c r="AP93" s="197"/>
      <c r="AQ93" s="197"/>
      <c r="AR93" s="197"/>
      <c r="AS93" s="197"/>
      <c r="AT93" s="197"/>
      <c r="AU93" s="197"/>
      <c r="AV93" s="197"/>
      <c r="AW93" s="197"/>
      <c r="AX93" s="197"/>
      <c r="AY93" s="197"/>
      <c r="AZ93" s="197"/>
      <c r="BA93" s="197"/>
      <c r="BB93" s="197"/>
      <c r="BC93" s="197"/>
      <c r="BD93" s="197"/>
      <c r="BE93" s="197"/>
      <c r="BF93" s="197"/>
      <c r="BG93" s="197"/>
      <c r="BH93" s="197"/>
      <c r="BI93" s="197"/>
      <c r="BJ93" s="197"/>
      <c r="BK93" s="197"/>
      <c r="BL93" s="197"/>
      <c r="BM93" s="193"/>
    </row>
    <row r="94" spans="1:65" x14ac:dyDescent="0.25">
      <c r="A94" s="193"/>
      <c r="B94" s="197"/>
      <c r="C94" s="197"/>
      <c r="D94" s="197"/>
      <c r="E94" s="197"/>
      <c r="F94" s="197"/>
      <c r="G94" s="197"/>
      <c r="H94" s="197"/>
      <c r="I94" s="197"/>
      <c r="J94" s="197"/>
      <c r="K94" s="197"/>
      <c r="L94" s="197"/>
      <c r="M94" s="197"/>
      <c r="N94" s="197"/>
      <c r="O94" s="197"/>
      <c r="P94" s="197"/>
      <c r="Q94" s="197"/>
      <c r="R94" s="197"/>
      <c r="S94" s="197"/>
      <c r="T94" s="197"/>
      <c r="U94" s="197"/>
      <c r="V94" s="197"/>
      <c r="W94" s="197"/>
      <c r="X94" s="197"/>
      <c r="Y94" s="197"/>
      <c r="Z94" s="197"/>
      <c r="AA94" s="197"/>
      <c r="AB94" s="197"/>
      <c r="AC94" s="197"/>
      <c r="AD94" s="197"/>
      <c r="AE94" s="197"/>
      <c r="AF94" s="197"/>
      <c r="AG94" s="194"/>
      <c r="AH94" s="197"/>
      <c r="AI94" s="197"/>
      <c r="AJ94" s="197"/>
      <c r="AK94" s="197"/>
      <c r="AL94" s="197"/>
      <c r="AM94" s="197"/>
      <c r="AN94" s="197"/>
      <c r="AO94" s="197"/>
      <c r="AP94" s="197"/>
      <c r="AQ94" s="197"/>
      <c r="AR94" s="197"/>
      <c r="AS94" s="197"/>
      <c r="AT94" s="197"/>
      <c r="AU94" s="197"/>
      <c r="AV94" s="197"/>
      <c r="AW94" s="197"/>
      <c r="AX94" s="197"/>
      <c r="AY94" s="197"/>
      <c r="AZ94" s="197"/>
      <c r="BA94" s="197"/>
      <c r="BB94" s="197"/>
      <c r="BC94" s="197"/>
      <c r="BD94" s="197"/>
      <c r="BE94" s="197"/>
      <c r="BF94" s="197"/>
      <c r="BG94" s="197"/>
      <c r="BH94" s="197"/>
      <c r="BI94" s="197"/>
      <c r="BJ94" s="197"/>
      <c r="BK94" s="197"/>
      <c r="BL94" s="197"/>
      <c r="BM94" s="193"/>
    </row>
    <row r="95" spans="1:65" x14ac:dyDescent="0.25">
      <c r="A95" s="193"/>
      <c r="B95" s="197"/>
      <c r="C95" s="197"/>
      <c r="D95" s="197"/>
      <c r="E95" s="197"/>
      <c r="F95" s="197"/>
      <c r="G95" s="197"/>
      <c r="H95" s="197"/>
      <c r="I95" s="197"/>
      <c r="J95" s="197"/>
      <c r="K95" s="197"/>
      <c r="L95" s="197"/>
      <c r="M95" s="197"/>
      <c r="N95" s="197"/>
      <c r="O95" s="197"/>
      <c r="P95" s="197"/>
      <c r="Q95" s="197"/>
      <c r="R95" s="197"/>
      <c r="S95" s="197"/>
      <c r="T95" s="197"/>
      <c r="U95" s="197"/>
      <c r="V95" s="197"/>
      <c r="W95" s="197"/>
      <c r="X95" s="197"/>
      <c r="Y95" s="197"/>
      <c r="Z95" s="197"/>
      <c r="AA95" s="197"/>
      <c r="AB95" s="197"/>
      <c r="AC95" s="197"/>
      <c r="AD95" s="197"/>
      <c r="AE95" s="197"/>
      <c r="AF95" s="197"/>
      <c r="AG95" s="194"/>
      <c r="AH95" s="197"/>
      <c r="AI95" s="197"/>
      <c r="AJ95" s="197"/>
      <c r="AK95" s="197"/>
      <c r="AL95" s="197"/>
      <c r="AM95" s="197"/>
      <c r="AN95" s="197"/>
      <c r="AO95" s="197"/>
      <c r="AP95" s="197"/>
      <c r="AQ95" s="197"/>
      <c r="AR95" s="197"/>
      <c r="AS95" s="197"/>
      <c r="AT95" s="197"/>
      <c r="AU95" s="197"/>
      <c r="AV95" s="197"/>
      <c r="AW95" s="197"/>
      <c r="AX95" s="197"/>
      <c r="AY95" s="197"/>
      <c r="AZ95" s="197"/>
      <c r="BA95" s="197"/>
      <c r="BB95" s="197"/>
      <c r="BC95" s="197"/>
      <c r="BD95" s="197"/>
      <c r="BE95" s="197"/>
      <c r="BF95" s="197"/>
      <c r="BG95" s="197"/>
      <c r="BH95" s="197"/>
      <c r="BI95" s="197"/>
      <c r="BJ95" s="197"/>
      <c r="BK95" s="197"/>
      <c r="BL95" s="197"/>
      <c r="BM95" s="193"/>
    </row>
    <row r="96" spans="1:65" x14ac:dyDescent="0.25">
      <c r="A96" s="193"/>
      <c r="B96" s="197"/>
      <c r="C96" s="197"/>
      <c r="D96" s="197"/>
      <c r="E96" s="197"/>
      <c r="F96" s="197"/>
      <c r="G96" s="197"/>
      <c r="H96" s="197"/>
      <c r="I96" s="197"/>
      <c r="J96" s="197"/>
      <c r="K96" s="197"/>
      <c r="L96" s="197"/>
      <c r="M96" s="197"/>
      <c r="N96" s="197"/>
      <c r="O96" s="197"/>
      <c r="P96" s="197"/>
      <c r="Q96" s="197"/>
      <c r="R96" s="197"/>
      <c r="S96" s="197"/>
      <c r="T96" s="197"/>
      <c r="U96" s="197"/>
      <c r="V96" s="197"/>
      <c r="W96" s="197"/>
      <c r="X96" s="197"/>
      <c r="Y96" s="197"/>
      <c r="Z96" s="197"/>
      <c r="AA96" s="197"/>
      <c r="AB96" s="197"/>
      <c r="AC96" s="197"/>
      <c r="AD96" s="197"/>
      <c r="AE96" s="197"/>
      <c r="AF96" s="197"/>
      <c r="AG96" s="194"/>
      <c r="AH96" s="197"/>
      <c r="AI96" s="197"/>
      <c r="AJ96" s="197"/>
      <c r="AK96" s="197"/>
      <c r="AL96" s="197"/>
      <c r="AM96" s="197"/>
      <c r="AN96" s="197"/>
      <c r="AO96" s="197"/>
      <c r="AP96" s="197"/>
      <c r="AQ96" s="197"/>
      <c r="AR96" s="197"/>
      <c r="AS96" s="197"/>
      <c r="AT96" s="197"/>
      <c r="AU96" s="197"/>
      <c r="AV96" s="197"/>
      <c r="AW96" s="197"/>
      <c r="AX96" s="197"/>
      <c r="AY96" s="197"/>
      <c r="AZ96" s="197"/>
      <c r="BA96" s="197"/>
      <c r="BB96" s="197"/>
      <c r="BC96" s="197"/>
      <c r="BD96" s="197"/>
      <c r="BE96" s="197"/>
      <c r="BF96" s="197"/>
      <c r="BG96" s="197"/>
      <c r="BH96" s="197"/>
      <c r="BI96" s="197"/>
      <c r="BJ96" s="197"/>
      <c r="BK96" s="197"/>
      <c r="BL96" s="197"/>
      <c r="BM96" s="193"/>
    </row>
    <row r="97" spans="1:65" x14ac:dyDescent="0.25">
      <c r="A97" s="193"/>
      <c r="B97" s="197"/>
      <c r="C97" s="197"/>
      <c r="D97" s="197"/>
      <c r="E97" s="197"/>
      <c r="F97" s="197"/>
      <c r="G97" s="197"/>
      <c r="H97" s="197"/>
      <c r="I97" s="197"/>
      <c r="J97" s="197"/>
      <c r="K97" s="197"/>
      <c r="L97" s="197"/>
      <c r="M97" s="197"/>
      <c r="N97" s="197"/>
      <c r="O97" s="197"/>
      <c r="P97" s="197"/>
      <c r="Q97" s="197"/>
      <c r="R97" s="197"/>
      <c r="S97" s="197"/>
      <c r="T97" s="197"/>
      <c r="U97" s="197"/>
      <c r="V97" s="197"/>
      <c r="W97" s="197"/>
      <c r="X97" s="197"/>
      <c r="Y97" s="197"/>
      <c r="Z97" s="197"/>
      <c r="AA97" s="197"/>
      <c r="AB97" s="197"/>
      <c r="AC97" s="197"/>
      <c r="AD97" s="197"/>
      <c r="AE97" s="197"/>
      <c r="AF97" s="197"/>
      <c r="AG97" s="194"/>
      <c r="AH97" s="197"/>
      <c r="AI97" s="197"/>
      <c r="AJ97" s="197"/>
      <c r="AK97" s="197"/>
      <c r="AL97" s="197"/>
      <c r="AM97" s="197"/>
      <c r="AN97" s="197"/>
      <c r="AO97" s="197"/>
      <c r="AP97" s="197"/>
      <c r="AQ97" s="197"/>
      <c r="AR97" s="197"/>
      <c r="AS97" s="197"/>
      <c r="AT97" s="197"/>
      <c r="AU97" s="197"/>
      <c r="AV97" s="197"/>
      <c r="AW97" s="197"/>
      <c r="AX97" s="197"/>
      <c r="AY97" s="197"/>
      <c r="AZ97" s="197"/>
      <c r="BA97" s="197"/>
      <c r="BB97" s="197"/>
      <c r="BC97" s="197"/>
      <c r="BD97" s="197"/>
      <c r="BE97" s="197"/>
      <c r="BF97" s="197"/>
      <c r="BG97" s="197"/>
      <c r="BH97" s="197"/>
      <c r="BI97" s="197"/>
      <c r="BJ97" s="197"/>
      <c r="BK97" s="197"/>
      <c r="BL97" s="197"/>
      <c r="BM97" s="193"/>
    </row>
    <row r="98" spans="1:65" x14ac:dyDescent="0.25">
      <c r="A98" s="193"/>
      <c r="B98" s="197"/>
      <c r="C98" s="197"/>
      <c r="D98" s="197"/>
      <c r="E98" s="197"/>
      <c r="F98" s="197"/>
      <c r="G98" s="197"/>
      <c r="H98" s="197"/>
      <c r="I98" s="197"/>
      <c r="J98" s="197"/>
      <c r="K98" s="197"/>
      <c r="L98" s="197"/>
      <c r="M98" s="197"/>
      <c r="N98" s="197"/>
      <c r="O98" s="197"/>
      <c r="P98" s="197"/>
      <c r="Q98" s="197"/>
      <c r="R98" s="197"/>
      <c r="S98" s="197"/>
      <c r="T98" s="197"/>
      <c r="U98" s="197"/>
      <c r="V98" s="197"/>
      <c r="W98" s="197"/>
      <c r="X98" s="197"/>
      <c r="Y98" s="197"/>
      <c r="Z98" s="197"/>
      <c r="AA98" s="197"/>
      <c r="AB98" s="197"/>
      <c r="AC98" s="197"/>
      <c r="AD98" s="197"/>
      <c r="AE98" s="197"/>
      <c r="AF98" s="197"/>
      <c r="AG98" s="194"/>
      <c r="AH98" s="197"/>
      <c r="AI98" s="197"/>
      <c r="AJ98" s="197"/>
      <c r="AK98" s="197"/>
      <c r="AL98" s="197"/>
      <c r="AM98" s="197"/>
      <c r="AN98" s="197"/>
      <c r="AO98" s="197"/>
      <c r="AP98" s="197"/>
      <c r="AQ98" s="197"/>
      <c r="AR98" s="197"/>
      <c r="AS98" s="197"/>
      <c r="AT98" s="197"/>
      <c r="AU98" s="197"/>
      <c r="AV98" s="197"/>
      <c r="AW98" s="197"/>
      <c r="AX98" s="197"/>
      <c r="AY98" s="197"/>
      <c r="AZ98" s="197"/>
      <c r="BA98" s="197"/>
      <c r="BB98" s="197"/>
      <c r="BC98" s="197"/>
      <c r="BD98" s="197"/>
      <c r="BE98" s="197"/>
      <c r="BF98" s="197"/>
      <c r="BG98" s="197"/>
      <c r="BH98" s="197"/>
      <c r="BI98" s="197"/>
      <c r="BJ98" s="197"/>
      <c r="BK98" s="197"/>
      <c r="BL98" s="197"/>
      <c r="BM98" s="193"/>
    </row>
    <row r="99" spans="1:65" x14ac:dyDescent="0.25">
      <c r="A99" s="193"/>
      <c r="B99" s="197"/>
      <c r="C99" s="197"/>
      <c r="D99" s="197"/>
      <c r="E99" s="197"/>
      <c r="F99" s="197"/>
      <c r="G99" s="197"/>
      <c r="H99" s="197"/>
      <c r="I99" s="197"/>
      <c r="J99" s="197"/>
      <c r="K99" s="197"/>
      <c r="L99" s="197"/>
      <c r="M99" s="197"/>
      <c r="N99" s="197"/>
      <c r="O99" s="197"/>
      <c r="P99" s="197"/>
      <c r="Q99" s="197"/>
      <c r="R99" s="197"/>
      <c r="S99" s="197"/>
      <c r="T99" s="197"/>
      <c r="U99" s="197"/>
      <c r="V99" s="197"/>
      <c r="W99" s="197"/>
      <c r="X99" s="197"/>
      <c r="Y99" s="197"/>
      <c r="Z99" s="197"/>
      <c r="AA99" s="197"/>
      <c r="AB99" s="197"/>
      <c r="AC99" s="197"/>
      <c r="AD99" s="197"/>
      <c r="AE99" s="197"/>
      <c r="AF99" s="197"/>
      <c r="AG99" s="194"/>
      <c r="AH99" s="197"/>
      <c r="AI99" s="197"/>
      <c r="AJ99" s="197"/>
      <c r="AK99" s="197"/>
      <c r="AL99" s="197"/>
      <c r="AM99" s="197"/>
      <c r="AN99" s="197"/>
      <c r="AO99" s="197"/>
      <c r="AP99" s="197"/>
      <c r="AQ99" s="197"/>
      <c r="AR99" s="197"/>
      <c r="AS99" s="197"/>
      <c r="AT99" s="197"/>
      <c r="AU99" s="197"/>
      <c r="AV99" s="197"/>
      <c r="AW99" s="197"/>
      <c r="AX99" s="197"/>
      <c r="AY99" s="197"/>
      <c r="AZ99" s="197"/>
      <c r="BA99" s="197"/>
      <c r="BB99" s="197"/>
      <c r="BC99" s="197"/>
      <c r="BD99" s="197"/>
      <c r="BE99" s="197"/>
      <c r="BF99" s="197"/>
      <c r="BG99" s="197"/>
      <c r="BH99" s="197"/>
      <c r="BI99" s="197"/>
      <c r="BJ99" s="197"/>
      <c r="BK99" s="197"/>
      <c r="BL99" s="197"/>
      <c r="BM99" s="193"/>
    </row>
    <row r="100" spans="1:65" x14ac:dyDescent="0.25">
      <c r="A100" s="193"/>
      <c r="B100" s="197"/>
      <c r="C100" s="197"/>
      <c r="D100" s="197"/>
      <c r="E100" s="197"/>
      <c r="F100" s="197"/>
      <c r="G100" s="197"/>
      <c r="H100" s="197"/>
      <c r="I100" s="197"/>
      <c r="J100" s="197"/>
      <c r="K100" s="197"/>
      <c r="L100" s="197"/>
      <c r="M100" s="197"/>
      <c r="N100" s="197"/>
      <c r="O100" s="197"/>
      <c r="P100" s="197"/>
      <c r="Q100" s="197"/>
      <c r="R100" s="197"/>
      <c r="S100" s="197"/>
      <c r="T100" s="197"/>
      <c r="U100" s="197"/>
      <c r="V100" s="197"/>
      <c r="W100" s="197"/>
      <c r="X100" s="197"/>
      <c r="Y100" s="197"/>
      <c r="Z100" s="197"/>
      <c r="AA100" s="197"/>
      <c r="AB100" s="197"/>
      <c r="AC100" s="197"/>
      <c r="AD100" s="197"/>
      <c r="AE100" s="197"/>
      <c r="AF100" s="197"/>
      <c r="AG100" s="194"/>
      <c r="AH100" s="197"/>
      <c r="AI100" s="197"/>
      <c r="AJ100" s="197"/>
      <c r="AK100" s="197"/>
      <c r="AL100" s="197"/>
      <c r="AM100" s="197"/>
      <c r="AN100" s="197"/>
      <c r="AO100" s="197"/>
      <c r="AP100" s="197"/>
      <c r="AQ100" s="197"/>
      <c r="AR100" s="197"/>
      <c r="AS100" s="197"/>
      <c r="AT100" s="197"/>
      <c r="AU100" s="197"/>
      <c r="AV100" s="197"/>
      <c r="AW100" s="197"/>
      <c r="AX100" s="197"/>
      <c r="AY100" s="197"/>
      <c r="AZ100" s="197"/>
      <c r="BA100" s="197"/>
      <c r="BB100" s="197"/>
      <c r="BC100" s="197"/>
      <c r="BD100" s="197"/>
      <c r="BE100" s="197"/>
      <c r="BF100" s="197"/>
      <c r="BG100" s="197"/>
      <c r="BH100" s="197"/>
      <c r="BI100" s="197"/>
      <c r="BJ100" s="197"/>
      <c r="BK100" s="197"/>
      <c r="BL100" s="197"/>
      <c r="BM100" s="193"/>
    </row>
    <row r="101" spans="1:65" x14ac:dyDescent="0.25">
      <c r="A101" s="193"/>
      <c r="B101" s="197"/>
      <c r="C101" s="197"/>
      <c r="D101" s="197"/>
      <c r="E101" s="197"/>
      <c r="F101" s="197"/>
      <c r="G101" s="197"/>
      <c r="H101" s="197"/>
      <c r="I101" s="197"/>
      <c r="J101" s="197"/>
      <c r="K101" s="197"/>
      <c r="L101" s="197"/>
      <c r="M101" s="197"/>
      <c r="N101" s="197"/>
      <c r="O101" s="197"/>
      <c r="P101" s="197"/>
      <c r="Q101" s="197"/>
      <c r="R101" s="197"/>
      <c r="S101" s="197"/>
      <c r="T101" s="197"/>
      <c r="U101" s="197"/>
      <c r="V101" s="197"/>
      <c r="W101" s="197"/>
      <c r="X101" s="197"/>
      <c r="Y101" s="197"/>
      <c r="Z101" s="197"/>
      <c r="AA101" s="197"/>
      <c r="AB101" s="197"/>
      <c r="AC101" s="197"/>
      <c r="AD101" s="197"/>
      <c r="AE101" s="197"/>
      <c r="AF101" s="197"/>
      <c r="AG101" s="194"/>
      <c r="AH101" s="197"/>
      <c r="AI101" s="197"/>
      <c r="AJ101" s="197"/>
      <c r="AK101" s="197"/>
      <c r="AL101" s="197"/>
      <c r="AM101" s="197"/>
      <c r="AN101" s="197"/>
      <c r="AO101" s="197"/>
      <c r="AP101" s="197"/>
      <c r="AQ101" s="197"/>
      <c r="AR101" s="197"/>
      <c r="AS101" s="197"/>
      <c r="AT101" s="197"/>
      <c r="AU101" s="197"/>
      <c r="AV101" s="197"/>
      <c r="AW101" s="197"/>
      <c r="AX101" s="197"/>
      <c r="AY101" s="197"/>
      <c r="AZ101" s="197"/>
      <c r="BA101" s="197"/>
      <c r="BB101" s="197"/>
      <c r="BC101" s="197"/>
      <c r="BD101" s="197"/>
      <c r="BE101" s="197"/>
      <c r="BF101" s="197"/>
      <c r="BG101" s="197"/>
      <c r="BH101" s="197"/>
      <c r="BI101" s="197"/>
      <c r="BJ101" s="197"/>
      <c r="BK101" s="197"/>
      <c r="BL101" s="197"/>
      <c r="BM101" s="193"/>
    </row>
    <row r="102" spans="1:65" x14ac:dyDescent="0.25">
      <c r="A102" s="193"/>
      <c r="B102" s="197"/>
      <c r="C102" s="197"/>
      <c r="D102" s="197"/>
      <c r="E102" s="197"/>
      <c r="F102" s="197"/>
      <c r="G102" s="197"/>
      <c r="H102" s="197"/>
      <c r="I102" s="197"/>
      <c r="J102" s="197"/>
      <c r="K102" s="197"/>
      <c r="L102" s="197"/>
      <c r="M102" s="197"/>
      <c r="N102" s="197"/>
      <c r="O102" s="197"/>
      <c r="P102" s="197"/>
      <c r="Q102" s="197"/>
      <c r="R102" s="197"/>
      <c r="S102" s="197"/>
      <c r="T102" s="197"/>
      <c r="U102" s="197"/>
      <c r="V102" s="197"/>
      <c r="W102" s="197"/>
      <c r="X102" s="197"/>
      <c r="Y102" s="197"/>
      <c r="Z102" s="197"/>
      <c r="AA102" s="197"/>
      <c r="AB102" s="197"/>
      <c r="AC102" s="197"/>
      <c r="AD102" s="197"/>
      <c r="AE102" s="197"/>
      <c r="AF102" s="197"/>
      <c r="AG102" s="194"/>
      <c r="AH102" s="197"/>
      <c r="AI102" s="197"/>
      <c r="AJ102" s="197"/>
      <c r="AK102" s="197"/>
      <c r="AL102" s="197"/>
      <c r="AM102" s="197"/>
      <c r="AN102" s="197"/>
      <c r="AO102" s="197"/>
      <c r="AP102" s="197"/>
      <c r="AQ102" s="197"/>
      <c r="AR102" s="197"/>
      <c r="AS102" s="197"/>
      <c r="AT102" s="197"/>
      <c r="AU102" s="197"/>
      <c r="AV102" s="197"/>
      <c r="AW102" s="197"/>
      <c r="AX102" s="197"/>
      <c r="AY102" s="197"/>
      <c r="AZ102" s="197"/>
      <c r="BA102" s="197"/>
      <c r="BB102" s="197"/>
      <c r="BC102" s="197"/>
      <c r="BD102" s="197"/>
      <c r="BE102" s="197"/>
      <c r="BF102" s="197"/>
      <c r="BG102" s="197"/>
      <c r="BH102" s="197"/>
      <c r="BI102" s="197"/>
      <c r="BJ102" s="197"/>
      <c r="BK102" s="197"/>
      <c r="BL102" s="197"/>
      <c r="BM102" s="193"/>
    </row>
    <row r="103" spans="1:65" x14ac:dyDescent="0.25">
      <c r="A103" s="193"/>
      <c r="B103" s="197"/>
      <c r="C103" s="197"/>
      <c r="D103" s="197"/>
      <c r="E103" s="197"/>
      <c r="F103" s="197"/>
      <c r="G103" s="197"/>
      <c r="H103" s="197"/>
      <c r="I103" s="197"/>
      <c r="J103" s="197"/>
      <c r="K103" s="197"/>
      <c r="L103" s="197"/>
      <c r="M103" s="197"/>
      <c r="N103" s="197"/>
      <c r="O103" s="197"/>
      <c r="P103" s="197"/>
      <c r="Q103" s="197"/>
      <c r="R103" s="197"/>
      <c r="S103" s="197"/>
      <c r="T103" s="197"/>
      <c r="U103" s="197"/>
      <c r="V103" s="197"/>
      <c r="W103" s="197"/>
      <c r="X103" s="197"/>
      <c r="Y103" s="197"/>
      <c r="Z103" s="197"/>
      <c r="AA103" s="197"/>
      <c r="AB103" s="197"/>
      <c r="AC103" s="197"/>
      <c r="AD103" s="197"/>
      <c r="AE103" s="197"/>
      <c r="AF103" s="197"/>
      <c r="AG103" s="194"/>
      <c r="AH103" s="197"/>
      <c r="AI103" s="197"/>
      <c r="AJ103" s="197"/>
      <c r="AK103" s="197"/>
      <c r="AL103" s="197"/>
      <c r="AM103" s="197"/>
      <c r="AN103" s="197"/>
      <c r="AO103" s="197"/>
      <c r="AP103" s="197"/>
      <c r="AQ103" s="197"/>
      <c r="AR103" s="197"/>
      <c r="AS103" s="197"/>
      <c r="AT103" s="197"/>
      <c r="AU103" s="197"/>
      <c r="AV103" s="197"/>
      <c r="AW103" s="197"/>
      <c r="AX103" s="197"/>
      <c r="AY103" s="197"/>
      <c r="AZ103" s="197"/>
      <c r="BA103" s="197"/>
      <c r="BB103" s="197"/>
      <c r="BC103" s="197"/>
      <c r="BD103" s="197"/>
      <c r="BE103" s="197"/>
      <c r="BF103" s="197"/>
      <c r="BG103" s="197"/>
      <c r="BH103" s="197"/>
      <c r="BI103" s="197"/>
      <c r="BJ103" s="197"/>
      <c r="BK103" s="197"/>
      <c r="BL103" s="197"/>
      <c r="BM103" s="193"/>
    </row>
    <row r="104" spans="1:65" x14ac:dyDescent="0.25">
      <c r="A104" s="193"/>
      <c r="B104" s="197"/>
      <c r="C104" s="197"/>
      <c r="D104" s="197"/>
      <c r="E104" s="197"/>
      <c r="F104" s="197"/>
      <c r="G104" s="197"/>
      <c r="H104" s="197"/>
      <c r="I104" s="197"/>
      <c r="J104" s="197"/>
      <c r="K104" s="197"/>
      <c r="L104" s="197"/>
      <c r="M104" s="197"/>
      <c r="N104" s="197"/>
      <c r="O104" s="197"/>
      <c r="P104" s="197"/>
      <c r="Q104" s="197"/>
      <c r="R104" s="197"/>
      <c r="S104" s="197"/>
      <c r="T104" s="197"/>
      <c r="U104" s="197"/>
      <c r="V104" s="197"/>
      <c r="W104" s="197"/>
      <c r="X104" s="197"/>
      <c r="Y104" s="197"/>
      <c r="Z104" s="197"/>
      <c r="AA104" s="197"/>
      <c r="AB104" s="197"/>
      <c r="AC104" s="197"/>
      <c r="AD104" s="197"/>
      <c r="AE104" s="197"/>
      <c r="AF104" s="197"/>
      <c r="AG104" s="194"/>
      <c r="AH104" s="197"/>
      <c r="AI104" s="197"/>
      <c r="AJ104" s="197"/>
      <c r="AK104" s="197"/>
      <c r="AL104" s="197"/>
      <c r="AM104" s="197"/>
      <c r="AN104" s="197"/>
      <c r="AO104" s="197"/>
      <c r="AP104" s="197"/>
      <c r="AQ104" s="197"/>
      <c r="AR104" s="197"/>
      <c r="AS104" s="197"/>
      <c r="AT104" s="197"/>
      <c r="AU104" s="197"/>
      <c r="AV104" s="197"/>
      <c r="AW104" s="197"/>
      <c r="AX104" s="197"/>
      <c r="AY104" s="197"/>
      <c r="AZ104" s="197"/>
      <c r="BA104" s="197"/>
      <c r="BB104" s="197"/>
      <c r="BC104" s="197"/>
      <c r="BD104" s="197"/>
      <c r="BE104" s="197"/>
      <c r="BF104" s="197"/>
      <c r="BG104" s="197"/>
      <c r="BH104" s="197"/>
      <c r="BI104" s="197"/>
      <c r="BJ104" s="197"/>
      <c r="BK104" s="197"/>
      <c r="BL104" s="197"/>
      <c r="BM104" s="193"/>
    </row>
    <row r="105" spans="1:65" x14ac:dyDescent="0.25">
      <c r="A105" s="193"/>
      <c r="B105" s="197"/>
      <c r="C105" s="197"/>
      <c r="D105" s="197"/>
      <c r="E105" s="197"/>
      <c r="F105" s="197"/>
      <c r="G105" s="197"/>
      <c r="H105" s="197"/>
      <c r="I105" s="197"/>
      <c r="J105" s="197"/>
      <c r="K105" s="197"/>
      <c r="L105" s="197"/>
      <c r="M105" s="197"/>
      <c r="N105" s="197"/>
      <c r="O105" s="197"/>
      <c r="P105" s="197"/>
      <c r="Q105" s="197"/>
      <c r="R105" s="197"/>
      <c r="S105" s="197"/>
      <c r="T105" s="197"/>
      <c r="U105" s="197"/>
      <c r="V105" s="197"/>
      <c r="W105" s="197"/>
      <c r="X105" s="197"/>
      <c r="Y105" s="197"/>
      <c r="Z105" s="197"/>
      <c r="AA105" s="197"/>
      <c r="AB105" s="197"/>
      <c r="AC105" s="197"/>
      <c r="AD105" s="197"/>
      <c r="AE105" s="197"/>
      <c r="AF105" s="197"/>
      <c r="AG105" s="194"/>
      <c r="AH105" s="197"/>
      <c r="AI105" s="197"/>
      <c r="AJ105" s="197"/>
      <c r="AK105" s="197"/>
      <c r="AL105" s="197"/>
      <c r="AM105" s="197"/>
      <c r="AN105" s="197"/>
      <c r="AO105" s="197"/>
      <c r="AP105" s="197"/>
      <c r="AQ105" s="197"/>
      <c r="AR105" s="197"/>
      <c r="AS105" s="197"/>
      <c r="AT105" s="197"/>
      <c r="AU105" s="197"/>
      <c r="AV105" s="197"/>
      <c r="AW105" s="197"/>
      <c r="AX105" s="197"/>
      <c r="AY105" s="197"/>
      <c r="AZ105" s="197"/>
      <c r="BA105" s="197"/>
      <c r="BB105" s="197"/>
      <c r="BC105" s="197"/>
      <c r="BD105" s="197"/>
      <c r="BE105" s="197"/>
      <c r="BF105" s="197"/>
      <c r="BG105" s="197"/>
      <c r="BH105" s="197"/>
      <c r="BI105" s="197"/>
      <c r="BJ105" s="197"/>
      <c r="BK105" s="197"/>
      <c r="BL105" s="197"/>
      <c r="BM105" s="193"/>
    </row>
    <row r="106" spans="1:65" x14ac:dyDescent="0.25">
      <c r="A106" s="193"/>
      <c r="B106" s="197"/>
      <c r="C106" s="197"/>
      <c r="D106" s="197"/>
      <c r="E106" s="197"/>
      <c r="F106" s="197"/>
      <c r="G106" s="197"/>
      <c r="H106" s="197"/>
      <c r="I106" s="197"/>
      <c r="J106" s="197"/>
      <c r="K106" s="197"/>
      <c r="L106" s="197"/>
      <c r="M106" s="197"/>
      <c r="N106" s="197"/>
      <c r="O106" s="197"/>
      <c r="P106" s="197"/>
      <c r="Q106" s="197"/>
      <c r="R106" s="197"/>
      <c r="S106" s="197"/>
      <c r="T106" s="197"/>
      <c r="U106" s="197"/>
      <c r="V106" s="197"/>
      <c r="W106" s="197"/>
      <c r="X106" s="197"/>
      <c r="Y106" s="197"/>
      <c r="Z106" s="197"/>
      <c r="AA106" s="197"/>
      <c r="AB106" s="197"/>
      <c r="AC106" s="197"/>
      <c r="AD106" s="197"/>
      <c r="AE106" s="197"/>
      <c r="AF106" s="197"/>
      <c r="AG106" s="194"/>
      <c r="AH106" s="197"/>
      <c r="AI106" s="197"/>
      <c r="AJ106" s="197"/>
      <c r="AK106" s="197"/>
      <c r="AL106" s="197"/>
      <c r="AM106" s="197"/>
      <c r="AN106" s="197"/>
      <c r="AO106" s="197"/>
      <c r="AP106" s="197"/>
      <c r="AQ106" s="197"/>
      <c r="AR106" s="197"/>
      <c r="AS106" s="197"/>
      <c r="AT106" s="197"/>
      <c r="AU106" s="197"/>
      <c r="AV106" s="197"/>
      <c r="AW106" s="197"/>
      <c r="AX106" s="197"/>
      <c r="AY106" s="197"/>
      <c r="AZ106" s="197"/>
      <c r="BA106" s="197"/>
      <c r="BB106" s="197"/>
      <c r="BC106" s="197"/>
      <c r="BD106" s="197"/>
      <c r="BE106" s="197"/>
      <c r="BF106" s="197"/>
      <c r="BG106" s="197"/>
      <c r="BH106" s="197"/>
      <c r="BI106" s="197"/>
      <c r="BJ106" s="197"/>
      <c r="BK106" s="197"/>
      <c r="BL106" s="197"/>
      <c r="BM106" s="193"/>
    </row>
    <row r="107" spans="1:65" x14ac:dyDescent="0.25">
      <c r="A107" s="193"/>
      <c r="B107" s="197"/>
      <c r="C107" s="197"/>
      <c r="D107" s="197"/>
      <c r="E107" s="197"/>
      <c r="F107" s="197"/>
      <c r="G107" s="197"/>
      <c r="H107" s="197"/>
      <c r="I107" s="197"/>
      <c r="J107" s="197"/>
      <c r="K107" s="197"/>
      <c r="L107" s="197"/>
      <c r="M107" s="197"/>
      <c r="N107" s="197"/>
      <c r="O107" s="197"/>
      <c r="P107" s="197"/>
      <c r="Q107" s="197"/>
      <c r="R107" s="197"/>
      <c r="S107" s="197"/>
      <c r="T107" s="197"/>
      <c r="U107" s="197"/>
      <c r="V107" s="197"/>
      <c r="W107" s="197"/>
      <c r="X107" s="197"/>
      <c r="Y107" s="197"/>
      <c r="Z107" s="197"/>
      <c r="AA107" s="197"/>
      <c r="AB107" s="197"/>
      <c r="AC107" s="197"/>
      <c r="AD107" s="197"/>
      <c r="AE107" s="197"/>
      <c r="AF107" s="197"/>
      <c r="AG107" s="194"/>
      <c r="AH107" s="197"/>
      <c r="AI107" s="197"/>
      <c r="AJ107" s="197"/>
      <c r="AK107" s="197"/>
      <c r="AL107" s="197"/>
      <c r="AM107" s="197"/>
      <c r="AN107" s="197"/>
      <c r="AO107" s="197"/>
      <c r="AP107" s="197"/>
      <c r="AQ107" s="197"/>
      <c r="AR107" s="197"/>
      <c r="AS107" s="197"/>
      <c r="AT107" s="197"/>
      <c r="AU107" s="197"/>
      <c r="AV107" s="197"/>
      <c r="AW107" s="197"/>
      <c r="AX107" s="197"/>
      <c r="AY107" s="197"/>
      <c r="AZ107" s="197"/>
      <c r="BA107" s="197"/>
      <c r="BB107" s="197"/>
      <c r="BC107" s="197"/>
      <c r="BD107" s="197"/>
      <c r="BE107" s="197"/>
      <c r="BF107" s="197"/>
      <c r="BG107" s="197"/>
      <c r="BH107" s="197"/>
      <c r="BI107" s="197"/>
      <c r="BJ107" s="197"/>
      <c r="BK107" s="197"/>
      <c r="BL107" s="197"/>
      <c r="BM107" s="193"/>
    </row>
    <row r="108" spans="1:65" x14ac:dyDescent="0.25">
      <c r="A108" s="193"/>
      <c r="B108" s="197"/>
      <c r="C108" s="197"/>
      <c r="D108" s="197"/>
      <c r="E108" s="197"/>
      <c r="F108" s="197"/>
      <c r="G108" s="197"/>
      <c r="H108" s="197"/>
      <c r="I108" s="197"/>
      <c r="J108" s="197"/>
      <c r="K108" s="197"/>
      <c r="L108" s="197"/>
      <c r="M108" s="197"/>
      <c r="N108" s="197"/>
      <c r="O108" s="197"/>
      <c r="P108" s="197"/>
      <c r="Q108" s="197"/>
      <c r="R108" s="197"/>
      <c r="S108" s="197"/>
      <c r="T108" s="197"/>
      <c r="U108" s="197"/>
      <c r="V108" s="197"/>
      <c r="W108" s="197"/>
      <c r="X108" s="197"/>
      <c r="Y108" s="197"/>
      <c r="Z108" s="197"/>
      <c r="AA108" s="197"/>
      <c r="AB108" s="197"/>
      <c r="AC108" s="197"/>
      <c r="AD108" s="197"/>
      <c r="AE108" s="197"/>
      <c r="AF108" s="197"/>
      <c r="AG108" s="194"/>
      <c r="AH108" s="197"/>
      <c r="AI108" s="197"/>
      <c r="AJ108" s="197"/>
      <c r="AK108" s="197"/>
      <c r="AL108" s="197"/>
      <c r="AM108" s="197"/>
      <c r="AN108" s="197"/>
      <c r="AO108" s="197"/>
      <c r="AP108" s="197"/>
      <c r="AQ108" s="197"/>
      <c r="AR108" s="197"/>
      <c r="AS108" s="197"/>
      <c r="AT108" s="197"/>
      <c r="AU108" s="197"/>
      <c r="AV108" s="197"/>
      <c r="AW108" s="197"/>
      <c r="AX108" s="197"/>
      <c r="AY108" s="197"/>
      <c r="AZ108" s="197"/>
      <c r="BA108" s="197"/>
      <c r="BB108" s="197"/>
      <c r="BC108" s="197"/>
      <c r="BD108" s="197"/>
      <c r="BE108" s="197"/>
      <c r="BF108" s="197"/>
      <c r="BG108" s="197"/>
      <c r="BH108" s="197"/>
      <c r="BI108" s="197"/>
      <c r="BJ108" s="197"/>
      <c r="BK108" s="197"/>
      <c r="BL108" s="197"/>
      <c r="BM108" s="193"/>
    </row>
    <row r="109" spans="1:65" x14ac:dyDescent="0.25">
      <c r="A109" s="193"/>
      <c r="B109" s="197"/>
      <c r="C109" s="197"/>
      <c r="D109" s="197"/>
      <c r="E109" s="197"/>
      <c r="F109" s="197"/>
      <c r="G109" s="197"/>
      <c r="H109" s="197"/>
      <c r="I109" s="197"/>
      <c r="J109" s="197"/>
      <c r="K109" s="197"/>
      <c r="L109" s="197"/>
      <c r="M109" s="197"/>
      <c r="N109" s="197"/>
      <c r="O109" s="197"/>
      <c r="P109" s="197"/>
      <c r="Q109" s="197"/>
      <c r="R109" s="197"/>
      <c r="S109" s="197"/>
      <c r="T109" s="197"/>
      <c r="U109" s="197"/>
      <c r="V109" s="197"/>
      <c r="W109" s="197"/>
      <c r="X109" s="197"/>
      <c r="Y109" s="197"/>
      <c r="Z109" s="197"/>
      <c r="AA109" s="197"/>
      <c r="AB109" s="197"/>
      <c r="AC109" s="197"/>
      <c r="AD109" s="197"/>
      <c r="AE109" s="197"/>
      <c r="AF109" s="197"/>
      <c r="AG109" s="194"/>
      <c r="AH109" s="197"/>
      <c r="AI109" s="197"/>
      <c r="AJ109" s="197"/>
      <c r="AK109" s="197"/>
      <c r="AL109" s="197"/>
      <c r="AM109" s="197"/>
      <c r="AN109" s="197"/>
      <c r="AO109" s="197"/>
      <c r="AP109" s="197"/>
      <c r="AQ109" s="197"/>
      <c r="AR109" s="197"/>
      <c r="AS109" s="197"/>
      <c r="AT109" s="197"/>
      <c r="AU109" s="197"/>
      <c r="AV109" s="197"/>
      <c r="AW109" s="197"/>
      <c r="AX109" s="197"/>
      <c r="AY109" s="197"/>
      <c r="AZ109" s="197"/>
      <c r="BA109" s="197"/>
      <c r="BB109" s="197"/>
      <c r="BC109" s="197"/>
      <c r="BD109" s="197"/>
      <c r="BE109" s="197"/>
      <c r="BF109" s="197"/>
      <c r="BG109" s="197"/>
      <c r="BH109" s="197"/>
      <c r="BI109" s="197"/>
      <c r="BJ109" s="197"/>
      <c r="BK109" s="197"/>
      <c r="BL109" s="197"/>
      <c r="BM109" s="193"/>
    </row>
    <row r="110" spans="1:65" x14ac:dyDescent="0.25">
      <c r="A110" s="193"/>
      <c r="B110" s="197"/>
      <c r="C110" s="197"/>
      <c r="D110" s="197"/>
      <c r="E110" s="197"/>
      <c r="F110" s="197"/>
      <c r="G110" s="197"/>
      <c r="H110" s="197"/>
      <c r="I110" s="197"/>
      <c r="J110" s="197"/>
      <c r="K110" s="197"/>
      <c r="L110" s="197"/>
      <c r="M110" s="197"/>
      <c r="N110" s="197"/>
      <c r="O110" s="197"/>
      <c r="P110" s="197"/>
      <c r="Q110" s="197"/>
      <c r="R110" s="197"/>
      <c r="S110" s="197"/>
      <c r="T110" s="197"/>
      <c r="U110" s="197"/>
      <c r="V110" s="197"/>
      <c r="W110" s="197"/>
      <c r="X110" s="197"/>
      <c r="Y110" s="197"/>
      <c r="Z110" s="197"/>
      <c r="AA110" s="197"/>
      <c r="AB110" s="197"/>
      <c r="AC110" s="197"/>
      <c r="AD110" s="197"/>
      <c r="AE110" s="197"/>
      <c r="AF110" s="197"/>
      <c r="AG110" s="194"/>
      <c r="AH110" s="197"/>
      <c r="AI110" s="197"/>
      <c r="AJ110" s="197"/>
      <c r="AK110" s="197"/>
      <c r="AL110" s="197"/>
      <c r="AM110" s="197"/>
      <c r="AN110" s="197"/>
      <c r="AO110" s="197"/>
      <c r="AP110" s="197"/>
      <c r="AQ110" s="197"/>
      <c r="AR110" s="197"/>
      <c r="AS110" s="197"/>
      <c r="AT110" s="197"/>
      <c r="AU110" s="197"/>
      <c r="AV110" s="197"/>
      <c r="AW110" s="197"/>
      <c r="AX110" s="197"/>
      <c r="AY110" s="197"/>
      <c r="AZ110" s="197"/>
      <c r="BA110" s="197"/>
      <c r="BB110" s="197"/>
      <c r="BC110" s="197"/>
      <c r="BD110" s="197"/>
      <c r="BE110" s="197"/>
      <c r="BF110" s="197"/>
      <c r="BG110" s="197"/>
      <c r="BH110" s="197"/>
      <c r="BI110" s="197"/>
      <c r="BJ110" s="197"/>
      <c r="BK110" s="197"/>
      <c r="BL110" s="197"/>
      <c r="BM110" s="193"/>
    </row>
    <row r="111" spans="1:65" x14ac:dyDescent="0.25">
      <c r="A111" s="193"/>
      <c r="B111" s="197"/>
      <c r="C111" s="197"/>
      <c r="D111" s="197"/>
      <c r="E111" s="197"/>
      <c r="F111" s="197"/>
      <c r="G111" s="197"/>
      <c r="H111" s="197"/>
      <c r="I111" s="197"/>
      <c r="J111" s="197"/>
      <c r="K111" s="197"/>
      <c r="L111" s="197"/>
      <c r="M111" s="197"/>
      <c r="N111" s="197"/>
      <c r="O111" s="197"/>
      <c r="P111" s="197"/>
      <c r="Q111" s="197"/>
      <c r="R111" s="197"/>
      <c r="S111" s="197"/>
      <c r="T111" s="197"/>
      <c r="U111" s="197"/>
      <c r="V111" s="197"/>
      <c r="W111" s="197"/>
      <c r="X111" s="197"/>
      <c r="Y111" s="197"/>
      <c r="Z111" s="197"/>
      <c r="AA111" s="197"/>
      <c r="AB111" s="197"/>
      <c r="AC111" s="197"/>
      <c r="AD111" s="197"/>
      <c r="AE111" s="197"/>
      <c r="AF111" s="197"/>
      <c r="AG111" s="194"/>
      <c r="AH111" s="197"/>
      <c r="AI111" s="197"/>
      <c r="AJ111" s="197"/>
      <c r="AK111" s="197"/>
      <c r="AL111" s="197"/>
      <c r="AM111" s="197"/>
      <c r="AN111" s="197"/>
      <c r="AO111" s="197"/>
      <c r="AP111" s="197"/>
      <c r="AQ111" s="197"/>
      <c r="AR111" s="197"/>
      <c r="AS111" s="197"/>
      <c r="AT111" s="197"/>
      <c r="AU111" s="197"/>
      <c r="AV111" s="197"/>
      <c r="AW111" s="197"/>
      <c r="AX111" s="197"/>
      <c r="AY111" s="197"/>
      <c r="AZ111" s="197"/>
      <c r="BA111" s="197"/>
      <c r="BB111" s="197"/>
      <c r="BC111" s="197"/>
      <c r="BD111" s="197"/>
      <c r="BE111" s="197"/>
      <c r="BF111" s="197"/>
      <c r="BG111" s="197"/>
      <c r="BH111" s="197"/>
      <c r="BI111" s="197"/>
      <c r="BJ111" s="197"/>
      <c r="BK111" s="197"/>
      <c r="BL111" s="197"/>
      <c r="BM111" s="193"/>
    </row>
    <row r="112" spans="1:65" x14ac:dyDescent="0.25">
      <c r="A112" s="193"/>
      <c r="B112" s="197"/>
      <c r="C112" s="197"/>
      <c r="D112" s="197"/>
      <c r="E112" s="197"/>
      <c r="F112" s="197"/>
      <c r="G112" s="197"/>
      <c r="H112" s="197"/>
      <c r="I112" s="197"/>
      <c r="J112" s="197"/>
      <c r="K112" s="197"/>
      <c r="L112" s="197"/>
      <c r="M112" s="197"/>
      <c r="N112" s="197"/>
      <c r="O112" s="197"/>
      <c r="P112" s="197"/>
      <c r="Q112" s="197"/>
      <c r="R112" s="197"/>
      <c r="S112" s="197"/>
      <c r="T112" s="197"/>
      <c r="U112" s="197"/>
      <c r="V112" s="197"/>
      <c r="W112" s="197"/>
      <c r="X112" s="197"/>
      <c r="Y112" s="197"/>
      <c r="Z112" s="197"/>
      <c r="AA112" s="197"/>
      <c r="AB112" s="197"/>
      <c r="AC112" s="197"/>
      <c r="AD112" s="197"/>
      <c r="AE112" s="197"/>
      <c r="AF112" s="197"/>
      <c r="AG112" s="194"/>
      <c r="AH112" s="197"/>
      <c r="AI112" s="197"/>
      <c r="AJ112" s="197"/>
      <c r="AK112" s="197"/>
      <c r="AL112" s="197"/>
      <c r="AM112" s="197"/>
      <c r="AN112" s="197"/>
      <c r="AO112" s="197"/>
      <c r="AP112" s="197"/>
      <c r="AQ112" s="197"/>
      <c r="AR112" s="197"/>
      <c r="AS112" s="197"/>
      <c r="AT112" s="197"/>
      <c r="AU112" s="197"/>
      <c r="AV112" s="197"/>
      <c r="AW112" s="197"/>
      <c r="AX112" s="197"/>
      <c r="AY112" s="197"/>
      <c r="AZ112" s="197"/>
      <c r="BA112" s="197"/>
      <c r="BB112" s="197"/>
      <c r="BC112" s="197"/>
      <c r="BD112" s="197"/>
      <c r="BE112" s="197"/>
      <c r="BF112" s="197"/>
      <c r="BG112" s="197"/>
      <c r="BH112" s="197"/>
      <c r="BI112" s="197"/>
      <c r="BJ112" s="197"/>
      <c r="BK112" s="197"/>
      <c r="BL112" s="197"/>
      <c r="BM112" s="193"/>
    </row>
    <row r="113" spans="1:65" x14ac:dyDescent="0.25">
      <c r="A113" s="193"/>
      <c r="B113" s="197"/>
      <c r="C113" s="197"/>
      <c r="D113" s="197"/>
      <c r="E113" s="197"/>
      <c r="F113" s="197"/>
      <c r="G113" s="197"/>
      <c r="H113" s="197"/>
      <c r="I113" s="197"/>
      <c r="J113" s="197"/>
      <c r="K113" s="197"/>
      <c r="L113" s="197"/>
      <c r="M113" s="197"/>
      <c r="N113" s="197"/>
      <c r="O113" s="197"/>
      <c r="P113" s="197"/>
      <c r="Q113" s="197"/>
      <c r="R113" s="197"/>
      <c r="S113" s="197"/>
      <c r="T113" s="197"/>
      <c r="U113" s="197"/>
      <c r="V113" s="197"/>
      <c r="W113" s="197"/>
      <c r="X113" s="197"/>
      <c r="Y113" s="197"/>
      <c r="Z113" s="197"/>
      <c r="AA113" s="197"/>
      <c r="AB113" s="197"/>
      <c r="AC113" s="197"/>
      <c r="AD113" s="197"/>
      <c r="AE113" s="197"/>
      <c r="AF113" s="197"/>
      <c r="AG113" s="194"/>
      <c r="AH113" s="197"/>
      <c r="AI113" s="197"/>
      <c r="AJ113" s="197"/>
      <c r="AK113" s="197"/>
      <c r="AL113" s="197"/>
      <c r="AM113" s="197"/>
      <c r="AN113" s="197"/>
      <c r="AO113" s="197"/>
      <c r="AP113" s="197"/>
      <c r="AQ113" s="197"/>
      <c r="AR113" s="197"/>
      <c r="AS113" s="197"/>
      <c r="AT113" s="197"/>
      <c r="AU113" s="197"/>
      <c r="AV113" s="197"/>
      <c r="AW113" s="197"/>
      <c r="AX113" s="197"/>
      <c r="AY113" s="197"/>
      <c r="AZ113" s="197"/>
      <c r="BA113" s="197"/>
      <c r="BB113" s="197"/>
      <c r="BC113" s="197"/>
      <c r="BD113" s="197"/>
      <c r="BE113" s="197"/>
      <c r="BF113" s="197"/>
      <c r="BG113" s="197"/>
      <c r="BH113" s="197"/>
      <c r="BI113" s="197"/>
      <c r="BJ113" s="197"/>
      <c r="BK113" s="197"/>
      <c r="BL113" s="197"/>
      <c r="BM113" s="193"/>
    </row>
    <row r="114" spans="1:65" x14ac:dyDescent="0.25">
      <c r="A114" s="193"/>
      <c r="B114" s="197"/>
      <c r="C114" s="197"/>
      <c r="D114" s="197"/>
      <c r="E114" s="197"/>
      <c r="F114" s="197"/>
      <c r="G114" s="197"/>
      <c r="H114" s="197"/>
      <c r="I114" s="197"/>
      <c r="J114" s="197"/>
      <c r="K114" s="197"/>
      <c r="L114" s="197"/>
      <c r="M114" s="197"/>
      <c r="N114" s="197"/>
      <c r="O114" s="197"/>
      <c r="P114" s="197"/>
      <c r="Q114" s="197"/>
      <c r="R114" s="197"/>
      <c r="S114" s="197"/>
      <c r="T114" s="197"/>
      <c r="U114" s="197"/>
      <c r="V114" s="197"/>
      <c r="W114" s="197"/>
      <c r="X114" s="197"/>
      <c r="Y114" s="197"/>
      <c r="Z114" s="197"/>
      <c r="AA114" s="197"/>
      <c r="AB114" s="197"/>
      <c r="AC114" s="197"/>
      <c r="AD114" s="197"/>
      <c r="AE114" s="197"/>
      <c r="AF114" s="197"/>
      <c r="AG114" s="194"/>
      <c r="AH114" s="197"/>
      <c r="AI114" s="197"/>
      <c r="AJ114" s="197"/>
      <c r="AK114" s="197"/>
      <c r="AL114" s="197"/>
      <c r="AM114" s="197"/>
      <c r="AN114" s="197"/>
      <c r="AO114" s="197"/>
      <c r="AP114" s="197"/>
      <c r="AQ114" s="197"/>
      <c r="AR114" s="197"/>
      <c r="AS114" s="197"/>
      <c r="AT114" s="197"/>
      <c r="AU114" s="197"/>
      <c r="AV114" s="197"/>
      <c r="AW114" s="197"/>
      <c r="AX114" s="197"/>
      <c r="AY114" s="197"/>
      <c r="AZ114" s="197"/>
      <c r="BA114" s="197"/>
      <c r="BB114" s="197"/>
      <c r="BC114" s="197"/>
      <c r="BD114" s="197"/>
      <c r="BE114" s="197"/>
      <c r="BF114" s="197"/>
      <c r="BG114" s="197"/>
      <c r="BH114" s="197"/>
      <c r="BI114" s="197"/>
      <c r="BJ114" s="197"/>
      <c r="BK114" s="197"/>
      <c r="BL114" s="197"/>
      <c r="BM114" s="193"/>
    </row>
    <row r="115" spans="1:65" x14ac:dyDescent="0.25">
      <c r="A115" s="193"/>
      <c r="B115" s="197"/>
      <c r="C115" s="197"/>
      <c r="D115" s="197"/>
      <c r="E115" s="197"/>
      <c r="F115" s="197"/>
      <c r="G115" s="197"/>
      <c r="H115" s="197"/>
      <c r="I115" s="197"/>
      <c r="J115" s="197"/>
      <c r="K115" s="197"/>
      <c r="L115" s="197"/>
      <c r="M115" s="197"/>
      <c r="N115" s="197"/>
      <c r="O115" s="197"/>
      <c r="P115" s="197"/>
      <c r="Q115" s="197"/>
      <c r="R115" s="197"/>
      <c r="S115" s="197"/>
      <c r="T115" s="197"/>
      <c r="U115" s="197"/>
      <c r="V115" s="197"/>
      <c r="W115" s="197"/>
      <c r="X115" s="197"/>
      <c r="Y115" s="197"/>
      <c r="Z115" s="197"/>
      <c r="AA115" s="197"/>
      <c r="AB115" s="197"/>
      <c r="AC115" s="197"/>
      <c r="AD115" s="197"/>
      <c r="AE115" s="197"/>
      <c r="AF115" s="197"/>
      <c r="AG115" s="194"/>
      <c r="AH115" s="197"/>
      <c r="AI115" s="197"/>
      <c r="AJ115" s="197"/>
      <c r="AK115" s="197"/>
      <c r="AL115" s="197"/>
      <c r="AM115" s="197"/>
      <c r="AN115" s="197"/>
      <c r="AO115" s="197"/>
      <c r="AP115" s="197"/>
      <c r="AQ115" s="197"/>
      <c r="AR115" s="197"/>
      <c r="AS115" s="197"/>
      <c r="AT115" s="197"/>
      <c r="AU115" s="197"/>
      <c r="AV115" s="197"/>
      <c r="AW115" s="197"/>
      <c r="AX115" s="197"/>
      <c r="AY115" s="197"/>
      <c r="AZ115" s="197"/>
      <c r="BA115" s="197"/>
      <c r="BB115" s="197"/>
      <c r="BC115" s="197"/>
      <c r="BD115" s="197"/>
      <c r="BE115" s="197"/>
      <c r="BF115" s="197"/>
      <c r="BG115" s="197"/>
      <c r="BH115" s="197"/>
      <c r="BI115" s="197"/>
      <c r="BJ115" s="197"/>
      <c r="BK115" s="197"/>
      <c r="BL115" s="197"/>
      <c r="BM115" s="193"/>
    </row>
    <row r="116" spans="1:65" x14ac:dyDescent="0.25">
      <c r="A116" s="193"/>
      <c r="B116" s="197"/>
      <c r="C116" s="197"/>
      <c r="D116" s="197"/>
      <c r="E116" s="197"/>
      <c r="F116" s="197"/>
      <c r="G116" s="197"/>
      <c r="H116" s="197"/>
      <c r="I116" s="197"/>
      <c r="J116" s="197"/>
      <c r="K116" s="197"/>
      <c r="L116" s="197"/>
      <c r="M116" s="197"/>
      <c r="N116" s="197"/>
      <c r="O116" s="197"/>
      <c r="P116" s="197"/>
      <c r="Q116" s="197"/>
      <c r="R116" s="197"/>
      <c r="S116" s="197"/>
      <c r="T116" s="197"/>
      <c r="U116" s="197"/>
      <c r="V116" s="197"/>
      <c r="W116" s="197"/>
      <c r="X116" s="197"/>
      <c r="Y116" s="197"/>
      <c r="Z116" s="197"/>
      <c r="AA116" s="197"/>
      <c r="AB116" s="197"/>
      <c r="AC116" s="197"/>
      <c r="AD116" s="197"/>
      <c r="AE116" s="197"/>
      <c r="AF116" s="197"/>
      <c r="AG116" s="194"/>
      <c r="AH116" s="197"/>
      <c r="AI116" s="197"/>
      <c r="AJ116" s="197"/>
      <c r="AK116" s="197"/>
      <c r="AL116" s="197"/>
      <c r="AM116" s="197"/>
      <c r="AN116" s="197"/>
      <c r="AO116" s="197"/>
      <c r="AP116" s="197"/>
      <c r="AQ116" s="197"/>
      <c r="AR116" s="197"/>
      <c r="AS116" s="197"/>
      <c r="AT116" s="197"/>
      <c r="AU116" s="197"/>
      <c r="AV116" s="197"/>
      <c r="AW116" s="197"/>
      <c r="AX116" s="197"/>
      <c r="AY116" s="197"/>
      <c r="AZ116" s="197"/>
      <c r="BA116" s="197"/>
      <c r="BB116" s="197"/>
      <c r="BC116" s="197"/>
      <c r="BD116" s="197"/>
      <c r="BE116" s="197"/>
      <c r="BF116" s="197"/>
      <c r="BG116" s="197"/>
      <c r="BH116" s="197"/>
      <c r="BI116" s="197"/>
      <c r="BJ116" s="197"/>
      <c r="BK116" s="197"/>
      <c r="BL116" s="197"/>
      <c r="BM116" s="193"/>
    </row>
    <row r="117" spans="1:65" x14ac:dyDescent="0.25">
      <c r="A117" s="193"/>
      <c r="B117" s="197"/>
      <c r="C117" s="197"/>
      <c r="D117" s="197"/>
      <c r="E117" s="197"/>
      <c r="F117" s="197"/>
      <c r="G117" s="197"/>
      <c r="H117" s="197"/>
      <c r="I117" s="197"/>
      <c r="J117" s="197"/>
      <c r="K117" s="197"/>
      <c r="L117" s="197"/>
      <c r="M117" s="197"/>
      <c r="N117" s="197"/>
      <c r="O117" s="197"/>
      <c r="P117" s="197"/>
      <c r="Q117" s="197"/>
      <c r="R117" s="197"/>
      <c r="S117" s="197"/>
      <c r="T117" s="197"/>
      <c r="U117" s="197"/>
      <c r="V117" s="197"/>
      <c r="W117" s="197"/>
      <c r="X117" s="197"/>
      <c r="Y117" s="197"/>
      <c r="Z117" s="197"/>
      <c r="AA117" s="197"/>
      <c r="AB117" s="197"/>
      <c r="AC117" s="197"/>
      <c r="AD117" s="197"/>
      <c r="AE117" s="197"/>
      <c r="AF117" s="197"/>
      <c r="AG117" s="194"/>
      <c r="AH117" s="197"/>
      <c r="AI117" s="197"/>
      <c r="AJ117" s="197"/>
      <c r="AK117" s="197"/>
      <c r="AL117" s="197"/>
      <c r="AM117" s="197"/>
      <c r="AN117" s="197"/>
      <c r="AO117" s="197"/>
      <c r="AP117" s="197"/>
      <c r="AQ117" s="197"/>
      <c r="AR117" s="197"/>
      <c r="AS117" s="197"/>
      <c r="AT117" s="197"/>
      <c r="AU117" s="197"/>
      <c r="AV117" s="197"/>
      <c r="AW117" s="197"/>
      <c r="AX117" s="197"/>
      <c r="AY117" s="197"/>
      <c r="AZ117" s="197"/>
      <c r="BA117" s="197"/>
      <c r="BB117" s="197"/>
      <c r="BC117" s="197"/>
      <c r="BD117" s="197"/>
      <c r="BE117" s="197"/>
      <c r="BF117" s="197"/>
      <c r="BG117" s="197"/>
      <c r="BH117" s="197"/>
      <c r="BI117" s="197"/>
      <c r="BJ117" s="197"/>
      <c r="BK117" s="197"/>
      <c r="BL117" s="197"/>
      <c r="BM117" s="193"/>
    </row>
    <row r="118" spans="1:65" x14ac:dyDescent="0.25">
      <c r="A118" s="193"/>
      <c r="B118" s="197"/>
      <c r="C118" s="197"/>
      <c r="D118" s="197"/>
      <c r="E118" s="197"/>
      <c r="F118" s="197"/>
      <c r="G118" s="197"/>
      <c r="H118" s="197"/>
      <c r="I118" s="197"/>
      <c r="J118" s="197"/>
      <c r="K118" s="197"/>
      <c r="L118" s="197"/>
      <c r="M118" s="197"/>
      <c r="N118" s="197"/>
      <c r="O118" s="197"/>
      <c r="P118" s="197"/>
      <c r="Q118" s="197"/>
      <c r="R118" s="197"/>
      <c r="S118" s="197"/>
      <c r="T118" s="197"/>
      <c r="U118" s="197"/>
      <c r="V118" s="197"/>
      <c r="W118" s="197"/>
      <c r="X118" s="197"/>
      <c r="Y118" s="197"/>
      <c r="Z118" s="197"/>
      <c r="AA118" s="197"/>
      <c r="AB118" s="197"/>
      <c r="AC118" s="197"/>
      <c r="AD118" s="197"/>
      <c r="AE118" s="197"/>
      <c r="AF118" s="197"/>
      <c r="AG118" s="194"/>
      <c r="AH118" s="197"/>
      <c r="AI118" s="197"/>
      <c r="AJ118" s="197"/>
      <c r="AK118" s="197"/>
      <c r="AL118" s="197"/>
      <c r="AM118" s="197"/>
      <c r="AN118" s="197"/>
      <c r="AO118" s="197"/>
      <c r="AP118" s="197"/>
      <c r="AQ118" s="197"/>
      <c r="AR118" s="197"/>
      <c r="AS118" s="197"/>
      <c r="AT118" s="197"/>
      <c r="AU118" s="197"/>
      <c r="AV118" s="197"/>
      <c r="AW118" s="197"/>
      <c r="AX118" s="197"/>
      <c r="AY118" s="197"/>
      <c r="AZ118" s="197"/>
      <c r="BA118" s="197"/>
      <c r="BB118" s="197"/>
      <c r="BC118" s="197"/>
      <c r="BD118" s="197"/>
      <c r="BE118" s="197"/>
      <c r="BF118" s="197"/>
      <c r="BG118" s="197"/>
      <c r="BH118" s="197"/>
      <c r="BI118" s="197"/>
      <c r="BJ118" s="197"/>
      <c r="BK118" s="197"/>
      <c r="BL118" s="197"/>
      <c r="BM118" s="193"/>
    </row>
    <row r="119" spans="1:65" x14ac:dyDescent="0.25">
      <c r="A119" s="193"/>
      <c r="B119" s="197"/>
      <c r="C119" s="197"/>
      <c r="D119" s="197"/>
      <c r="E119" s="197"/>
      <c r="F119" s="197"/>
      <c r="G119" s="197"/>
      <c r="H119" s="197"/>
      <c r="I119" s="197"/>
      <c r="J119" s="197"/>
      <c r="K119" s="197"/>
      <c r="L119" s="197"/>
      <c r="M119" s="197"/>
      <c r="N119" s="197"/>
      <c r="O119" s="197"/>
      <c r="P119" s="197"/>
      <c r="Q119" s="197"/>
      <c r="R119" s="197"/>
      <c r="S119" s="197"/>
      <c r="T119" s="197"/>
      <c r="U119" s="197"/>
      <c r="V119" s="197"/>
      <c r="W119" s="197"/>
      <c r="X119" s="197"/>
      <c r="Y119" s="197"/>
      <c r="Z119" s="197"/>
      <c r="AA119" s="197"/>
      <c r="AB119" s="197"/>
      <c r="AC119" s="197"/>
      <c r="AD119" s="197"/>
      <c r="AE119" s="197"/>
      <c r="AF119" s="197"/>
      <c r="AG119" s="194"/>
      <c r="AH119" s="197"/>
      <c r="AI119" s="197"/>
      <c r="AJ119" s="197"/>
      <c r="AK119" s="197"/>
      <c r="AL119" s="197"/>
      <c r="AM119" s="197"/>
      <c r="AN119" s="197"/>
      <c r="AO119" s="197"/>
      <c r="AP119" s="197"/>
      <c r="AQ119" s="197"/>
      <c r="AR119" s="197"/>
      <c r="AS119" s="197"/>
      <c r="AT119" s="197"/>
      <c r="AU119" s="197"/>
      <c r="AV119" s="197"/>
      <c r="AW119" s="197"/>
      <c r="AX119" s="197"/>
      <c r="AY119" s="197"/>
      <c r="AZ119" s="197"/>
      <c r="BA119" s="197"/>
      <c r="BB119" s="197"/>
      <c r="BC119" s="197"/>
      <c r="BD119" s="197"/>
      <c r="BE119" s="197"/>
      <c r="BF119" s="197"/>
      <c r="BG119" s="197"/>
      <c r="BH119" s="197"/>
      <c r="BI119" s="197"/>
      <c r="BJ119" s="197"/>
      <c r="BK119" s="197"/>
      <c r="BL119" s="197"/>
      <c r="BM119" s="193"/>
    </row>
    <row r="120" spans="1:65" x14ac:dyDescent="0.25">
      <c r="A120" s="193"/>
      <c r="B120" s="197"/>
      <c r="C120" s="197"/>
      <c r="D120" s="197"/>
      <c r="E120" s="197"/>
      <c r="F120" s="197"/>
      <c r="G120" s="197"/>
      <c r="H120" s="197"/>
      <c r="I120" s="197"/>
      <c r="J120" s="197"/>
      <c r="K120" s="197"/>
      <c r="L120" s="197"/>
      <c r="M120" s="197"/>
      <c r="N120" s="197"/>
      <c r="O120" s="197"/>
      <c r="P120" s="197"/>
      <c r="Q120" s="197"/>
      <c r="R120" s="197"/>
      <c r="S120" s="197"/>
      <c r="T120" s="197"/>
      <c r="U120" s="197"/>
      <c r="V120" s="197"/>
      <c r="W120" s="197"/>
      <c r="X120" s="197"/>
      <c r="Y120" s="197"/>
      <c r="Z120" s="197"/>
      <c r="AA120" s="197"/>
      <c r="AB120" s="197"/>
      <c r="AC120" s="197"/>
      <c r="AD120" s="197"/>
      <c r="AE120" s="197"/>
      <c r="AF120" s="197"/>
      <c r="AG120" s="194"/>
      <c r="AH120" s="197"/>
      <c r="AI120" s="197"/>
      <c r="AJ120" s="197"/>
      <c r="AK120" s="197"/>
      <c r="AL120" s="197"/>
      <c r="AM120" s="197"/>
      <c r="AN120" s="197"/>
      <c r="AO120" s="197"/>
      <c r="AP120" s="197"/>
      <c r="AQ120" s="197"/>
      <c r="AR120" s="197"/>
      <c r="AS120" s="197"/>
      <c r="AT120" s="197"/>
      <c r="AU120" s="197"/>
      <c r="AV120" s="197"/>
      <c r="AW120" s="197"/>
      <c r="AX120" s="197"/>
      <c r="AY120" s="197"/>
      <c r="AZ120" s="197"/>
      <c r="BA120" s="197"/>
      <c r="BB120" s="197"/>
      <c r="BC120" s="197"/>
      <c r="BD120" s="197"/>
      <c r="BE120" s="197"/>
      <c r="BF120" s="197"/>
      <c r="BG120" s="197"/>
      <c r="BH120" s="197"/>
      <c r="BI120" s="197"/>
      <c r="BJ120" s="197"/>
      <c r="BK120" s="197"/>
      <c r="BL120" s="197"/>
      <c r="BM120" s="193"/>
    </row>
    <row r="121" spans="1:65" x14ac:dyDescent="0.25">
      <c r="A121" s="193"/>
      <c r="B121" s="197"/>
      <c r="C121" s="197"/>
      <c r="D121" s="197"/>
      <c r="E121" s="197"/>
      <c r="F121" s="197"/>
      <c r="G121" s="197"/>
      <c r="H121" s="197"/>
      <c r="I121" s="197"/>
      <c r="J121" s="197"/>
      <c r="K121" s="197"/>
      <c r="L121" s="197"/>
      <c r="M121" s="197"/>
      <c r="N121" s="197"/>
      <c r="O121" s="197"/>
      <c r="P121" s="197"/>
      <c r="Q121" s="197"/>
      <c r="R121" s="197"/>
      <c r="S121" s="197"/>
      <c r="T121" s="197"/>
      <c r="U121" s="197"/>
      <c r="V121" s="197"/>
      <c r="W121" s="197"/>
      <c r="X121" s="197"/>
      <c r="Y121" s="197"/>
      <c r="Z121" s="197"/>
      <c r="AA121" s="197"/>
      <c r="AB121" s="197"/>
      <c r="AC121" s="197"/>
      <c r="AD121" s="197"/>
      <c r="AE121" s="197"/>
      <c r="AF121" s="197"/>
      <c r="AG121" s="194"/>
      <c r="AH121" s="197"/>
      <c r="AI121" s="197"/>
      <c r="AJ121" s="197"/>
      <c r="AK121" s="197"/>
      <c r="AL121" s="197"/>
      <c r="AM121" s="197"/>
      <c r="AN121" s="197"/>
      <c r="AO121" s="197"/>
      <c r="AP121" s="197"/>
      <c r="AQ121" s="197"/>
      <c r="AR121" s="197"/>
      <c r="AS121" s="197"/>
      <c r="AT121" s="197"/>
      <c r="AU121" s="197"/>
      <c r="AV121" s="197"/>
      <c r="AW121" s="197"/>
      <c r="AX121" s="197"/>
      <c r="AY121" s="197"/>
      <c r="AZ121" s="197"/>
      <c r="BA121" s="197"/>
      <c r="BB121" s="197"/>
      <c r="BC121" s="197"/>
      <c r="BD121" s="197"/>
      <c r="BE121" s="197"/>
      <c r="BF121" s="197"/>
      <c r="BG121" s="197"/>
      <c r="BH121" s="197"/>
      <c r="BI121" s="197"/>
      <c r="BJ121" s="197"/>
      <c r="BK121" s="197"/>
      <c r="BL121" s="197"/>
      <c r="BM121" s="193"/>
    </row>
    <row r="122" spans="1:65" x14ac:dyDescent="0.25">
      <c r="A122" s="193"/>
      <c r="B122" s="197"/>
      <c r="C122" s="197"/>
      <c r="D122" s="197"/>
      <c r="E122" s="197"/>
      <c r="F122" s="197"/>
      <c r="G122" s="197"/>
      <c r="H122" s="197"/>
      <c r="I122" s="197"/>
      <c r="J122" s="197"/>
      <c r="K122" s="197"/>
      <c r="L122" s="197"/>
      <c r="M122" s="197"/>
      <c r="N122" s="197"/>
      <c r="O122" s="197"/>
      <c r="P122" s="197"/>
      <c r="Q122" s="197"/>
      <c r="R122" s="197"/>
      <c r="S122" s="197"/>
      <c r="T122" s="197"/>
      <c r="U122" s="197"/>
      <c r="V122" s="197"/>
      <c r="W122" s="197"/>
      <c r="X122" s="197"/>
      <c r="Y122" s="197"/>
      <c r="Z122" s="197"/>
      <c r="AA122" s="197"/>
      <c r="AB122" s="197"/>
      <c r="AC122" s="197"/>
      <c r="AD122" s="197"/>
      <c r="AE122" s="197"/>
      <c r="AF122" s="197"/>
      <c r="AG122" s="194"/>
      <c r="AH122" s="197"/>
      <c r="AI122" s="197"/>
      <c r="AJ122" s="197"/>
      <c r="AK122" s="197"/>
      <c r="AL122" s="197"/>
      <c r="AM122" s="197"/>
      <c r="AN122" s="197"/>
      <c r="AO122" s="197"/>
      <c r="AP122" s="197"/>
      <c r="AQ122" s="197"/>
      <c r="AR122" s="197"/>
      <c r="AS122" s="197"/>
      <c r="AT122" s="197"/>
      <c r="AU122" s="197"/>
      <c r="AV122" s="197"/>
      <c r="AW122" s="197"/>
      <c r="AX122" s="197"/>
      <c r="AY122" s="197"/>
      <c r="AZ122" s="197"/>
      <c r="BA122" s="197"/>
      <c r="BB122" s="197"/>
      <c r="BC122" s="197"/>
      <c r="BD122" s="197"/>
      <c r="BE122" s="197"/>
      <c r="BF122" s="197"/>
      <c r="BG122" s="197"/>
      <c r="BH122" s="197"/>
      <c r="BI122" s="197"/>
      <c r="BJ122" s="197"/>
      <c r="BK122" s="197"/>
      <c r="BL122" s="197"/>
      <c r="BM122" s="193"/>
    </row>
    <row r="123" spans="1:65" x14ac:dyDescent="0.25">
      <c r="A123" s="193"/>
      <c r="B123" s="197"/>
      <c r="C123" s="197"/>
      <c r="D123" s="197"/>
      <c r="E123" s="197"/>
      <c r="F123" s="197"/>
      <c r="G123" s="197"/>
      <c r="H123" s="197"/>
      <c r="I123" s="197"/>
      <c r="J123" s="197"/>
      <c r="K123" s="197"/>
      <c r="L123" s="197"/>
      <c r="M123" s="197"/>
      <c r="N123" s="197"/>
      <c r="O123" s="197"/>
      <c r="P123" s="197"/>
      <c r="Q123" s="197"/>
      <c r="R123" s="197"/>
      <c r="S123" s="197"/>
      <c r="T123" s="197"/>
      <c r="U123" s="197"/>
      <c r="V123" s="197"/>
      <c r="W123" s="197"/>
      <c r="X123" s="197"/>
      <c r="Y123" s="197"/>
      <c r="Z123" s="197"/>
      <c r="AA123" s="197"/>
      <c r="AB123" s="197"/>
      <c r="AC123" s="197"/>
      <c r="AD123" s="197"/>
      <c r="AE123" s="197"/>
      <c r="AF123" s="197"/>
      <c r="AG123" s="194"/>
      <c r="AH123" s="197"/>
      <c r="AI123" s="197"/>
      <c r="AJ123" s="197"/>
      <c r="AK123" s="197"/>
      <c r="AL123" s="197"/>
      <c r="AM123" s="197"/>
      <c r="AN123" s="197"/>
      <c r="AO123" s="197"/>
      <c r="AP123" s="197"/>
      <c r="AQ123" s="197"/>
      <c r="AR123" s="197"/>
      <c r="AS123" s="197"/>
      <c r="AT123" s="197"/>
      <c r="AU123" s="197"/>
      <c r="AV123" s="197"/>
      <c r="AW123" s="197"/>
      <c r="AX123" s="197"/>
      <c r="AY123" s="197"/>
      <c r="AZ123" s="197"/>
      <c r="BA123" s="197"/>
      <c r="BB123" s="197"/>
      <c r="BC123" s="197"/>
      <c r="BD123" s="197"/>
      <c r="BE123" s="197"/>
      <c r="BF123" s="197"/>
      <c r="BG123" s="197"/>
      <c r="BH123" s="197"/>
      <c r="BI123" s="197"/>
      <c r="BJ123" s="197"/>
      <c r="BK123" s="197"/>
      <c r="BL123" s="197"/>
      <c r="BM123" s="193"/>
    </row>
    <row r="124" spans="1:65" x14ac:dyDescent="0.25">
      <c r="A124" s="193"/>
      <c r="B124" s="197"/>
      <c r="C124" s="197"/>
      <c r="D124" s="197"/>
      <c r="E124" s="197"/>
      <c r="F124" s="197"/>
      <c r="G124" s="197"/>
      <c r="H124" s="197"/>
      <c r="I124" s="197"/>
      <c r="J124" s="197"/>
      <c r="K124" s="197"/>
      <c r="L124" s="197"/>
      <c r="M124" s="197"/>
      <c r="N124" s="197"/>
      <c r="O124" s="197"/>
      <c r="P124" s="197"/>
      <c r="Q124" s="197"/>
      <c r="R124" s="197"/>
      <c r="S124" s="197"/>
      <c r="T124" s="197"/>
      <c r="U124" s="197"/>
      <c r="V124" s="197"/>
      <c r="W124" s="197"/>
      <c r="X124" s="197"/>
      <c r="Y124" s="197"/>
      <c r="Z124" s="197"/>
      <c r="AA124" s="197"/>
      <c r="AB124" s="197"/>
      <c r="AC124" s="197"/>
      <c r="AD124" s="197"/>
      <c r="AE124" s="197"/>
      <c r="AF124" s="197"/>
      <c r="AG124" s="194"/>
      <c r="AH124" s="197"/>
      <c r="AI124" s="197"/>
      <c r="AJ124" s="197"/>
      <c r="AK124" s="197"/>
      <c r="AL124" s="197"/>
      <c r="AM124" s="197"/>
      <c r="AN124" s="197"/>
      <c r="AO124" s="197"/>
      <c r="AP124" s="197"/>
      <c r="AQ124" s="197"/>
      <c r="AR124" s="197"/>
      <c r="AS124" s="197"/>
      <c r="AT124" s="197"/>
      <c r="AU124" s="197"/>
      <c r="AV124" s="197"/>
      <c r="AW124" s="197"/>
      <c r="AX124" s="197"/>
      <c r="AY124" s="197"/>
      <c r="AZ124" s="197"/>
      <c r="BA124" s="197"/>
      <c r="BB124" s="197"/>
      <c r="BC124" s="197"/>
      <c r="BD124" s="197"/>
      <c r="BE124" s="197"/>
      <c r="BF124" s="197"/>
      <c r="BG124" s="197"/>
      <c r="BH124" s="197"/>
      <c r="BI124" s="197"/>
      <c r="BJ124" s="197"/>
      <c r="BK124" s="197"/>
      <c r="BL124" s="197"/>
      <c r="BM124" s="193"/>
    </row>
    <row r="125" spans="1:65" x14ac:dyDescent="0.25">
      <c r="A125" s="193"/>
      <c r="B125" s="197"/>
      <c r="C125" s="197"/>
      <c r="D125" s="197"/>
      <c r="E125" s="197"/>
      <c r="F125" s="197"/>
      <c r="G125" s="197"/>
      <c r="H125" s="197"/>
      <c r="I125" s="197"/>
      <c r="J125" s="197"/>
      <c r="K125" s="197"/>
      <c r="L125" s="197"/>
      <c r="M125" s="197"/>
      <c r="N125" s="197"/>
      <c r="O125" s="197"/>
      <c r="P125" s="197"/>
      <c r="Q125" s="197"/>
      <c r="R125" s="197"/>
      <c r="S125" s="197"/>
      <c r="T125" s="197"/>
      <c r="U125" s="197"/>
      <c r="V125" s="197"/>
      <c r="W125" s="197"/>
      <c r="X125" s="197"/>
      <c r="Y125" s="197"/>
      <c r="Z125" s="197"/>
      <c r="AA125" s="197"/>
      <c r="AB125" s="197"/>
      <c r="AC125" s="197"/>
      <c r="AD125" s="197"/>
      <c r="AE125" s="197"/>
      <c r="AF125" s="197"/>
      <c r="AG125" s="194"/>
      <c r="AH125" s="197"/>
      <c r="AI125" s="197"/>
      <c r="AJ125" s="197"/>
      <c r="AK125" s="197"/>
      <c r="AL125" s="197"/>
      <c r="AM125" s="197"/>
      <c r="AN125" s="197"/>
      <c r="AO125" s="197"/>
      <c r="AP125" s="197"/>
      <c r="AQ125" s="197"/>
      <c r="AR125" s="197"/>
      <c r="AS125" s="197"/>
      <c r="AT125" s="197"/>
      <c r="AU125" s="197"/>
      <c r="AV125" s="197"/>
      <c r="AW125" s="197"/>
      <c r="AX125" s="197"/>
      <c r="AY125" s="197"/>
      <c r="AZ125" s="197"/>
      <c r="BA125" s="197"/>
      <c r="BB125" s="197"/>
      <c r="BC125" s="197"/>
      <c r="BD125" s="197"/>
      <c r="BE125" s="197"/>
      <c r="BF125" s="197"/>
      <c r="BG125" s="197"/>
      <c r="BH125" s="197"/>
      <c r="BI125" s="197"/>
      <c r="BJ125" s="197"/>
      <c r="BK125" s="197"/>
      <c r="BL125" s="197"/>
      <c r="BM125" s="193"/>
    </row>
    <row r="126" spans="1:65" x14ac:dyDescent="0.25">
      <c r="A126" s="193"/>
      <c r="B126" s="197"/>
      <c r="C126" s="197"/>
      <c r="D126" s="197"/>
      <c r="E126" s="197"/>
      <c r="F126" s="197"/>
      <c r="G126" s="197"/>
      <c r="H126" s="197"/>
      <c r="I126" s="197"/>
      <c r="J126" s="197"/>
      <c r="K126" s="197"/>
      <c r="L126" s="197"/>
      <c r="M126" s="197"/>
      <c r="N126" s="197"/>
      <c r="O126" s="197"/>
      <c r="P126" s="197"/>
      <c r="Q126" s="197"/>
      <c r="R126" s="197"/>
      <c r="S126" s="197"/>
      <c r="T126" s="197"/>
      <c r="U126" s="197"/>
      <c r="V126" s="197"/>
      <c r="W126" s="197"/>
      <c r="X126" s="197"/>
      <c r="Y126" s="197"/>
      <c r="Z126" s="197"/>
      <c r="AA126" s="197"/>
      <c r="AB126" s="197"/>
      <c r="AC126" s="197"/>
      <c r="AD126" s="197"/>
      <c r="AE126" s="197"/>
      <c r="AF126" s="197"/>
      <c r="AG126" s="194"/>
      <c r="AH126" s="197"/>
      <c r="AI126" s="197"/>
      <c r="AJ126" s="197"/>
      <c r="AK126" s="197"/>
      <c r="AL126" s="197"/>
      <c r="AM126" s="197"/>
      <c r="AN126" s="197"/>
      <c r="AO126" s="197"/>
      <c r="AP126" s="197"/>
      <c r="AQ126" s="197"/>
      <c r="AR126" s="197"/>
      <c r="AS126" s="197"/>
      <c r="AT126" s="197"/>
      <c r="AU126" s="197"/>
      <c r="AV126" s="197"/>
      <c r="AW126" s="197"/>
      <c r="AX126" s="197"/>
      <c r="AY126" s="197"/>
      <c r="AZ126" s="197"/>
      <c r="BA126" s="197"/>
      <c r="BB126" s="197"/>
      <c r="BC126" s="197"/>
      <c r="BD126" s="197"/>
      <c r="BE126" s="197"/>
      <c r="BF126" s="197"/>
      <c r="BG126" s="197"/>
      <c r="BH126" s="197"/>
      <c r="BI126" s="197"/>
      <c r="BJ126" s="197"/>
      <c r="BK126" s="197"/>
      <c r="BL126" s="197"/>
      <c r="BM126" s="193"/>
    </row>
    <row r="127" spans="1:65" x14ac:dyDescent="0.25">
      <c r="A127" s="193"/>
      <c r="B127" s="193"/>
      <c r="C127" s="193"/>
      <c r="D127" s="193"/>
      <c r="E127" s="193"/>
      <c r="F127" s="193"/>
      <c r="G127" s="193"/>
      <c r="H127" s="193"/>
      <c r="I127" s="193"/>
      <c r="J127" s="193"/>
      <c r="K127" s="193"/>
      <c r="L127" s="193"/>
      <c r="M127" s="193"/>
      <c r="N127" s="193"/>
      <c r="O127" s="193"/>
      <c r="P127" s="193"/>
      <c r="Q127" s="193"/>
      <c r="R127" s="193"/>
      <c r="S127" s="193"/>
      <c r="T127" s="193"/>
      <c r="U127" s="193"/>
      <c r="V127" s="193"/>
      <c r="W127" s="193"/>
      <c r="X127" s="193"/>
      <c r="Y127" s="193"/>
      <c r="Z127" s="193"/>
      <c r="AA127" s="193"/>
      <c r="AB127" s="193"/>
      <c r="AC127" s="193"/>
      <c r="AD127" s="193"/>
      <c r="AE127" s="193"/>
      <c r="AF127" s="193"/>
      <c r="AG127" s="194"/>
      <c r="AH127" s="193"/>
      <c r="AI127" s="193"/>
      <c r="AJ127" s="193"/>
      <c r="AK127" s="193"/>
      <c r="AL127" s="193"/>
      <c r="AM127" s="193"/>
      <c r="AN127" s="193"/>
      <c r="AO127" s="193"/>
      <c r="AP127" s="193"/>
      <c r="AQ127" s="193"/>
      <c r="AR127" s="193"/>
      <c r="AS127" s="193"/>
      <c r="AT127" s="193"/>
      <c r="AU127" s="193"/>
      <c r="AV127" s="193"/>
      <c r="AW127" s="193"/>
      <c r="AX127" s="193"/>
      <c r="AY127" s="193"/>
      <c r="AZ127" s="193"/>
      <c r="BA127" s="193"/>
      <c r="BB127" s="193"/>
      <c r="BC127" s="193"/>
      <c r="BD127" s="193"/>
      <c r="BE127" s="193"/>
      <c r="BF127" s="193"/>
      <c r="BG127" s="198"/>
      <c r="BH127" s="198"/>
      <c r="BI127" s="198"/>
      <c r="BJ127" s="198"/>
      <c r="BK127" s="198"/>
      <c r="BL127" s="198"/>
      <c r="BM127" s="193"/>
    </row>
    <row r="128" spans="1:65" x14ac:dyDescent="0.25">
      <c r="AV128" s="64"/>
      <c r="AW128" s="64"/>
      <c r="AX128" s="64"/>
      <c r="AY128" s="64"/>
      <c r="AZ128" s="64"/>
      <c r="BA128" s="64"/>
      <c r="BB128" s="64"/>
      <c r="BC128" s="64"/>
      <c r="BD128" s="64"/>
      <c r="BE128" s="64"/>
      <c r="BF128" s="64"/>
      <c r="BG128" s="64"/>
      <c r="BH128" s="64"/>
      <c r="BI128" s="64"/>
      <c r="BJ128" s="64"/>
      <c r="BK128" s="64"/>
      <c r="BL128" s="64"/>
    </row>
    <row r="129" spans="48:64" x14ac:dyDescent="0.25">
      <c r="AV129" s="64"/>
      <c r="AW129" s="64"/>
      <c r="AX129" s="64"/>
      <c r="AY129" s="64"/>
      <c r="AZ129" s="64"/>
      <c r="BA129" s="64"/>
      <c r="BB129" s="64"/>
      <c r="BC129" s="64"/>
      <c r="BD129" s="64"/>
      <c r="BE129" s="64"/>
      <c r="BF129" s="64"/>
      <c r="BG129" s="64"/>
      <c r="BH129" s="64"/>
      <c r="BI129" s="64"/>
      <c r="BJ129" s="64"/>
      <c r="BK129" s="64"/>
      <c r="BL129" s="64"/>
    </row>
    <row r="130" spans="48:64" x14ac:dyDescent="0.25">
      <c r="AV130" s="64"/>
      <c r="AW130" s="64"/>
      <c r="AX130" s="64"/>
      <c r="AY130" s="64"/>
      <c r="AZ130" s="64"/>
      <c r="BA130" s="64"/>
      <c r="BB130" s="64"/>
      <c r="BC130" s="64"/>
      <c r="BD130" s="64"/>
      <c r="BE130" s="64"/>
      <c r="BF130" s="64"/>
      <c r="BG130" s="64"/>
      <c r="BH130" s="64"/>
      <c r="BI130" s="64"/>
      <c r="BJ130" s="64"/>
      <c r="BK130" s="64"/>
      <c r="BL130" s="64"/>
    </row>
    <row r="131" spans="48:64" x14ac:dyDescent="0.25">
      <c r="AV131" s="64"/>
      <c r="AW131" s="64"/>
      <c r="AX131" s="64"/>
      <c r="AY131" s="64"/>
      <c r="AZ131" s="64"/>
      <c r="BA131" s="64"/>
      <c r="BB131" s="64"/>
      <c r="BC131" s="64"/>
      <c r="BD131" s="64"/>
      <c r="BE131" s="64"/>
      <c r="BF131" s="64"/>
      <c r="BG131" s="64"/>
      <c r="BH131" s="64"/>
      <c r="BI131" s="64"/>
      <c r="BJ131" s="64"/>
      <c r="BK131" s="64"/>
      <c r="BL131" s="64"/>
    </row>
    <row r="132" spans="48:64" x14ac:dyDescent="0.25">
      <c r="AV132" s="64"/>
      <c r="AW132" s="64"/>
      <c r="AX132" s="64"/>
      <c r="AY132" s="64"/>
      <c r="AZ132" s="64"/>
      <c r="BA132" s="64"/>
      <c r="BB132" s="64"/>
      <c r="BC132" s="64"/>
      <c r="BD132" s="64"/>
      <c r="BE132" s="64"/>
      <c r="BF132" s="64"/>
      <c r="BG132" s="64"/>
      <c r="BH132" s="64"/>
      <c r="BI132" s="64"/>
      <c r="BJ132" s="64"/>
      <c r="BK132" s="64"/>
      <c r="BL132" s="64"/>
    </row>
    <row r="133" spans="48:64" x14ac:dyDescent="0.25">
      <c r="AV133" s="64"/>
      <c r="AW133" s="64"/>
      <c r="AX133" s="64"/>
      <c r="AY133" s="64"/>
      <c r="AZ133" s="64"/>
      <c r="BA133" s="64"/>
      <c r="BB133" s="64"/>
      <c r="BC133" s="64"/>
      <c r="BD133" s="64"/>
      <c r="BE133" s="64"/>
      <c r="BF133" s="64"/>
      <c r="BG133" s="64"/>
      <c r="BH133" s="64"/>
      <c r="BI133" s="64"/>
      <c r="BJ133" s="64"/>
      <c r="BK133" s="64"/>
      <c r="BL133" s="64"/>
    </row>
    <row r="134" spans="48:64" x14ac:dyDescent="0.25">
      <c r="AV134" s="64"/>
      <c r="AW134" s="64"/>
      <c r="AX134" s="64"/>
      <c r="AY134" s="64"/>
      <c r="AZ134" s="64"/>
      <c r="BA134" s="64"/>
      <c r="BB134" s="64"/>
      <c r="BC134" s="64"/>
      <c r="BD134" s="64"/>
      <c r="BE134" s="64"/>
      <c r="BF134" s="64"/>
      <c r="BG134" s="64"/>
      <c r="BH134" s="64"/>
      <c r="BI134" s="64"/>
      <c r="BJ134" s="64"/>
      <c r="BK134" s="64"/>
      <c r="BL134" s="64"/>
    </row>
    <row r="135" spans="48:64" x14ac:dyDescent="0.25">
      <c r="AV135" s="64"/>
      <c r="AW135" s="64"/>
      <c r="AX135" s="64"/>
      <c r="AY135" s="64"/>
      <c r="AZ135" s="64"/>
      <c r="BA135" s="64"/>
      <c r="BB135" s="64"/>
      <c r="BC135" s="64"/>
      <c r="BD135" s="64"/>
      <c r="BE135" s="64"/>
      <c r="BF135" s="64"/>
      <c r="BG135" s="64"/>
      <c r="BH135" s="64"/>
      <c r="BI135" s="64"/>
      <c r="BJ135" s="64"/>
      <c r="BK135" s="64"/>
      <c r="BL135" s="64"/>
    </row>
    <row r="136" spans="48:64" x14ac:dyDescent="0.25">
      <c r="AV136" s="64"/>
      <c r="AW136" s="64"/>
      <c r="AX136" s="64"/>
      <c r="AY136" s="64"/>
      <c r="AZ136" s="64"/>
      <c r="BA136" s="64"/>
      <c r="BB136" s="64"/>
      <c r="BC136" s="64"/>
      <c r="BD136" s="64"/>
      <c r="BE136" s="64"/>
      <c r="BF136" s="64"/>
      <c r="BG136" s="64"/>
      <c r="BH136" s="64"/>
      <c r="BI136" s="64"/>
      <c r="BJ136" s="64"/>
      <c r="BK136" s="64"/>
      <c r="BL136" s="64"/>
    </row>
    <row r="137" spans="48:64" x14ac:dyDescent="0.25">
      <c r="AV137" s="64"/>
      <c r="AW137" s="64"/>
      <c r="AX137" s="64"/>
      <c r="AY137" s="64"/>
      <c r="AZ137" s="64"/>
      <c r="BA137" s="64"/>
      <c r="BB137" s="64"/>
      <c r="BC137" s="64"/>
      <c r="BD137" s="64"/>
      <c r="BE137" s="64"/>
      <c r="BF137" s="64"/>
      <c r="BG137" s="64"/>
      <c r="BH137" s="64"/>
      <c r="BI137" s="64"/>
      <c r="BJ137" s="64"/>
      <c r="BK137" s="64"/>
      <c r="BL137" s="64"/>
    </row>
    <row r="138" spans="48:64" x14ac:dyDescent="0.25">
      <c r="AV138" s="64"/>
      <c r="AW138" s="64"/>
      <c r="AX138" s="64"/>
      <c r="AY138" s="64"/>
      <c r="AZ138" s="64"/>
      <c r="BA138" s="64"/>
      <c r="BB138" s="64"/>
      <c r="BC138" s="64"/>
      <c r="BD138" s="64"/>
      <c r="BE138" s="64"/>
      <c r="BF138" s="64"/>
      <c r="BG138" s="64"/>
      <c r="BH138" s="64"/>
      <c r="BI138" s="64"/>
      <c r="BJ138" s="64"/>
      <c r="BK138" s="64"/>
      <c r="BL138" s="64"/>
    </row>
    <row r="139" spans="48:64" x14ac:dyDescent="0.25">
      <c r="AV139" s="64"/>
      <c r="AW139" s="64"/>
      <c r="AX139" s="64"/>
      <c r="AY139" s="64"/>
      <c r="AZ139" s="64"/>
      <c r="BA139" s="64"/>
      <c r="BB139" s="64"/>
      <c r="BC139" s="64"/>
      <c r="BD139" s="64"/>
      <c r="BE139" s="64"/>
      <c r="BF139" s="64"/>
      <c r="BG139" s="64"/>
      <c r="BH139" s="64"/>
      <c r="BI139" s="64"/>
      <c r="BJ139" s="64"/>
      <c r="BK139" s="64"/>
      <c r="BL139" s="64"/>
    </row>
    <row r="140" spans="48:64" x14ac:dyDescent="0.25">
      <c r="AV140" s="64"/>
      <c r="AW140" s="64"/>
      <c r="AX140" s="64"/>
      <c r="AY140" s="64"/>
      <c r="AZ140" s="64"/>
      <c r="BA140" s="64"/>
      <c r="BB140" s="64"/>
      <c r="BC140" s="64"/>
      <c r="BD140" s="64"/>
      <c r="BE140" s="64"/>
      <c r="BF140" s="64"/>
      <c r="BG140" s="64"/>
      <c r="BH140" s="64"/>
      <c r="BI140" s="64"/>
      <c r="BJ140" s="64"/>
      <c r="BK140" s="64"/>
      <c r="BL140" s="64"/>
    </row>
    <row r="141" spans="48:64" x14ac:dyDescent="0.25">
      <c r="AV141" s="64"/>
      <c r="AW141" s="64"/>
      <c r="AX141" s="64"/>
      <c r="AY141" s="64"/>
      <c r="AZ141" s="64"/>
      <c r="BA141" s="64"/>
      <c r="BB141" s="64"/>
      <c r="BC141" s="64"/>
      <c r="BD141" s="64"/>
      <c r="BE141" s="64"/>
      <c r="BF141" s="64"/>
      <c r="BG141" s="64"/>
      <c r="BH141" s="64"/>
      <c r="BI141" s="64"/>
      <c r="BJ141" s="64"/>
      <c r="BK141" s="64"/>
      <c r="BL141" s="64"/>
    </row>
    <row r="142" spans="48:64" x14ac:dyDescent="0.25">
      <c r="AV142" s="64"/>
      <c r="AW142" s="64"/>
      <c r="AX142" s="64"/>
      <c r="AY142" s="64"/>
      <c r="AZ142" s="64"/>
      <c r="BA142" s="64"/>
      <c r="BB142" s="64"/>
      <c r="BC142" s="64"/>
      <c r="BD142" s="64"/>
      <c r="BE142" s="64"/>
      <c r="BF142" s="64"/>
      <c r="BG142" s="64"/>
      <c r="BH142" s="64"/>
      <c r="BI142" s="64"/>
      <c r="BJ142" s="64"/>
      <c r="BK142" s="64"/>
      <c r="BL142" s="64"/>
    </row>
    <row r="143" spans="48:64" x14ac:dyDescent="0.25">
      <c r="AV143" s="64"/>
      <c r="AW143" s="64"/>
      <c r="AX143" s="64"/>
      <c r="AY143" s="64"/>
      <c r="AZ143" s="64"/>
      <c r="BA143" s="64"/>
      <c r="BB143" s="64"/>
      <c r="BC143" s="64"/>
      <c r="BD143" s="64"/>
      <c r="BE143" s="64"/>
      <c r="BF143" s="64"/>
      <c r="BG143" s="64"/>
      <c r="BH143" s="64"/>
      <c r="BI143" s="64"/>
      <c r="BJ143" s="64"/>
      <c r="BK143" s="64"/>
      <c r="BL143" s="64"/>
    </row>
    <row r="144" spans="48:64" x14ac:dyDescent="0.25">
      <c r="AV144" s="64"/>
      <c r="AW144" s="64"/>
      <c r="AX144" s="64"/>
      <c r="AY144" s="64"/>
      <c r="AZ144" s="64"/>
      <c r="BA144" s="64"/>
      <c r="BB144" s="64"/>
      <c r="BC144" s="64"/>
      <c r="BD144" s="64"/>
      <c r="BE144" s="64"/>
      <c r="BF144" s="64"/>
      <c r="BG144" s="64"/>
      <c r="BH144" s="64"/>
      <c r="BI144" s="64"/>
      <c r="BJ144" s="64"/>
      <c r="BK144" s="64"/>
      <c r="BL144" s="64"/>
    </row>
    <row r="145" spans="48:64" x14ac:dyDescent="0.25">
      <c r="AV145" s="64"/>
      <c r="AW145" s="64"/>
      <c r="AX145" s="64"/>
      <c r="AY145" s="64"/>
      <c r="AZ145" s="64"/>
      <c r="BA145" s="64"/>
      <c r="BB145" s="64"/>
      <c r="BC145" s="64"/>
      <c r="BD145" s="64"/>
      <c r="BE145" s="64"/>
      <c r="BF145" s="64"/>
      <c r="BG145" s="64"/>
      <c r="BH145" s="64"/>
      <c r="BI145" s="64"/>
      <c r="BJ145" s="64"/>
      <c r="BK145" s="64"/>
      <c r="BL145" s="64"/>
    </row>
    <row r="146" spans="48:64" x14ac:dyDescent="0.25">
      <c r="AV146" s="64"/>
      <c r="AW146" s="64"/>
      <c r="AX146" s="64"/>
      <c r="AY146" s="64"/>
      <c r="AZ146" s="64"/>
      <c r="BA146" s="64"/>
      <c r="BB146" s="64"/>
      <c r="BC146" s="64"/>
      <c r="BD146" s="64"/>
      <c r="BE146" s="64"/>
      <c r="BF146" s="64"/>
      <c r="BG146" s="64"/>
      <c r="BH146" s="64"/>
      <c r="BI146" s="64"/>
      <c r="BJ146" s="64"/>
      <c r="BK146" s="64"/>
      <c r="BL146" s="64"/>
    </row>
    <row r="147" spans="48:64" x14ac:dyDescent="0.25">
      <c r="AV147" s="64"/>
      <c r="AW147" s="64"/>
      <c r="AX147" s="64"/>
      <c r="AY147" s="64"/>
      <c r="AZ147" s="64"/>
      <c r="BA147" s="64"/>
      <c r="BB147" s="64"/>
      <c r="BC147" s="64"/>
      <c r="BD147" s="64"/>
      <c r="BE147" s="64"/>
      <c r="BF147" s="64"/>
      <c r="BG147" s="64"/>
      <c r="BH147" s="64"/>
      <c r="BI147" s="64"/>
      <c r="BJ147" s="64"/>
      <c r="BK147" s="64"/>
      <c r="BL147" s="64"/>
    </row>
    <row r="148" spans="48:64" x14ac:dyDescent="0.25">
      <c r="AV148" s="64"/>
      <c r="AW148" s="64"/>
      <c r="AX148" s="64"/>
      <c r="AY148" s="64"/>
      <c r="AZ148" s="64"/>
      <c r="BA148" s="64"/>
      <c r="BB148" s="64"/>
      <c r="BC148" s="64"/>
      <c r="BD148" s="64"/>
      <c r="BE148" s="64"/>
      <c r="BF148" s="64"/>
      <c r="BG148" s="64"/>
      <c r="BH148" s="64"/>
      <c r="BI148" s="64"/>
      <c r="BJ148" s="64"/>
      <c r="BK148" s="64"/>
      <c r="BL148" s="64"/>
    </row>
    <row r="149" spans="48:64" x14ac:dyDescent="0.25">
      <c r="AV149" s="64"/>
      <c r="AW149" s="64"/>
      <c r="AX149" s="64"/>
      <c r="AY149" s="64"/>
      <c r="AZ149" s="64"/>
      <c r="BA149" s="64"/>
      <c r="BB149" s="64"/>
      <c r="BC149" s="64"/>
      <c r="BD149" s="64"/>
      <c r="BE149" s="64"/>
      <c r="BF149" s="64"/>
      <c r="BG149" s="64"/>
      <c r="BH149" s="64"/>
      <c r="BI149" s="64"/>
      <c r="BJ149" s="64"/>
      <c r="BK149" s="64"/>
      <c r="BL149" s="64"/>
    </row>
    <row r="150" spans="48:64" x14ac:dyDescent="0.25">
      <c r="AV150" s="64"/>
      <c r="AW150" s="64"/>
      <c r="AX150" s="64"/>
      <c r="AY150" s="64"/>
      <c r="AZ150" s="64"/>
      <c r="BA150" s="64"/>
      <c r="BB150" s="64"/>
      <c r="BC150" s="64"/>
      <c r="BD150" s="64"/>
      <c r="BE150" s="64"/>
      <c r="BF150" s="64"/>
      <c r="BG150" s="64"/>
      <c r="BH150" s="64"/>
      <c r="BI150" s="64"/>
      <c r="BJ150" s="64"/>
      <c r="BK150" s="64"/>
      <c r="BL150" s="64"/>
    </row>
    <row r="151" spans="48:64" x14ac:dyDescent="0.25">
      <c r="AV151" s="64"/>
      <c r="AW151" s="64"/>
      <c r="AX151" s="64"/>
      <c r="AY151" s="64"/>
      <c r="AZ151" s="64"/>
      <c r="BA151" s="64"/>
      <c r="BB151" s="64"/>
      <c r="BC151" s="64"/>
      <c r="BD151" s="64"/>
      <c r="BE151" s="64"/>
      <c r="BF151" s="64"/>
      <c r="BG151" s="64"/>
      <c r="BH151" s="64"/>
      <c r="BI151" s="64"/>
      <c r="BJ151" s="64"/>
      <c r="BK151" s="64"/>
      <c r="BL151" s="64"/>
    </row>
    <row r="152" spans="48:64" x14ac:dyDescent="0.25">
      <c r="AV152" s="64"/>
      <c r="AW152" s="64"/>
      <c r="AX152" s="64"/>
      <c r="AY152" s="64"/>
      <c r="AZ152" s="64"/>
      <c r="BA152" s="64"/>
      <c r="BB152" s="64"/>
      <c r="BC152" s="64"/>
      <c r="BD152" s="64"/>
      <c r="BE152" s="64"/>
      <c r="BF152" s="64"/>
      <c r="BG152" s="64"/>
      <c r="BH152" s="64"/>
      <c r="BI152" s="64"/>
      <c r="BJ152" s="64"/>
      <c r="BK152" s="64"/>
      <c r="BL152" s="64"/>
    </row>
    <row r="153" spans="48:64" x14ac:dyDescent="0.25">
      <c r="AV153" s="64"/>
      <c r="AW153" s="64"/>
      <c r="AX153" s="64"/>
      <c r="AY153" s="64"/>
      <c r="AZ153" s="64"/>
      <c r="BA153" s="64"/>
      <c r="BB153" s="64"/>
      <c r="BC153" s="64"/>
      <c r="BD153" s="64"/>
      <c r="BE153" s="64"/>
      <c r="BF153" s="64"/>
      <c r="BG153" s="64"/>
      <c r="BH153" s="64"/>
      <c r="BI153" s="64"/>
      <c r="BJ153" s="64"/>
      <c r="BK153" s="64"/>
      <c r="BL153" s="64"/>
    </row>
    <row r="154" spans="48:64" x14ac:dyDescent="0.25">
      <c r="AV154" s="64"/>
      <c r="AW154" s="64"/>
      <c r="AX154" s="64"/>
      <c r="AY154" s="64"/>
      <c r="AZ154" s="64"/>
      <c r="BA154" s="64"/>
      <c r="BB154" s="64"/>
      <c r="BC154" s="64"/>
      <c r="BD154" s="64"/>
      <c r="BE154" s="64"/>
      <c r="BF154" s="64"/>
      <c r="BG154" s="64"/>
      <c r="BH154" s="64"/>
      <c r="BI154" s="64"/>
      <c r="BJ154" s="64"/>
      <c r="BK154" s="64"/>
      <c r="BL154" s="64"/>
    </row>
    <row r="155" spans="48:64" x14ac:dyDescent="0.25">
      <c r="AV155" s="64"/>
      <c r="AW155" s="64"/>
      <c r="AX155" s="64"/>
      <c r="AY155" s="64"/>
      <c r="AZ155" s="64"/>
      <c r="BA155" s="64"/>
      <c r="BB155" s="64"/>
      <c r="BC155" s="64"/>
      <c r="BD155" s="64"/>
      <c r="BE155" s="64"/>
      <c r="BF155" s="64"/>
      <c r="BG155" s="64"/>
      <c r="BH155" s="64"/>
      <c r="BI155" s="64"/>
      <c r="BJ155" s="64"/>
      <c r="BK155" s="64"/>
      <c r="BL155" s="64"/>
    </row>
    <row r="156" spans="48:64" x14ac:dyDescent="0.25">
      <c r="AV156" s="64"/>
      <c r="AW156" s="64"/>
      <c r="AX156" s="64"/>
      <c r="AY156" s="64"/>
      <c r="AZ156" s="64"/>
      <c r="BA156" s="64"/>
      <c r="BB156" s="64"/>
      <c r="BC156" s="64"/>
      <c r="BD156" s="64"/>
      <c r="BE156" s="64"/>
      <c r="BF156" s="64"/>
      <c r="BG156" s="64"/>
      <c r="BH156" s="64"/>
      <c r="BI156" s="64"/>
      <c r="BJ156" s="64"/>
      <c r="BK156" s="64"/>
      <c r="BL156" s="64"/>
    </row>
    <row r="157" spans="48:64" x14ac:dyDescent="0.25">
      <c r="AV157" s="64"/>
      <c r="AW157" s="64"/>
      <c r="AX157" s="64"/>
      <c r="AY157" s="64"/>
      <c r="AZ157" s="64"/>
      <c r="BA157" s="64"/>
      <c r="BB157" s="64"/>
      <c r="BC157" s="64"/>
      <c r="BD157" s="64"/>
      <c r="BE157" s="64"/>
      <c r="BF157" s="64"/>
      <c r="BG157" s="64"/>
      <c r="BH157" s="64"/>
      <c r="BI157" s="64"/>
      <c r="BJ157" s="64"/>
      <c r="BK157" s="64"/>
      <c r="BL157" s="64"/>
    </row>
    <row r="158" spans="48:64" x14ac:dyDescent="0.25">
      <c r="AV158" s="64"/>
      <c r="AW158" s="64"/>
      <c r="AX158" s="64"/>
      <c r="AY158" s="64"/>
      <c r="AZ158" s="64"/>
      <c r="BA158" s="64"/>
      <c r="BB158" s="64"/>
      <c r="BC158" s="64"/>
      <c r="BD158" s="64"/>
      <c r="BE158" s="64"/>
      <c r="BF158" s="64"/>
      <c r="BG158" s="64"/>
      <c r="BH158" s="64"/>
      <c r="BI158" s="64"/>
      <c r="BJ158" s="64"/>
      <c r="BK158" s="64"/>
      <c r="BL158" s="64"/>
    </row>
    <row r="159" spans="48:64" x14ac:dyDescent="0.25">
      <c r="AV159" s="64"/>
      <c r="AW159" s="64"/>
      <c r="AX159" s="64"/>
      <c r="AY159" s="64"/>
      <c r="AZ159" s="64"/>
      <c r="BA159" s="64"/>
      <c r="BB159" s="64"/>
      <c r="BC159" s="64"/>
      <c r="BD159" s="64"/>
      <c r="BE159" s="64"/>
      <c r="BF159" s="64"/>
      <c r="BG159" s="64"/>
      <c r="BH159" s="64"/>
      <c r="BI159" s="64"/>
      <c r="BJ159" s="64"/>
      <c r="BK159" s="64"/>
      <c r="BL159" s="64"/>
    </row>
    <row r="160" spans="48:64" x14ac:dyDescent="0.25">
      <c r="AV160" s="64"/>
      <c r="AW160" s="64"/>
      <c r="AX160" s="64"/>
      <c r="AY160" s="64"/>
      <c r="AZ160" s="64"/>
      <c r="BA160" s="64"/>
      <c r="BB160" s="64"/>
      <c r="BC160" s="64"/>
      <c r="BD160" s="64"/>
      <c r="BE160" s="64"/>
      <c r="BF160" s="64"/>
      <c r="BG160" s="64"/>
      <c r="BH160" s="64"/>
      <c r="BI160" s="64"/>
      <c r="BJ160" s="64"/>
      <c r="BK160" s="64"/>
      <c r="BL160" s="64"/>
    </row>
    <row r="161" spans="48:64" x14ac:dyDescent="0.25">
      <c r="AV161" s="64"/>
      <c r="AW161" s="64"/>
      <c r="AX161" s="64"/>
      <c r="AY161" s="64"/>
      <c r="AZ161" s="64"/>
      <c r="BA161" s="64"/>
      <c r="BB161" s="64"/>
      <c r="BC161" s="64"/>
      <c r="BD161" s="64"/>
      <c r="BE161" s="64"/>
      <c r="BF161" s="64"/>
      <c r="BG161" s="64"/>
      <c r="BH161" s="64"/>
      <c r="BI161" s="64"/>
      <c r="BJ161" s="64"/>
      <c r="BK161" s="64"/>
      <c r="BL161" s="64"/>
    </row>
    <row r="162" spans="48:64" x14ac:dyDescent="0.25">
      <c r="AV162" s="64"/>
      <c r="AW162" s="64"/>
      <c r="AX162" s="64"/>
      <c r="AY162" s="64"/>
      <c r="AZ162" s="64"/>
      <c r="BA162" s="64"/>
      <c r="BB162" s="64"/>
      <c r="BC162" s="64"/>
      <c r="BD162" s="64"/>
      <c r="BE162" s="64"/>
      <c r="BF162" s="64"/>
      <c r="BG162" s="64"/>
      <c r="BH162" s="64"/>
      <c r="BI162" s="64"/>
      <c r="BJ162" s="64"/>
      <c r="BK162" s="64"/>
      <c r="BL162" s="64"/>
    </row>
    <row r="163" spans="48:64" x14ac:dyDescent="0.25">
      <c r="AV163" s="64"/>
      <c r="AW163" s="64"/>
      <c r="AX163" s="64"/>
      <c r="AY163" s="64"/>
      <c r="AZ163" s="64"/>
      <c r="BA163" s="64"/>
      <c r="BB163" s="64"/>
      <c r="BC163" s="64"/>
      <c r="BD163" s="64"/>
      <c r="BE163" s="64"/>
      <c r="BF163" s="64"/>
      <c r="BG163" s="64"/>
      <c r="BH163" s="64"/>
      <c r="BI163" s="64"/>
      <c r="BJ163" s="64"/>
      <c r="BK163" s="64"/>
      <c r="BL163" s="64"/>
    </row>
    <row r="164" spans="48:64" x14ac:dyDescent="0.25">
      <c r="AV164" s="64"/>
      <c r="AW164" s="64"/>
      <c r="AX164" s="64"/>
      <c r="AY164" s="64"/>
      <c r="AZ164" s="64"/>
      <c r="BA164" s="64"/>
      <c r="BB164" s="64"/>
      <c r="BC164" s="64"/>
      <c r="BD164" s="64"/>
      <c r="BE164" s="64"/>
      <c r="BF164" s="64"/>
      <c r="BG164" s="64"/>
      <c r="BH164" s="64"/>
      <c r="BI164" s="64"/>
      <c r="BJ164" s="64"/>
      <c r="BK164" s="64"/>
      <c r="BL164" s="64"/>
    </row>
    <row r="165" spans="48:64" x14ac:dyDescent="0.25">
      <c r="AV165" s="64"/>
      <c r="AW165" s="64"/>
      <c r="AX165" s="64"/>
      <c r="AY165" s="64"/>
      <c r="AZ165" s="64"/>
      <c r="BA165" s="64"/>
      <c r="BB165" s="64"/>
      <c r="BC165" s="64"/>
      <c r="BD165" s="64"/>
      <c r="BE165" s="64"/>
      <c r="BF165" s="64"/>
      <c r="BG165" s="64"/>
      <c r="BH165" s="64"/>
      <c r="BI165" s="64"/>
      <c r="BJ165" s="64"/>
      <c r="BK165" s="64"/>
      <c r="BL165" s="64"/>
    </row>
    <row r="166" spans="48:64" x14ac:dyDescent="0.25">
      <c r="AV166" s="64"/>
      <c r="AW166" s="64"/>
      <c r="AX166" s="64"/>
      <c r="AY166" s="64"/>
      <c r="AZ166" s="64"/>
      <c r="BA166" s="64"/>
      <c r="BB166" s="64"/>
      <c r="BC166" s="64"/>
      <c r="BD166" s="64"/>
      <c r="BE166" s="64"/>
      <c r="BF166" s="64"/>
      <c r="BG166" s="64"/>
      <c r="BH166" s="64"/>
      <c r="BI166" s="64"/>
      <c r="BJ166" s="64"/>
      <c r="BK166" s="64"/>
      <c r="BL166" s="64"/>
    </row>
    <row r="167" spans="48:64" x14ac:dyDescent="0.25">
      <c r="AV167" s="64"/>
      <c r="AW167" s="64"/>
      <c r="AX167" s="64"/>
      <c r="AY167" s="64"/>
      <c r="AZ167" s="64"/>
      <c r="BA167" s="64"/>
      <c r="BB167" s="64"/>
      <c r="BC167" s="64"/>
      <c r="BD167" s="64"/>
      <c r="BE167" s="64"/>
      <c r="BF167" s="64"/>
      <c r="BG167" s="64"/>
      <c r="BH167" s="64"/>
      <c r="BI167" s="64"/>
      <c r="BJ167" s="64"/>
      <c r="BK167" s="64"/>
      <c r="BL167" s="64"/>
    </row>
    <row r="168" spans="48:64" x14ac:dyDescent="0.25">
      <c r="AV168" s="64"/>
      <c r="AW168" s="64"/>
      <c r="AX168" s="64"/>
      <c r="AY168" s="64"/>
      <c r="AZ168" s="64"/>
      <c r="BA168" s="64"/>
      <c r="BB168" s="64"/>
      <c r="BC168" s="64"/>
      <c r="BD168" s="64"/>
      <c r="BE168" s="64"/>
      <c r="BF168" s="64"/>
      <c r="BG168" s="64"/>
      <c r="BH168" s="64"/>
      <c r="BI168" s="64"/>
      <c r="BJ168" s="64"/>
      <c r="BK168" s="64"/>
      <c r="BL168" s="64"/>
    </row>
    <row r="169" spans="48:64" x14ac:dyDescent="0.25">
      <c r="AV169" s="64"/>
      <c r="AW169" s="64"/>
      <c r="AX169" s="64"/>
      <c r="AY169" s="64"/>
      <c r="AZ169" s="64"/>
      <c r="BA169" s="64"/>
      <c r="BB169" s="64"/>
      <c r="BC169" s="64"/>
      <c r="BD169" s="64"/>
      <c r="BE169" s="64"/>
      <c r="BF169" s="64"/>
      <c r="BG169" s="64"/>
      <c r="BH169" s="64"/>
      <c r="BI169" s="64"/>
      <c r="BJ169" s="64"/>
      <c r="BK169" s="64"/>
      <c r="BL169" s="64"/>
    </row>
    <row r="170" spans="48:64" x14ac:dyDescent="0.25">
      <c r="AV170" s="64"/>
      <c r="AW170" s="64"/>
      <c r="AX170" s="64"/>
      <c r="AY170" s="64"/>
      <c r="AZ170" s="64"/>
      <c r="BA170" s="64"/>
      <c r="BB170" s="64"/>
      <c r="BC170" s="64"/>
      <c r="BD170" s="64"/>
      <c r="BE170" s="64"/>
      <c r="BF170" s="64"/>
      <c r="BG170" s="64"/>
      <c r="BH170" s="64"/>
      <c r="BI170" s="64"/>
      <c r="BJ170" s="64"/>
      <c r="BK170" s="64"/>
      <c r="BL170" s="64"/>
    </row>
    <row r="171" spans="48:64" x14ac:dyDescent="0.25">
      <c r="AV171" s="64"/>
      <c r="AW171" s="64"/>
      <c r="AX171" s="64"/>
      <c r="AY171" s="64"/>
      <c r="AZ171" s="64"/>
      <c r="BA171" s="64"/>
      <c r="BB171" s="64"/>
      <c r="BC171" s="64"/>
      <c r="BD171" s="64"/>
      <c r="BE171" s="64"/>
      <c r="BF171" s="64"/>
      <c r="BG171" s="64"/>
      <c r="BH171" s="64"/>
      <c r="BI171" s="64"/>
      <c r="BJ171" s="64"/>
      <c r="BK171" s="64"/>
      <c r="BL171" s="64"/>
    </row>
    <row r="172" spans="48:64" x14ac:dyDescent="0.25">
      <c r="AV172" s="64"/>
      <c r="AW172" s="64"/>
      <c r="AX172" s="64"/>
      <c r="AY172" s="64"/>
      <c r="AZ172" s="64"/>
      <c r="BA172" s="64"/>
      <c r="BB172" s="64"/>
      <c r="BC172" s="64"/>
      <c r="BD172" s="64"/>
      <c r="BE172" s="64"/>
      <c r="BF172" s="64"/>
      <c r="BG172" s="64"/>
      <c r="BH172" s="64"/>
      <c r="BI172" s="64"/>
      <c r="BJ172" s="64"/>
      <c r="BK172" s="64"/>
      <c r="BL172" s="64"/>
    </row>
    <row r="173" spans="48:64" x14ac:dyDescent="0.25">
      <c r="AV173" s="64"/>
      <c r="AW173" s="64"/>
      <c r="AX173" s="64"/>
      <c r="AY173" s="64"/>
      <c r="AZ173" s="64"/>
      <c r="BA173" s="64"/>
      <c r="BB173" s="64"/>
      <c r="BC173" s="64"/>
      <c r="BD173" s="64"/>
      <c r="BE173" s="64"/>
      <c r="BF173" s="64"/>
      <c r="BG173" s="64"/>
      <c r="BH173" s="64"/>
      <c r="BI173" s="64"/>
      <c r="BJ173" s="64"/>
      <c r="BK173" s="64"/>
      <c r="BL173" s="64"/>
    </row>
    <row r="174" spans="48:64" x14ac:dyDescent="0.25">
      <c r="AV174" s="64"/>
      <c r="AW174" s="64"/>
      <c r="AX174" s="64"/>
      <c r="AY174" s="64"/>
      <c r="AZ174" s="64"/>
      <c r="BA174" s="64"/>
      <c r="BB174" s="64"/>
      <c r="BC174" s="64"/>
      <c r="BD174" s="64"/>
      <c r="BE174" s="64"/>
      <c r="BF174" s="64"/>
      <c r="BG174" s="64"/>
      <c r="BH174" s="64"/>
      <c r="BI174" s="64"/>
      <c r="BJ174" s="64"/>
      <c r="BK174" s="64"/>
      <c r="BL174" s="64"/>
    </row>
    <row r="175" spans="48:64" x14ac:dyDescent="0.25">
      <c r="AV175" s="64"/>
      <c r="AW175" s="64"/>
      <c r="AX175" s="64"/>
      <c r="AY175" s="64"/>
      <c r="AZ175" s="64"/>
      <c r="BA175" s="64"/>
      <c r="BB175" s="64"/>
      <c r="BC175" s="64"/>
      <c r="BD175" s="64"/>
      <c r="BE175" s="64"/>
      <c r="BF175" s="64"/>
      <c r="BG175" s="64"/>
      <c r="BH175" s="64"/>
      <c r="BI175" s="64"/>
      <c r="BJ175" s="64"/>
      <c r="BK175" s="64"/>
      <c r="BL175" s="64"/>
    </row>
    <row r="176" spans="48:64" x14ac:dyDescent="0.25">
      <c r="AV176" s="64"/>
      <c r="AW176" s="64"/>
      <c r="AX176" s="64"/>
      <c r="AY176" s="64"/>
      <c r="AZ176" s="64"/>
      <c r="BA176" s="64"/>
      <c r="BB176" s="64"/>
      <c r="BC176" s="64"/>
      <c r="BD176" s="64"/>
      <c r="BE176" s="64"/>
      <c r="BF176" s="64"/>
      <c r="BG176" s="64"/>
      <c r="BH176" s="64"/>
      <c r="BI176" s="64"/>
      <c r="BJ176" s="64"/>
      <c r="BK176" s="64"/>
      <c r="BL176" s="64"/>
    </row>
    <row r="177" spans="48:64" x14ac:dyDescent="0.25">
      <c r="AV177" s="64"/>
      <c r="AW177" s="64"/>
      <c r="AX177" s="64"/>
      <c r="AY177" s="64"/>
      <c r="AZ177" s="64"/>
      <c r="BA177" s="64"/>
      <c r="BB177" s="64"/>
      <c r="BC177" s="64"/>
      <c r="BD177" s="64"/>
      <c r="BE177" s="64"/>
      <c r="BF177" s="64"/>
      <c r="BG177" s="64"/>
      <c r="BH177" s="64"/>
      <c r="BI177" s="64"/>
      <c r="BJ177" s="64"/>
      <c r="BK177" s="64"/>
      <c r="BL177" s="64"/>
    </row>
    <row r="178" spans="48:64" x14ac:dyDescent="0.25">
      <c r="AV178" s="64"/>
      <c r="AW178" s="64"/>
      <c r="AX178" s="64"/>
      <c r="AY178" s="64"/>
      <c r="AZ178" s="64"/>
      <c r="BA178" s="64"/>
      <c r="BB178" s="64"/>
      <c r="BC178" s="64"/>
      <c r="BD178" s="64"/>
      <c r="BE178" s="64"/>
      <c r="BF178" s="64"/>
      <c r="BG178" s="64"/>
      <c r="BH178" s="64"/>
      <c r="BI178" s="64"/>
      <c r="BJ178" s="64"/>
      <c r="BK178" s="64"/>
      <c r="BL178" s="64"/>
    </row>
    <row r="179" spans="48:64" x14ac:dyDescent="0.25">
      <c r="AV179" s="64"/>
      <c r="AW179" s="64"/>
      <c r="AX179" s="64"/>
      <c r="AY179" s="64"/>
      <c r="AZ179" s="64"/>
      <c r="BA179" s="64"/>
      <c r="BB179" s="64"/>
      <c r="BC179" s="64"/>
      <c r="BD179" s="64"/>
      <c r="BE179" s="64"/>
      <c r="BF179" s="64"/>
      <c r="BG179" s="64"/>
      <c r="BH179" s="64"/>
      <c r="BI179" s="64"/>
      <c r="BJ179" s="64"/>
      <c r="BK179" s="64"/>
      <c r="BL179" s="64"/>
    </row>
    <row r="180" spans="48:64" x14ac:dyDescent="0.25">
      <c r="AV180" s="64"/>
      <c r="AW180" s="64"/>
      <c r="AX180" s="64"/>
      <c r="AY180" s="64"/>
      <c r="AZ180" s="64"/>
      <c r="BA180" s="64"/>
      <c r="BB180" s="64"/>
      <c r="BC180" s="64"/>
      <c r="BD180" s="64"/>
      <c r="BE180" s="64"/>
      <c r="BF180" s="64"/>
      <c r="BG180" s="64"/>
      <c r="BH180" s="64"/>
      <c r="BI180" s="64"/>
      <c r="BJ180" s="64"/>
      <c r="BK180" s="64"/>
      <c r="BL180" s="64"/>
    </row>
    <row r="181" spans="48:64" x14ac:dyDescent="0.25">
      <c r="AV181" s="64"/>
      <c r="AW181" s="64"/>
      <c r="AX181" s="64"/>
      <c r="AY181" s="64"/>
      <c r="AZ181" s="64"/>
      <c r="BA181" s="64"/>
      <c r="BB181" s="64"/>
      <c r="BC181" s="64"/>
      <c r="BD181" s="64"/>
      <c r="BE181" s="64"/>
      <c r="BF181" s="64"/>
      <c r="BG181" s="64"/>
      <c r="BH181" s="64"/>
      <c r="BI181" s="64"/>
      <c r="BJ181" s="64"/>
      <c r="BK181" s="64"/>
      <c r="BL181" s="64"/>
    </row>
    <row r="182" spans="48:64" x14ac:dyDescent="0.25">
      <c r="AV182" s="64"/>
      <c r="AW182" s="64"/>
      <c r="AX182" s="64"/>
      <c r="AY182" s="64"/>
      <c r="AZ182" s="64"/>
      <c r="BA182" s="64"/>
      <c r="BB182" s="64"/>
      <c r="BC182" s="64"/>
      <c r="BD182" s="64"/>
      <c r="BE182" s="64"/>
      <c r="BF182" s="64"/>
      <c r="BG182" s="64"/>
      <c r="BH182" s="64"/>
      <c r="BI182" s="64"/>
      <c r="BJ182" s="64"/>
      <c r="BK182" s="64"/>
      <c r="BL182" s="64"/>
    </row>
    <row r="183" spans="48:64" x14ac:dyDescent="0.25">
      <c r="AV183" s="64"/>
      <c r="AW183" s="64"/>
      <c r="AX183" s="64"/>
      <c r="AY183" s="64"/>
      <c r="AZ183" s="64"/>
      <c r="BA183" s="64"/>
      <c r="BB183" s="64"/>
      <c r="BC183" s="64"/>
      <c r="BD183" s="64"/>
      <c r="BE183" s="64"/>
      <c r="BF183" s="64"/>
      <c r="BG183" s="64"/>
      <c r="BH183" s="64"/>
      <c r="BI183" s="64"/>
      <c r="BJ183" s="64"/>
      <c r="BK183" s="64"/>
      <c r="BL183" s="64"/>
    </row>
    <row r="184" spans="48:64" x14ac:dyDescent="0.25">
      <c r="AV184" s="64"/>
      <c r="AW184" s="64"/>
      <c r="AX184" s="64"/>
      <c r="AY184" s="64"/>
      <c r="AZ184" s="64"/>
      <c r="BA184" s="64"/>
      <c r="BB184" s="64"/>
      <c r="BC184" s="64"/>
      <c r="BD184" s="64"/>
      <c r="BE184" s="64"/>
      <c r="BF184" s="64"/>
      <c r="BG184" s="64"/>
      <c r="BH184" s="64"/>
      <c r="BI184" s="64"/>
      <c r="BJ184" s="64"/>
      <c r="BK184" s="64"/>
      <c r="BL184" s="64"/>
    </row>
    <row r="185" spans="48:64" x14ac:dyDescent="0.25">
      <c r="AV185" s="64"/>
      <c r="AW185" s="64"/>
      <c r="AX185" s="64"/>
      <c r="AY185" s="64"/>
      <c r="AZ185" s="64"/>
      <c r="BA185" s="64"/>
      <c r="BB185" s="64"/>
      <c r="BC185" s="64"/>
      <c r="BD185" s="64"/>
      <c r="BE185" s="64"/>
      <c r="BF185" s="64"/>
      <c r="BG185" s="64"/>
      <c r="BH185" s="64"/>
      <c r="BI185" s="64"/>
      <c r="BJ185" s="64"/>
      <c r="BK185" s="64"/>
      <c r="BL185" s="64"/>
    </row>
    <row r="186" spans="48:64" x14ac:dyDescent="0.25">
      <c r="AV186" s="64"/>
      <c r="AW186" s="64"/>
      <c r="AX186" s="64"/>
      <c r="AY186" s="64"/>
      <c r="AZ186" s="64"/>
      <c r="BA186" s="64"/>
      <c r="BB186" s="64"/>
      <c r="BC186" s="64"/>
      <c r="BD186" s="64"/>
      <c r="BE186" s="64"/>
      <c r="BF186" s="64"/>
      <c r="BG186" s="64"/>
      <c r="BH186" s="64"/>
      <c r="BI186" s="64"/>
      <c r="BJ186" s="64"/>
      <c r="BK186" s="64"/>
      <c r="BL186" s="64"/>
    </row>
    <row r="187" spans="48:64" x14ac:dyDescent="0.25">
      <c r="AV187" s="64"/>
      <c r="AW187" s="64"/>
      <c r="AX187" s="64"/>
      <c r="AY187" s="64"/>
      <c r="AZ187" s="64"/>
      <c r="BA187" s="64"/>
      <c r="BB187" s="64"/>
      <c r="BC187" s="64"/>
      <c r="BD187" s="64"/>
      <c r="BE187" s="64"/>
      <c r="BF187" s="64"/>
      <c r="BG187" s="64"/>
      <c r="BH187" s="64"/>
      <c r="BI187" s="64"/>
      <c r="BJ187" s="64"/>
      <c r="BK187" s="64"/>
      <c r="BL187" s="64"/>
    </row>
    <row r="188" spans="48:64" x14ac:dyDescent="0.25">
      <c r="AV188" s="64"/>
      <c r="AW188" s="64"/>
      <c r="AX188" s="64"/>
      <c r="AY188" s="64"/>
      <c r="AZ188" s="64"/>
      <c r="BA188" s="64"/>
      <c r="BB188" s="64"/>
      <c r="BC188" s="64"/>
      <c r="BD188" s="64"/>
      <c r="BE188" s="64"/>
      <c r="BF188" s="64"/>
      <c r="BG188" s="64"/>
      <c r="BH188" s="64"/>
      <c r="BI188" s="64"/>
      <c r="BJ188" s="64"/>
      <c r="BK188" s="64"/>
      <c r="BL188" s="64"/>
    </row>
    <row r="189" spans="48:64" x14ac:dyDescent="0.25">
      <c r="AV189" s="64"/>
      <c r="AW189" s="64"/>
      <c r="AX189" s="64"/>
      <c r="AY189" s="64"/>
      <c r="AZ189" s="64"/>
      <c r="BA189" s="64"/>
      <c r="BB189" s="64"/>
      <c r="BC189" s="64"/>
      <c r="BD189" s="64"/>
      <c r="BE189" s="64"/>
      <c r="BF189" s="64"/>
      <c r="BG189" s="64"/>
      <c r="BH189" s="64"/>
      <c r="BI189" s="64"/>
      <c r="BJ189" s="64"/>
      <c r="BK189" s="64"/>
      <c r="BL189" s="64"/>
    </row>
    <row r="190" spans="48:64" x14ac:dyDescent="0.25">
      <c r="AV190" s="64"/>
      <c r="AW190" s="64"/>
      <c r="AX190" s="64"/>
      <c r="AY190" s="64"/>
      <c r="AZ190" s="64"/>
      <c r="BA190" s="64"/>
      <c r="BB190" s="64"/>
      <c r="BC190" s="64"/>
      <c r="BD190" s="64"/>
      <c r="BE190" s="64"/>
      <c r="BF190" s="64"/>
      <c r="BG190" s="64"/>
      <c r="BH190" s="64"/>
      <c r="BI190" s="64"/>
      <c r="BJ190" s="64"/>
      <c r="BK190" s="64"/>
      <c r="BL190" s="64"/>
    </row>
    <row r="191" spans="48:64" x14ac:dyDescent="0.25">
      <c r="AV191" s="64"/>
      <c r="AW191" s="64"/>
      <c r="AX191" s="64"/>
      <c r="AY191" s="64"/>
      <c r="AZ191" s="64"/>
      <c r="BA191" s="64"/>
      <c r="BB191" s="64"/>
      <c r="BC191" s="64"/>
      <c r="BD191" s="64"/>
      <c r="BE191" s="64"/>
      <c r="BF191" s="64"/>
      <c r="BG191" s="64"/>
      <c r="BH191" s="64"/>
      <c r="BI191" s="64"/>
      <c r="BJ191" s="64"/>
      <c r="BK191" s="64"/>
      <c r="BL191" s="64"/>
    </row>
    <row r="192" spans="48:64" x14ac:dyDescent="0.25">
      <c r="AV192" s="64"/>
      <c r="AW192" s="64"/>
      <c r="AX192" s="64"/>
      <c r="AY192" s="64"/>
      <c r="AZ192" s="64"/>
      <c r="BA192" s="64"/>
      <c r="BB192" s="64"/>
      <c r="BC192" s="64"/>
      <c r="BD192" s="64"/>
      <c r="BE192" s="64"/>
      <c r="BF192" s="64"/>
      <c r="BG192" s="64"/>
      <c r="BH192" s="64"/>
      <c r="BI192" s="64"/>
      <c r="BJ192" s="64"/>
      <c r="BK192" s="64"/>
      <c r="BL192" s="64"/>
    </row>
    <row r="193" spans="48:64" x14ac:dyDescent="0.25">
      <c r="AV193" s="64"/>
      <c r="AW193" s="64"/>
      <c r="AX193" s="64"/>
      <c r="AY193" s="64"/>
      <c r="AZ193" s="64"/>
      <c r="BA193" s="64"/>
      <c r="BB193" s="64"/>
      <c r="BC193" s="64"/>
      <c r="BD193" s="64"/>
      <c r="BE193" s="64"/>
      <c r="BF193" s="64"/>
      <c r="BG193" s="64"/>
      <c r="BH193" s="64"/>
      <c r="BI193" s="64"/>
      <c r="BJ193" s="64"/>
      <c r="BK193" s="64"/>
      <c r="BL193" s="64"/>
    </row>
    <row r="194" spans="48:64" x14ac:dyDescent="0.25">
      <c r="AV194" s="64"/>
      <c r="AW194" s="64"/>
      <c r="AX194" s="64"/>
      <c r="AY194" s="64"/>
      <c r="AZ194" s="64"/>
      <c r="BA194" s="64"/>
      <c r="BB194" s="64"/>
      <c r="BC194" s="64"/>
      <c r="BD194" s="64"/>
      <c r="BE194" s="64"/>
      <c r="BF194" s="64"/>
      <c r="BG194" s="64"/>
      <c r="BH194" s="64"/>
      <c r="BI194" s="64"/>
      <c r="BJ194" s="64"/>
      <c r="BK194" s="64"/>
      <c r="BL194" s="64"/>
    </row>
    <row r="195" spans="48:64" x14ac:dyDescent="0.25">
      <c r="AV195" s="64"/>
      <c r="AW195" s="64"/>
      <c r="AX195" s="64"/>
      <c r="AY195" s="64"/>
      <c r="AZ195" s="64"/>
      <c r="BA195" s="64"/>
      <c r="BB195" s="64"/>
      <c r="BC195" s="64"/>
      <c r="BD195" s="64"/>
      <c r="BE195" s="64"/>
      <c r="BF195" s="64"/>
      <c r="BG195" s="64"/>
      <c r="BH195" s="64"/>
      <c r="BI195" s="64"/>
      <c r="BJ195" s="64"/>
      <c r="BK195" s="64"/>
      <c r="BL195" s="64"/>
    </row>
    <row r="196" spans="48:64" x14ac:dyDescent="0.25">
      <c r="AV196" s="64"/>
      <c r="AW196" s="64"/>
      <c r="AX196" s="64"/>
      <c r="AY196" s="64"/>
      <c r="AZ196" s="64"/>
      <c r="BA196" s="64"/>
      <c r="BB196" s="64"/>
      <c r="BC196" s="64"/>
      <c r="BD196" s="64"/>
      <c r="BE196" s="64"/>
      <c r="BF196" s="64"/>
      <c r="BG196" s="64"/>
      <c r="BH196" s="64"/>
      <c r="BI196" s="64"/>
      <c r="BJ196" s="64"/>
      <c r="BK196" s="64"/>
      <c r="BL196" s="64"/>
    </row>
    <row r="197" spans="48:64" x14ac:dyDescent="0.25">
      <c r="AV197" s="64"/>
      <c r="AW197" s="64"/>
      <c r="AX197" s="64"/>
      <c r="AY197" s="64"/>
      <c r="AZ197" s="64"/>
      <c r="BA197" s="64"/>
      <c r="BB197" s="64"/>
      <c r="BC197" s="64"/>
      <c r="BD197" s="64"/>
      <c r="BE197" s="64"/>
      <c r="BF197" s="64"/>
      <c r="BG197" s="64"/>
      <c r="BH197" s="64"/>
      <c r="BI197" s="64"/>
      <c r="BJ197" s="64"/>
      <c r="BK197" s="64"/>
      <c r="BL197" s="64"/>
    </row>
    <row r="198" spans="48:64" x14ac:dyDescent="0.25">
      <c r="AV198" s="64"/>
      <c r="AW198" s="64"/>
      <c r="AX198" s="64"/>
      <c r="AY198" s="64"/>
      <c r="AZ198" s="64"/>
      <c r="BA198" s="64"/>
      <c r="BB198" s="64"/>
      <c r="BC198" s="64"/>
      <c r="BD198" s="64"/>
      <c r="BE198" s="64"/>
      <c r="BF198" s="64"/>
      <c r="BG198" s="64"/>
      <c r="BH198" s="64"/>
      <c r="BI198" s="64"/>
      <c r="BJ198" s="64"/>
      <c r="BK198" s="64"/>
      <c r="BL198" s="64"/>
    </row>
    <row r="199" spans="48:64" x14ac:dyDescent="0.25">
      <c r="AV199" s="64"/>
      <c r="AW199" s="64"/>
      <c r="AX199" s="64"/>
      <c r="AY199" s="64"/>
      <c r="AZ199" s="64"/>
      <c r="BA199" s="64"/>
      <c r="BB199" s="64"/>
      <c r="BC199" s="64"/>
      <c r="BD199" s="64"/>
      <c r="BE199" s="64"/>
      <c r="BF199" s="64"/>
      <c r="BG199" s="64"/>
      <c r="BH199" s="64"/>
      <c r="BI199" s="64"/>
      <c r="BJ199" s="64"/>
      <c r="BK199" s="64"/>
      <c r="BL199" s="64"/>
    </row>
    <row r="200" spans="48:64" x14ac:dyDescent="0.25">
      <c r="AV200" s="64"/>
      <c r="AW200" s="64"/>
      <c r="AX200" s="64"/>
      <c r="AY200" s="64"/>
      <c r="AZ200" s="64"/>
      <c r="BA200" s="64"/>
      <c r="BB200" s="64"/>
      <c r="BC200" s="64"/>
      <c r="BD200" s="64"/>
      <c r="BE200" s="64"/>
      <c r="BF200" s="64"/>
      <c r="BG200" s="64"/>
      <c r="BH200" s="64"/>
      <c r="BI200" s="64"/>
      <c r="BJ200" s="64"/>
      <c r="BK200" s="64"/>
      <c r="BL200" s="64"/>
    </row>
    <row r="201" spans="48:64" x14ac:dyDescent="0.25">
      <c r="AV201" s="64"/>
      <c r="AW201" s="64"/>
      <c r="AX201" s="64"/>
      <c r="AY201" s="64"/>
      <c r="AZ201" s="64"/>
      <c r="BA201" s="64"/>
      <c r="BB201" s="64"/>
      <c r="BC201" s="64"/>
      <c r="BD201" s="64"/>
      <c r="BE201" s="64"/>
      <c r="BF201" s="64"/>
      <c r="BG201" s="64"/>
      <c r="BH201" s="64"/>
      <c r="BI201" s="64"/>
      <c r="BJ201" s="64"/>
      <c r="BK201" s="64"/>
      <c r="BL201" s="64"/>
    </row>
    <row r="202" spans="48:64" x14ac:dyDescent="0.25">
      <c r="AV202" s="64"/>
      <c r="AW202" s="64"/>
      <c r="AX202" s="64"/>
      <c r="AY202" s="64"/>
      <c r="AZ202" s="64"/>
      <c r="BA202" s="64"/>
      <c r="BB202" s="64"/>
      <c r="BC202" s="64"/>
      <c r="BD202" s="64"/>
      <c r="BE202" s="64"/>
      <c r="BF202" s="64"/>
      <c r="BG202" s="64"/>
      <c r="BH202" s="64"/>
      <c r="BI202" s="64"/>
      <c r="BJ202" s="64"/>
      <c r="BK202" s="64"/>
      <c r="BL202" s="64"/>
    </row>
    <row r="203" spans="48:64" x14ac:dyDescent="0.25">
      <c r="AV203" s="64"/>
      <c r="AW203" s="64"/>
      <c r="AX203" s="64"/>
      <c r="AY203" s="64"/>
      <c r="AZ203" s="64"/>
      <c r="BA203" s="64"/>
      <c r="BB203" s="64"/>
      <c r="BC203" s="64"/>
      <c r="BD203" s="64"/>
      <c r="BE203" s="64"/>
      <c r="BF203" s="64"/>
      <c r="BG203" s="64"/>
      <c r="BH203" s="64"/>
      <c r="BI203" s="64"/>
      <c r="BJ203" s="64"/>
      <c r="BK203" s="64"/>
      <c r="BL203" s="64"/>
    </row>
    <row r="204" spans="48:64" x14ac:dyDescent="0.25">
      <c r="AV204" s="64"/>
      <c r="AW204" s="64"/>
      <c r="AX204" s="64"/>
      <c r="AY204" s="64"/>
      <c r="AZ204" s="64"/>
      <c r="BA204" s="64"/>
      <c r="BB204" s="64"/>
      <c r="BC204" s="64"/>
      <c r="BD204" s="64"/>
      <c r="BE204" s="64"/>
      <c r="BF204" s="64"/>
      <c r="BG204" s="64"/>
      <c r="BH204" s="64"/>
      <c r="BI204" s="64"/>
      <c r="BJ204" s="64"/>
      <c r="BK204" s="64"/>
      <c r="BL204" s="64"/>
    </row>
    <row r="205" spans="48:64" x14ac:dyDescent="0.25">
      <c r="AV205" s="64"/>
      <c r="AW205" s="64"/>
      <c r="AX205" s="64"/>
      <c r="AY205" s="64"/>
      <c r="AZ205" s="64"/>
      <c r="BA205" s="64"/>
      <c r="BB205" s="64"/>
      <c r="BC205" s="64"/>
      <c r="BD205" s="64"/>
      <c r="BE205" s="64"/>
      <c r="BF205" s="64"/>
      <c r="BG205" s="64"/>
      <c r="BH205" s="64"/>
      <c r="BI205" s="64"/>
      <c r="BJ205" s="64"/>
      <c r="BK205" s="64"/>
      <c r="BL205" s="64"/>
    </row>
    <row r="206" spans="48:64" x14ac:dyDescent="0.25">
      <c r="AV206" s="64"/>
      <c r="AW206" s="64"/>
      <c r="AX206" s="64"/>
      <c r="AY206" s="64"/>
      <c r="AZ206" s="64"/>
      <c r="BA206" s="64"/>
      <c r="BB206" s="64"/>
      <c r="BC206" s="64"/>
      <c r="BD206" s="64"/>
      <c r="BE206" s="64"/>
      <c r="BF206" s="64"/>
      <c r="BG206" s="64"/>
      <c r="BH206" s="64"/>
      <c r="BI206" s="64"/>
      <c r="BJ206" s="64"/>
      <c r="BK206" s="64"/>
      <c r="BL206" s="64"/>
    </row>
    <row r="207" spans="48:64" x14ac:dyDescent="0.25">
      <c r="AV207" s="64"/>
      <c r="AW207" s="64"/>
      <c r="AX207" s="64"/>
      <c r="AY207" s="64"/>
      <c r="AZ207" s="64"/>
      <c r="BA207" s="64"/>
      <c r="BB207" s="64"/>
      <c r="BC207" s="64"/>
      <c r="BD207" s="64"/>
      <c r="BE207" s="64"/>
      <c r="BF207" s="64"/>
      <c r="BG207" s="64"/>
      <c r="BH207" s="64"/>
      <c r="BI207" s="64"/>
      <c r="BJ207" s="64"/>
      <c r="BK207" s="64"/>
      <c r="BL207" s="64"/>
    </row>
    <row r="208" spans="48:64" x14ac:dyDescent="0.25">
      <c r="AV208" s="64"/>
      <c r="AW208" s="64"/>
      <c r="AX208" s="64"/>
      <c r="AY208" s="64"/>
      <c r="AZ208" s="64"/>
      <c r="BA208" s="64"/>
      <c r="BB208" s="64"/>
      <c r="BC208" s="64"/>
      <c r="BD208" s="64"/>
      <c r="BE208" s="64"/>
      <c r="BF208" s="64"/>
      <c r="BG208" s="64"/>
      <c r="BH208" s="64"/>
      <c r="BI208" s="64"/>
      <c r="BJ208" s="64"/>
      <c r="BK208" s="64"/>
      <c r="BL208" s="64"/>
    </row>
    <row r="209" spans="48:64" x14ac:dyDescent="0.25">
      <c r="AV209" s="64"/>
      <c r="AW209" s="64"/>
      <c r="AX209" s="64"/>
      <c r="AY209" s="64"/>
      <c r="AZ209" s="64"/>
      <c r="BA209" s="64"/>
      <c r="BB209" s="64"/>
      <c r="BC209" s="64"/>
      <c r="BD209" s="64"/>
      <c r="BE209" s="64"/>
      <c r="BF209" s="64"/>
      <c r="BG209" s="64"/>
      <c r="BH209" s="64"/>
      <c r="BI209" s="64"/>
      <c r="BJ209" s="64"/>
      <c r="BK209" s="64"/>
      <c r="BL209" s="64"/>
    </row>
    <row r="210" spans="48:64" x14ac:dyDescent="0.25">
      <c r="AV210" s="64"/>
      <c r="AW210" s="64"/>
      <c r="AX210" s="64"/>
      <c r="AY210" s="64"/>
      <c r="AZ210" s="64"/>
      <c r="BA210" s="64"/>
      <c r="BB210" s="64"/>
      <c r="BC210" s="64"/>
      <c r="BD210" s="64"/>
      <c r="BE210" s="64"/>
      <c r="BF210" s="64"/>
      <c r="BG210" s="64"/>
      <c r="BH210" s="64"/>
      <c r="BI210" s="64"/>
      <c r="BJ210" s="64"/>
      <c r="BK210" s="64"/>
      <c r="BL210" s="64"/>
    </row>
    <row r="211" spans="48:64" x14ac:dyDescent="0.25">
      <c r="AV211" s="64"/>
      <c r="AW211" s="64"/>
      <c r="AX211" s="64"/>
      <c r="AY211" s="64"/>
      <c r="AZ211" s="64"/>
      <c r="BA211" s="64"/>
      <c r="BB211" s="64"/>
      <c r="BC211" s="64"/>
      <c r="BD211" s="64"/>
      <c r="BE211" s="64"/>
      <c r="BF211" s="64"/>
      <c r="BG211" s="64"/>
      <c r="BH211" s="64"/>
      <c r="BI211" s="64"/>
      <c r="BJ211" s="64"/>
      <c r="BK211" s="64"/>
      <c r="BL211" s="64"/>
    </row>
    <row r="212" spans="48:64" x14ac:dyDescent="0.25">
      <c r="AV212" s="64"/>
      <c r="AW212" s="64"/>
      <c r="AX212" s="64"/>
      <c r="AY212" s="64"/>
      <c r="AZ212" s="64"/>
      <c r="BA212" s="64"/>
      <c r="BB212" s="64"/>
      <c r="BC212" s="64"/>
      <c r="BD212" s="64"/>
      <c r="BE212" s="64"/>
      <c r="BF212" s="64"/>
      <c r="BG212" s="64"/>
      <c r="BH212" s="64"/>
      <c r="BI212" s="64"/>
      <c r="BJ212" s="64"/>
      <c r="BK212" s="64"/>
      <c r="BL212" s="64"/>
    </row>
    <row r="213" spans="48:64" x14ac:dyDescent="0.25">
      <c r="AV213" s="64"/>
      <c r="AW213" s="64"/>
      <c r="AX213" s="64"/>
      <c r="AY213" s="64"/>
      <c r="AZ213" s="64"/>
      <c r="BA213" s="64"/>
      <c r="BB213" s="64"/>
      <c r="BC213" s="64"/>
      <c r="BD213" s="64"/>
      <c r="BE213" s="64"/>
      <c r="BF213" s="64"/>
      <c r="BG213" s="64"/>
      <c r="BH213" s="64"/>
      <c r="BI213" s="64"/>
      <c r="BJ213" s="64"/>
      <c r="BK213" s="64"/>
      <c r="BL213" s="64"/>
    </row>
    <row r="214" spans="48:64" x14ac:dyDescent="0.25">
      <c r="AV214" s="64"/>
      <c r="AW214" s="64"/>
      <c r="AX214" s="64"/>
      <c r="AY214" s="64"/>
      <c r="AZ214" s="64"/>
      <c r="BA214" s="64"/>
      <c r="BB214" s="64"/>
      <c r="BC214" s="64"/>
      <c r="BD214" s="64"/>
      <c r="BE214" s="64"/>
      <c r="BF214" s="64"/>
      <c r="BG214" s="64"/>
      <c r="BH214" s="64"/>
      <c r="BI214" s="64"/>
      <c r="BJ214" s="64"/>
      <c r="BK214" s="64"/>
      <c r="BL214" s="64"/>
    </row>
    <row r="215" spans="48:64" x14ac:dyDescent="0.25">
      <c r="AV215" s="64"/>
      <c r="AW215" s="64"/>
      <c r="AX215" s="64"/>
      <c r="AY215" s="64"/>
      <c r="AZ215" s="64"/>
      <c r="BA215" s="64"/>
      <c r="BB215" s="64"/>
      <c r="BC215" s="64"/>
      <c r="BD215" s="64"/>
      <c r="BE215" s="64"/>
      <c r="BF215" s="64"/>
      <c r="BG215" s="64"/>
      <c r="BH215" s="64"/>
      <c r="BI215" s="64"/>
      <c r="BJ215" s="64"/>
      <c r="BK215" s="64"/>
      <c r="BL215" s="64"/>
    </row>
    <row r="216" spans="48:64" x14ac:dyDescent="0.25">
      <c r="AV216" s="64"/>
      <c r="AW216" s="64"/>
      <c r="AX216" s="64"/>
      <c r="AY216" s="64"/>
      <c r="AZ216" s="64"/>
      <c r="BA216" s="64"/>
      <c r="BB216" s="64"/>
      <c r="BC216" s="64"/>
      <c r="BD216" s="64"/>
      <c r="BE216" s="64"/>
      <c r="BF216" s="64"/>
      <c r="BG216" s="64"/>
      <c r="BH216" s="64"/>
      <c r="BI216" s="64"/>
      <c r="BJ216" s="64"/>
      <c r="BK216" s="64"/>
      <c r="BL216" s="64"/>
    </row>
    <row r="217" spans="48:64" x14ac:dyDescent="0.25">
      <c r="AV217" s="64"/>
      <c r="AW217" s="64"/>
      <c r="AX217" s="64"/>
      <c r="AY217" s="64"/>
      <c r="AZ217" s="64"/>
      <c r="BA217" s="64"/>
      <c r="BB217" s="64"/>
      <c r="BC217" s="64"/>
      <c r="BD217" s="64"/>
      <c r="BE217" s="64"/>
      <c r="BF217" s="64"/>
      <c r="BG217" s="64"/>
      <c r="BH217" s="64"/>
      <c r="BI217" s="64"/>
      <c r="BJ217" s="64"/>
      <c r="BK217" s="64"/>
      <c r="BL217" s="64"/>
    </row>
    <row r="218" spans="48:64" x14ac:dyDescent="0.25">
      <c r="AV218" s="64"/>
      <c r="AW218" s="64"/>
      <c r="AX218" s="64"/>
      <c r="AY218" s="64"/>
      <c r="AZ218" s="64"/>
      <c r="BA218" s="64"/>
      <c r="BB218" s="64"/>
      <c r="BC218" s="64"/>
      <c r="BD218" s="64"/>
      <c r="BE218" s="64"/>
      <c r="BF218" s="64"/>
      <c r="BG218" s="64"/>
      <c r="BH218" s="64"/>
      <c r="BI218" s="64"/>
      <c r="BJ218" s="64"/>
      <c r="BK218" s="64"/>
      <c r="BL218" s="64"/>
    </row>
    <row r="219" spans="48:64" x14ac:dyDescent="0.25">
      <c r="AV219" s="64"/>
      <c r="AW219" s="64"/>
      <c r="AX219" s="64"/>
      <c r="AY219" s="64"/>
      <c r="AZ219" s="64"/>
      <c r="BA219" s="64"/>
      <c r="BB219" s="64"/>
      <c r="BC219" s="64"/>
      <c r="BD219" s="64"/>
      <c r="BE219" s="64"/>
      <c r="BF219" s="64"/>
      <c r="BG219" s="64"/>
      <c r="BH219" s="64"/>
      <c r="BI219" s="64"/>
      <c r="BJ219" s="64"/>
      <c r="BK219" s="64"/>
      <c r="BL219" s="64"/>
    </row>
    <row r="220" spans="48:64" x14ac:dyDescent="0.25">
      <c r="AV220" s="64"/>
      <c r="AW220" s="64"/>
      <c r="AX220" s="64"/>
      <c r="AY220" s="64"/>
      <c r="AZ220" s="64"/>
      <c r="BA220" s="64"/>
      <c r="BB220" s="64"/>
      <c r="BC220" s="64"/>
      <c r="BD220" s="64"/>
      <c r="BE220" s="64"/>
      <c r="BF220" s="64"/>
      <c r="BG220" s="64"/>
      <c r="BH220" s="64"/>
      <c r="BI220" s="64"/>
      <c r="BJ220" s="64"/>
      <c r="BK220" s="64"/>
      <c r="BL220" s="64"/>
    </row>
    <row r="221" spans="48:64" x14ac:dyDescent="0.25">
      <c r="AV221" s="64"/>
      <c r="AW221" s="64"/>
      <c r="AX221" s="64"/>
      <c r="AY221" s="64"/>
      <c r="AZ221" s="64"/>
      <c r="BA221" s="64"/>
      <c r="BB221" s="64"/>
      <c r="BC221" s="64"/>
      <c r="BD221" s="64"/>
      <c r="BE221" s="64"/>
      <c r="BF221" s="64"/>
      <c r="BG221" s="64"/>
      <c r="BH221" s="64"/>
      <c r="BI221" s="64"/>
      <c r="BJ221" s="64"/>
      <c r="BK221" s="64"/>
      <c r="BL221" s="64"/>
    </row>
    <row r="222" spans="48:64" x14ac:dyDescent="0.25">
      <c r="AV222" s="64"/>
      <c r="AW222" s="64"/>
      <c r="AX222" s="64"/>
      <c r="AY222" s="64"/>
      <c r="AZ222" s="64"/>
      <c r="BA222" s="64"/>
      <c r="BB222" s="64"/>
      <c r="BC222" s="64"/>
      <c r="BD222" s="64"/>
      <c r="BE222" s="64"/>
      <c r="BF222" s="64"/>
      <c r="BG222" s="64"/>
      <c r="BH222" s="64"/>
      <c r="BI222" s="64"/>
      <c r="BJ222" s="64"/>
      <c r="BK222" s="64"/>
      <c r="BL222" s="64"/>
    </row>
    <row r="223" spans="48:64" x14ac:dyDescent="0.25">
      <c r="AV223" s="64"/>
      <c r="AW223" s="64"/>
      <c r="AX223" s="64"/>
      <c r="AY223" s="64"/>
      <c r="AZ223" s="64"/>
      <c r="BA223" s="64"/>
      <c r="BB223" s="64"/>
      <c r="BC223" s="64"/>
      <c r="BD223" s="64"/>
      <c r="BE223" s="64"/>
      <c r="BF223" s="64"/>
      <c r="BG223" s="64"/>
      <c r="BH223" s="64"/>
      <c r="BI223" s="64"/>
      <c r="BJ223" s="64"/>
      <c r="BK223" s="64"/>
      <c r="BL223" s="64"/>
    </row>
    <row r="224" spans="48:64" x14ac:dyDescent="0.25">
      <c r="AV224" s="64"/>
      <c r="AW224" s="64"/>
      <c r="AX224" s="64"/>
      <c r="AY224" s="64"/>
      <c r="AZ224" s="64"/>
      <c r="BA224" s="64"/>
      <c r="BB224" s="64"/>
      <c r="BC224" s="64"/>
      <c r="BD224" s="64"/>
      <c r="BE224" s="64"/>
      <c r="BF224" s="64"/>
      <c r="BG224" s="64"/>
      <c r="BH224" s="64"/>
      <c r="BI224" s="64"/>
      <c r="BJ224" s="64"/>
      <c r="BK224" s="64"/>
      <c r="BL224" s="64"/>
    </row>
    <row r="225" spans="48:64" x14ac:dyDescent="0.25">
      <c r="AV225" s="64"/>
      <c r="AW225" s="64"/>
      <c r="AX225" s="64"/>
      <c r="AY225" s="64"/>
      <c r="AZ225" s="64"/>
      <c r="BA225" s="64"/>
      <c r="BB225" s="64"/>
      <c r="BC225" s="64"/>
      <c r="BD225" s="64"/>
      <c r="BE225" s="64"/>
      <c r="BF225" s="64"/>
      <c r="BG225" s="64"/>
      <c r="BH225" s="64"/>
      <c r="BI225" s="64"/>
      <c r="BJ225" s="64"/>
      <c r="BK225" s="64"/>
      <c r="BL225" s="64"/>
    </row>
    <row r="226" spans="48:64" x14ac:dyDescent="0.25">
      <c r="AV226" s="64"/>
      <c r="AW226" s="64"/>
      <c r="AX226" s="64"/>
      <c r="AY226" s="64"/>
      <c r="AZ226" s="64"/>
      <c r="BA226" s="64"/>
      <c r="BB226" s="64"/>
      <c r="BC226" s="64"/>
      <c r="BD226" s="64"/>
      <c r="BE226" s="64"/>
      <c r="BF226" s="64"/>
      <c r="BG226" s="64"/>
      <c r="BH226" s="64"/>
      <c r="BI226" s="64"/>
      <c r="BJ226" s="64"/>
      <c r="BK226" s="64"/>
      <c r="BL226" s="64"/>
    </row>
    <row r="227" spans="48:64" x14ac:dyDescent="0.25">
      <c r="AV227" s="64"/>
      <c r="AW227" s="64"/>
      <c r="AX227" s="64"/>
      <c r="AY227" s="64"/>
      <c r="AZ227" s="64"/>
      <c r="BA227" s="64"/>
      <c r="BB227" s="64"/>
      <c r="BC227" s="64"/>
      <c r="BD227" s="64"/>
      <c r="BE227" s="64"/>
      <c r="BF227" s="64"/>
      <c r="BG227" s="64"/>
      <c r="BH227" s="64"/>
      <c r="BI227" s="64"/>
      <c r="BJ227" s="64"/>
      <c r="BK227" s="64"/>
      <c r="BL227" s="64"/>
    </row>
    <row r="228" spans="48:64" x14ac:dyDescent="0.25">
      <c r="AV228" s="64"/>
      <c r="AW228" s="64"/>
      <c r="AX228" s="64"/>
      <c r="AY228" s="64"/>
      <c r="AZ228" s="64"/>
      <c r="BA228" s="64"/>
      <c r="BB228" s="64"/>
      <c r="BC228" s="64"/>
      <c r="BD228" s="64"/>
      <c r="BE228" s="64"/>
      <c r="BF228" s="64"/>
      <c r="BG228" s="64"/>
      <c r="BH228" s="64"/>
      <c r="BI228" s="64"/>
      <c r="BJ228" s="64"/>
      <c r="BK228" s="64"/>
      <c r="BL228" s="64"/>
    </row>
    <row r="229" spans="48:64" x14ac:dyDescent="0.25">
      <c r="AV229" s="64"/>
      <c r="AW229" s="64"/>
      <c r="AX229" s="64"/>
      <c r="AY229" s="64"/>
      <c r="AZ229" s="64"/>
      <c r="BA229" s="64"/>
      <c r="BB229" s="64"/>
      <c r="BC229" s="64"/>
      <c r="BD229" s="64"/>
      <c r="BE229" s="64"/>
      <c r="BF229" s="64"/>
      <c r="BG229" s="64"/>
      <c r="BH229" s="64"/>
      <c r="BI229" s="64"/>
      <c r="BJ229" s="64"/>
      <c r="BK229" s="64"/>
      <c r="BL229" s="64"/>
    </row>
    <row r="230" spans="48:64" x14ac:dyDescent="0.25">
      <c r="AV230" s="64"/>
      <c r="AW230" s="64"/>
      <c r="AX230" s="64"/>
      <c r="AY230" s="64"/>
      <c r="AZ230" s="64"/>
      <c r="BA230" s="64"/>
      <c r="BB230" s="64"/>
      <c r="BC230" s="64"/>
      <c r="BD230" s="64"/>
      <c r="BE230" s="64"/>
      <c r="BF230" s="64"/>
      <c r="BG230" s="64"/>
      <c r="BH230" s="64"/>
      <c r="BI230" s="64"/>
      <c r="BJ230" s="64"/>
      <c r="BK230" s="64"/>
      <c r="BL230" s="64"/>
    </row>
    <row r="231" spans="48:64" x14ac:dyDescent="0.25">
      <c r="AV231" s="64"/>
      <c r="AW231" s="64"/>
      <c r="AX231" s="64"/>
      <c r="AY231" s="64"/>
      <c r="AZ231" s="64"/>
      <c r="BA231" s="64"/>
      <c r="BB231" s="64"/>
      <c r="BC231" s="64"/>
      <c r="BD231" s="64"/>
      <c r="BE231" s="64"/>
      <c r="BF231" s="64"/>
      <c r="BG231" s="64"/>
      <c r="BH231" s="64"/>
      <c r="BI231" s="64"/>
      <c r="BJ231" s="64"/>
      <c r="BK231" s="64"/>
      <c r="BL231" s="64"/>
    </row>
    <row r="232" spans="48:64" x14ac:dyDescent="0.25">
      <c r="AV232" s="64"/>
      <c r="AW232" s="64"/>
      <c r="AX232" s="64"/>
      <c r="AY232" s="64"/>
      <c r="AZ232" s="64"/>
      <c r="BA232" s="64"/>
      <c r="BB232" s="64"/>
      <c r="BC232" s="64"/>
      <c r="BD232" s="64"/>
      <c r="BE232" s="64"/>
      <c r="BF232" s="64"/>
      <c r="BG232" s="64"/>
      <c r="BH232" s="64"/>
      <c r="BI232" s="64"/>
      <c r="BJ232" s="64"/>
      <c r="BK232" s="64"/>
      <c r="BL232" s="64"/>
    </row>
    <row r="233" spans="48:64" x14ac:dyDescent="0.25">
      <c r="AV233" s="64"/>
      <c r="AW233" s="64"/>
      <c r="AX233" s="64"/>
      <c r="AY233" s="64"/>
      <c r="AZ233" s="64"/>
      <c r="BA233" s="64"/>
      <c r="BB233" s="64"/>
      <c r="BC233" s="64"/>
      <c r="BD233" s="64"/>
      <c r="BE233" s="64"/>
      <c r="BF233" s="64"/>
      <c r="BG233" s="64"/>
      <c r="BH233" s="64"/>
      <c r="BI233" s="64"/>
      <c r="BJ233" s="64"/>
      <c r="BK233" s="64"/>
      <c r="BL233" s="64"/>
    </row>
    <row r="234" spans="48:64" x14ac:dyDescent="0.25">
      <c r="AV234" s="64"/>
      <c r="AW234" s="64"/>
      <c r="AX234" s="64"/>
      <c r="AY234" s="64"/>
      <c r="AZ234" s="64"/>
      <c r="BA234" s="64"/>
      <c r="BB234" s="64"/>
      <c r="BC234" s="64"/>
      <c r="BD234" s="64"/>
      <c r="BE234" s="64"/>
      <c r="BF234" s="64"/>
      <c r="BG234" s="64"/>
      <c r="BH234" s="64"/>
      <c r="BI234" s="64"/>
      <c r="BJ234" s="64"/>
      <c r="BK234" s="64"/>
      <c r="BL234" s="64"/>
    </row>
    <row r="235" spans="48:64" x14ac:dyDescent="0.25">
      <c r="AV235" s="64"/>
      <c r="AW235" s="64"/>
      <c r="AX235" s="64"/>
      <c r="AY235" s="64"/>
      <c r="AZ235" s="64"/>
      <c r="BA235" s="64"/>
      <c r="BB235" s="64"/>
      <c r="BC235" s="64"/>
      <c r="BD235" s="64"/>
      <c r="BE235" s="64"/>
      <c r="BF235" s="64"/>
      <c r="BG235" s="64"/>
      <c r="BH235" s="64"/>
      <c r="BI235" s="64"/>
      <c r="BJ235" s="64"/>
      <c r="BK235" s="64"/>
      <c r="BL235" s="64"/>
    </row>
    <row r="236" spans="48:64" x14ac:dyDescent="0.25">
      <c r="AV236" s="64"/>
      <c r="AW236" s="64"/>
      <c r="AX236" s="64"/>
      <c r="AY236" s="64"/>
      <c r="AZ236" s="64"/>
      <c r="BA236" s="64"/>
      <c r="BB236" s="64"/>
      <c r="BC236" s="64"/>
      <c r="BD236" s="64"/>
      <c r="BE236" s="64"/>
      <c r="BF236" s="64"/>
      <c r="BG236" s="64"/>
      <c r="BH236" s="64"/>
      <c r="BI236" s="64"/>
      <c r="BJ236" s="64"/>
      <c r="BK236" s="64"/>
      <c r="BL236" s="64"/>
    </row>
    <row r="237" spans="48:64" x14ac:dyDescent="0.25">
      <c r="AV237" s="64"/>
      <c r="AW237" s="64"/>
      <c r="AX237" s="64"/>
      <c r="AY237" s="64"/>
      <c r="AZ237" s="64"/>
      <c r="BA237" s="64"/>
      <c r="BB237" s="64"/>
      <c r="BC237" s="64"/>
      <c r="BD237" s="64"/>
      <c r="BE237" s="64"/>
      <c r="BF237" s="64"/>
      <c r="BG237" s="64"/>
      <c r="BH237" s="64"/>
      <c r="BI237" s="64"/>
      <c r="BJ237" s="64"/>
      <c r="BK237" s="64"/>
      <c r="BL237" s="64"/>
    </row>
    <row r="238" spans="48:64" x14ac:dyDescent="0.25">
      <c r="AV238" s="64"/>
      <c r="AW238" s="64"/>
      <c r="AX238" s="64"/>
      <c r="AY238" s="64"/>
      <c r="AZ238" s="64"/>
      <c r="BA238" s="64"/>
      <c r="BB238" s="64"/>
      <c r="BC238" s="64"/>
      <c r="BD238" s="64"/>
      <c r="BE238" s="64"/>
      <c r="BF238" s="64"/>
      <c r="BG238" s="64"/>
      <c r="BH238" s="64"/>
      <c r="BI238" s="64"/>
      <c r="BJ238" s="64"/>
      <c r="BK238" s="64"/>
      <c r="BL238" s="64"/>
    </row>
    <row r="239" spans="48:64" x14ac:dyDescent="0.25">
      <c r="AV239" s="64"/>
      <c r="AW239" s="64"/>
      <c r="AX239" s="64"/>
      <c r="AY239" s="64"/>
      <c r="AZ239" s="64"/>
      <c r="BA239" s="64"/>
      <c r="BB239" s="64"/>
      <c r="BC239" s="64"/>
      <c r="BD239" s="64"/>
      <c r="BE239" s="64"/>
      <c r="BF239" s="64"/>
      <c r="BG239" s="64"/>
      <c r="BH239" s="64"/>
      <c r="BI239" s="64"/>
      <c r="BJ239" s="64"/>
      <c r="BK239" s="64"/>
      <c r="BL239" s="64"/>
    </row>
    <row r="240" spans="48:64" x14ac:dyDescent="0.25">
      <c r="AV240" s="64"/>
      <c r="AW240" s="64"/>
      <c r="AX240" s="64"/>
      <c r="AY240" s="64"/>
      <c r="AZ240" s="64"/>
      <c r="BA240" s="64"/>
      <c r="BB240" s="64"/>
      <c r="BC240" s="64"/>
      <c r="BD240" s="64"/>
      <c r="BE240" s="64"/>
      <c r="BF240" s="64"/>
      <c r="BG240" s="64"/>
      <c r="BH240" s="64"/>
      <c r="BI240" s="64"/>
      <c r="BJ240" s="64"/>
      <c r="BK240" s="64"/>
      <c r="BL240" s="64"/>
    </row>
    <row r="241" spans="48:64" x14ac:dyDescent="0.25">
      <c r="AV241" s="64"/>
      <c r="AW241" s="64"/>
      <c r="AX241" s="64"/>
      <c r="AY241" s="64"/>
      <c r="AZ241" s="64"/>
      <c r="BA241" s="64"/>
      <c r="BB241" s="64"/>
      <c r="BC241" s="64"/>
      <c r="BD241" s="64"/>
      <c r="BE241" s="64"/>
      <c r="BF241" s="64"/>
      <c r="BG241" s="64"/>
      <c r="BH241" s="64"/>
      <c r="BI241" s="64"/>
      <c r="BJ241" s="64"/>
      <c r="BK241" s="64"/>
      <c r="BL241" s="64"/>
    </row>
    <row r="242" spans="48:64" x14ac:dyDescent="0.25">
      <c r="AV242" s="64"/>
      <c r="AW242" s="64"/>
      <c r="AX242" s="64"/>
      <c r="AY242" s="64"/>
      <c r="AZ242" s="64"/>
      <c r="BA242" s="64"/>
      <c r="BB242" s="64"/>
      <c r="BC242" s="64"/>
      <c r="BD242" s="64"/>
      <c r="BE242" s="64"/>
      <c r="BF242" s="64"/>
      <c r="BG242" s="64"/>
      <c r="BH242" s="64"/>
      <c r="BI242" s="64"/>
      <c r="BJ242" s="64"/>
      <c r="BK242" s="64"/>
      <c r="BL242" s="64"/>
    </row>
    <row r="243" spans="48:64" x14ac:dyDescent="0.25">
      <c r="AV243" s="64"/>
      <c r="AW243" s="64"/>
      <c r="AX243" s="64"/>
      <c r="AY243" s="64"/>
      <c r="AZ243" s="64"/>
      <c r="BA243" s="64"/>
      <c r="BB243" s="64"/>
      <c r="BC243" s="64"/>
      <c r="BD243" s="64"/>
      <c r="BE243" s="64"/>
      <c r="BF243" s="64"/>
      <c r="BG243" s="64"/>
      <c r="BH243" s="64"/>
      <c r="BI243" s="64"/>
      <c r="BJ243" s="64"/>
      <c r="BK243" s="64"/>
      <c r="BL243" s="64"/>
    </row>
    <row r="244" spans="48:64" x14ac:dyDescent="0.25">
      <c r="AV244" s="64"/>
      <c r="AW244" s="64"/>
      <c r="AX244" s="64"/>
      <c r="AY244" s="64"/>
      <c r="AZ244" s="64"/>
      <c r="BA244" s="64"/>
      <c r="BB244" s="64"/>
      <c r="BC244" s="64"/>
      <c r="BD244" s="64"/>
      <c r="BE244" s="64"/>
      <c r="BF244" s="64"/>
      <c r="BG244" s="64"/>
      <c r="BH244" s="64"/>
      <c r="BI244" s="64"/>
      <c r="BJ244" s="64"/>
      <c r="BK244" s="64"/>
      <c r="BL244" s="64"/>
    </row>
    <row r="245" spans="48:64" x14ac:dyDescent="0.25">
      <c r="AV245" s="64"/>
      <c r="AW245" s="64"/>
      <c r="AX245" s="64"/>
      <c r="AY245" s="64"/>
      <c r="AZ245" s="64"/>
      <c r="BA245" s="64"/>
      <c r="BB245" s="64"/>
      <c r="BC245" s="64"/>
      <c r="BD245" s="64"/>
      <c r="BE245" s="64"/>
      <c r="BF245" s="64"/>
      <c r="BG245" s="64"/>
      <c r="BH245" s="64"/>
      <c r="BI245" s="64"/>
      <c r="BJ245" s="64"/>
      <c r="BK245" s="64"/>
      <c r="BL245" s="64"/>
    </row>
    <row r="246" spans="48:64" x14ac:dyDescent="0.25">
      <c r="AV246" s="64"/>
      <c r="AW246" s="64"/>
      <c r="AX246" s="64"/>
      <c r="AY246" s="64"/>
      <c r="AZ246" s="64"/>
      <c r="BA246" s="64"/>
      <c r="BB246" s="64"/>
      <c r="BC246" s="64"/>
      <c r="BD246" s="64"/>
      <c r="BE246" s="64"/>
      <c r="BF246" s="64"/>
      <c r="BG246" s="64"/>
      <c r="BH246" s="64"/>
      <c r="BI246" s="64"/>
      <c r="BJ246" s="64"/>
      <c r="BK246" s="64"/>
      <c r="BL246" s="64"/>
    </row>
    <row r="247" spans="48:64" x14ac:dyDescent="0.25">
      <c r="AV247" s="64"/>
      <c r="AW247" s="64"/>
      <c r="AX247" s="64"/>
      <c r="AY247" s="64"/>
      <c r="AZ247" s="64"/>
      <c r="BA247" s="64"/>
      <c r="BB247" s="64"/>
      <c r="BC247" s="64"/>
      <c r="BD247" s="64"/>
      <c r="BE247" s="64"/>
      <c r="BF247" s="64"/>
      <c r="BG247" s="64"/>
      <c r="BH247" s="64"/>
      <c r="BI247" s="64"/>
      <c r="BJ247" s="64"/>
      <c r="BK247" s="64"/>
      <c r="BL247" s="64"/>
    </row>
    <row r="248" spans="48:64" x14ac:dyDescent="0.25">
      <c r="AV248" s="64"/>
      <c r="AW248" s="64"/>
      <c r="AX248" s="64"/>
      <c r="AY248" s="64"/>
      <c r="AZ248" s="64"/>
      <c r="BA248" s="64"/>
      <c r="BB248" s="64"/>
      <c r="BC248" s="64"/>
      <c r="BD248" s="64"/>
      <c r="BE248" s="64"/>
      <c r="BF248" s="64"/>
      <c r="BG248" s="64"/>
      <c r="BH248" s="64"/>
      <c r="BI248" s="64"/>
      <c r="BJ248" s="64"/>
      <c r="BK248" s="64"/>
      <c r="BL248" s="64"/>
    </row>
    <row r="249" spans="48:64" x14ac:dyDescent="0.25">
      <c r="AV249" s="64"/>
      <c r="AW249" s="64"/>
      <c r="AX249" s="64"/>
      <c r="AY249" s="64"/>
      <c r="AZ249" s="64"/>
      <c r="BA249" s="64"/>
      <c r="BB249" s="64"/>
      <c r="BC249" s="64"/>
      <c r="BD249" s="64"/>
      <c r="BE249" s="64"/>
      <c r="BF249" s="64"/>
      <c r="BG249" s="64"/>
      <c r="BH249" s="64"/>
      <c r="BI249" s="64"/>
      <c r="BJ249" s="64"/>
      <c r="BK249" s="64"/>
      <c r="BL249" s="64"/>
    </row>
    <row r="250" spans="48:64" x14ac:dyDescent="0.25">
      <c r="AV250" s="64"/>
      <c r="AW250" s="64"/>
      <c r="AX250" s="64"/>
      <c r="AY250" s="64"/>
      <c r="AZ250" s="64"/>
      <c r="BA250" s="64"/>
      <c r="BB250" s="64"/>
      <c r="BC250" s="64"/>
      <c r="BD250" s="64"/>
      <c r="BE250" s="64"/>
      <c r="BF250" s="64"/>
      <c r="BG250" s="64"/>
      <c r="BH250" s="64"/>
      <c r="BI250" s="64"/>
      <c r="BJ250" s="64"/>
      <c r="BK250" s="64"/>
      <c r="BL250" s="64"/>
    </row>
    <row r="251" spans="48:64" x14ac:dyDescent="0.25">
      <c r="AV251" s="64"/>
      <c r="AW251" s="64"/>
      <c r="AX251" s="64"/>
      <c r="AY251" s="64"/>
      <c r="AZ251" s="64"/>
      <c r="BA251" s="64"/>
      <c r="BB251" s="64"/>
      <c r="BC251" s="64"/>
      <c r="BD251" s="64"/>
      <c r="BE251" s="64"/>
      <c r="BF251" s="64"/>
      <c r="BG251" s="64"/>
      <c r="BH251" s="64"/>
      <c r="BI251" s="64"/>
      <c r="BJ251" s="64"/>
      <c r="BK251" s="64"/>
      <c r="BL251" s="64"/>
    </row>
    <row r="252" spans="48:64" x14ac:dyDescent="0.25">
      <c r="AV252" s="64"/>
      <c r="AW252" s="64"/>
      <c r="AX252" s="64"/>
      <c r="AY252" s="64"/>
      <c r="AZ252" s="64"/>
      <c r="BA252" s="64"/>
      <c r="BB252" s="64"/>
      <c r="BC252" s="64"/>
      <c r="BD252" s="64"/>
      <c r="BE252" s="64"/>
      <c r="BF252" s="64"/>
      <c r="BG252" s="64"/>
      <c r="BH252" s="64"/>
      <c r="BI252" s="64"/>
      <c r="BJ252" s="64"/>
      <c r="BK252" s="64"/>
      <c r="BL252" s="64"/>
    </row>
    <row r="253" spans="48:64" x14ac:dyDescent="0.25">
      <c r="AV253" s="64"/>
      <c r="AW253" s="64"/>
      <c r="AX253" s="64"/>
      <c r="AY253" s="64"/>
      <c r="AZ253" s="64"/>
      <c r="BA253" s="64"/>
      <c r="BB253" s="64"/>
      <c r="BC253" s="64"/>
      <c r="BD253" s="64"/>
      <c r="BE253" s="64"/>
      <c r="BF253" s="64"/>
      <c r="BG253" s="64"/>
      <c r="BH253" s="64"/>
      <c r="BI253" s="64"/>
      <c r="BJ253" s="64"/>
      <c r="BK253" s="64"/>
      <c r="BL253" s="64"/>
    </row>
    <row r="254" spans="48:64" x14ac:dyDescent="0.25">
      <c r="AV254" s="64"/>
      <c r="AW254" s="64"/>
      <c r="AX254" s="64"/>
      <c r="AY254" s="64"/>
      <c r="AZ254" s="64"/>
      <c r="BA254" s="64"/>
      <c r="BB254" s="64"/>
      <c r="BC254" s="64"/>
      <c r="BD254" s="64"/>
      <c r="BE254" s="64"/>
      <c r="BF254" s="64"/>
      <c r="BG254" s="64"/>
      <c r="BH254" s="64"/>
      <c r="BI254" s="64"/>
      <c r="BJ254" s="64"/>
      <c r="BK254" s="64"/>
      <c r="BL254" s="64"/>
    </row>
    <row r="255" spans="48:64" x14ac:dyDescent="0.25">
      <c r="AV255" s="64"/>
      <c r="AW255" s="64"/>
      <c r="AX255" s="64"/>
      <c r="AY255" s="64"/>
      <c r="AZ255" s="64"/>
      <c r="BA255" s="64"/>
      <c r="BB255" s="64"/>
      <c r="BC255" s="64"/>
      <c r="BD255" s="64"/>
      <c r="BE255" s="64"/>
      <c r="BF255" s="64"/>
      <c r="BG255" s="64"/>
      <c r="BH255" s="64"/>
      <c r="BI255" s="64"/>
      <c r="BJ255" s="64"/>
      <c r="BK255" s="64"/>
      <c r="BL255" s="64"/>
    </row>
    <row r="256" spans="48:64" x14ac:dyDescent="0.25">
      <c r="AV256" s="64"/>
      <c r="AW256" s="64"/>
      <c r="AX256" s="64"/>
      <c r="AY256" s="64"/>
      <c r="AZ256" s="64"/>
      <c r="BA256" s="64"/>
      <c r="BB256" s="64"/>
      <c r="BC256" s="64"/>
      <c r="BD256" s="64"/>
      <c r="BE256" s="64"/>
      <c r="BF256" s="64"/>
      <c r="BG256" s="64"/>
      <c r="BH256" s="64"/>
      <c r="BI256" s="64"/>
      <c r="BJ256" s="64"/>
      <c r="BK256" s="64"/>
      <c r="BL256" s="64"/>
    </row>
    <row r="257" spans="48:64" x14ac:dyDescent="0.25">
      <c r="AV257" s="64"/>
      <c r="AW257" s="64"/>
      <c r="AX257" s="64"/>
      <c r="AY257" s="64"/>
      <c r="AZ257" s="64"/>
      <c r="BA257" s="64"/>
      <c r="BB257" s="64"/>
      <c r="BC257" s="64"/>
      <c r="BD257" s="64"/>
      <c r="BE257" s="64"/>
      <c r="BF257" s="64"/>
      <c r="BG257" s="64"/>
      <c r="BH257" s="64"/>
      <c r="BI257" s="64"/>
      <c r="BJ257" s="64"/>
      <c r="BK257" s="64"/>
      <c r="BL257" s="64"/>
    </row>
    <row r="258" spans="48:64" x14ac:dyDescent="0.25">
      <c r="AV258" s="64"/>
      <c r="AW258" s="64"/>
      <c r="AX258" s="64"/>
      <c r="AY258" s="64"/>
      <c r="AZ258" s="64"/>
      <c r="BA258" s="64"/>
      <c r="BB258" s="64"/>
      <c r="BC258" s="64"/>
      <c r="BD258" s="64"/>
      <c r="BE258" s="64"/>
      <c r="BF258" s="64"/>
      <c r="BG258" s="64"/>
      <c r="BH258" s="64"/>
      <c r="BI258" s="64"/>
      <c r="BJ258" s="64"/>
      <c r="BK258" s="64"/>
      <c r="BL258" s="64"/>
    </row>
    <row r="259" spans="48:64" x14ac:dyDescent="0.25">
      <c r="AV259" s="64"/>
      <c r="AW259" s="64"/>
      <c r="AX259" s="64"/>
      <c r="AY259" s="64"/>
      <c r="AZ259" s="64"/>
      <c r="BA259" s="64"/>
      <c r="BB259" s="64"/>
      <c r="BC259" s="64"/>
      <c r="BD259" s="64"/>
      <c r="BE259" s="64"/>
      <c r="BF259" s="64"/>
      <c r="BG259" s="64"/>
      <c r="BH259" s="64"/>
      <c r="BI259" s="64"/>
      <c r="BJ259" s="64"/>
      <c r="BK259" s="64"/>
      <c r="BL259" s="64"/>
    </row>
    <row r="260" spans="48:64" x14ac:dyDescent="0.25">
      <c r="AV260" s="64"/>
      <c r="AW260" s="64"/>
      <c r="AX260" s="64"/>
      <c r="AY260" s="64"/>
      <c r="AZ260" s="64"/>
      <c r="BA260" s="64"/>
      <c r="BB260" s="64"/>
      <c r="BC260" s="64"/>
      <c r="BD260" s="64"/>
      <c r="BE260" s="64"/>
      <c r="BF260" s="64"/>
      <c r="BG260" s="64"/>
      <c r="BH260" s="64"/>
      <c r="BI260" s="64"/>
      <c r="BJ260" s="64"/>
      <c r="BK260" s="64"/>
      <c r="BL260" s="64"/>
    </row>
    <row r="261" spans="48:64" x14ac:dyDescent="0.25">
      <c r="AV261" s="64"/>
      <c r="AW261" s="64"/>
      <c r="AX261" s="64"/>
      <c r="AY261" s="64"/>
      <c r="AZ261" s="64"/>
      <c r="BA261" s="64"/>
      <c r="BB261" s="64"/>
      <c r="BC261" s="64"/>
      <c r="BD261" s="64"/>
      <c r="BE261" s="64"/>
      <c r="BF261" s="64"/>
      <c r="BG261" s="64"/>
      <c r="BH261" s="64"/>
      <c r="BI261" s="64"/>
      <c r="BJ261" s="64"/>
      <c r="BK261" s="64"/>
      <c r="BL261" s="64"/>
    </row>
    <row r="262" spans="48:64" x14ac:dyDescent="0.25">
      <c r="AV262" s="64"/>
      <c r="AW262" s="64"/>
      <c r="AX262" s="64"/>
      <c r="AY262" s="64"/>
      <c r="AZ262" s="64"/>
      <c r="BA262" s="64"/>
      <c r="BB262" s="64"/>
      <c r="BC262" s="64"/>
      <c r="BD262" s="64"/>
      <c r="BE262" s="64"/>
      <c r="BF262" s="64"/>
      <c r="BG262" s="64"/>
      <c r="BH262" s="64"/>
      <c r="BI262" s="64"/>
      <c r="BJ262" s="64"/>
      <c r="BK262" s="64"/>
      <c r="BL262" s="64"/>
    </row>
    <row r="263" spans="48:64" x14ac:dyDescent="0.25">
      <c r="AV263" s="64"/>
      <c r="AW263" s="64"/>
      <c r="AX263" s="64"/>
      <c r="AY263" s="64"/>
      <c r="AZ263" s="64"/>
      <c r="BA263" s="64"/>
      <c r="BB263" s="64"/>
      <c r="BC263" s="64"/>
      <c r="BD263" s="64"/>
      <c r="BE263" s="64"/>
      <c r="BF263" s="64"/>
      <c r="BG263" s="64"/>
      <c r="BH263" s="64"/>
      <c r="BI263" s="64"/>
      <c r="BJ263" s="64"/>
      <c r="BK263" s="64"/>
      <c r="BL263" s="64"/>
    </row>
    <row r="264" spans="48:64" x14ac:dyDescent="0.25">
      <c r="AV264" s="64"/>
      <c r="AW264" s="64"/>
      <c r="AX264" s="64"/>
      <c r="AY264" s="64"/>
      <c r="AZ264" s="64"/>
      <c r="BA264" s="64"/>
      <c r="BB264" s="64"/>
      <c r="BC264" s="64"/>
      <c r="BD264" s="64"/>
      <c r="BE264" s="64"/>
      <c r="BF264" s="64"/>
      <c r="BG264" s="64"/>
      <c r="BH264" s="64"/>
      <c r="BI264" s="64"/>
      <c r="BJ264" s="64"/>
      <c r="BK264" s="64"/>
      <c r="BL264" s="64"/>
    </row>
    <row r="265" spans="48:64" x14ac:dyDescent="0.25">
      <c r="AV265" s="64"/>
      <c r="AW265" s="64"/>
      <c r="AX265" s="64"/>
      <c r="AY265" s="64"/>
      <c r="AZ265" s="64"/>
      <c r="BA265" s="64"/>
      <c r="BB265" s="64"/>
      <c r="BC265" s="64"/>
      <c r="BD265" s="64"/>
      <c r="BE265" s="64"/>
      <c r="BF265" s="64"/>
      <c r="BG265" s="64"/>
      <c r="BH265" s="64"/>
      <c r="BI265" s="64"/>
      <c r="BJ265" s="64"/>
      <c r="BK265" s="64"/>
      <c r="BL265" s="64"/>
    </row>
    <row r="266" spans="48:64" x14ac:dyDescent="0.25">
      <c r="AV266" s="64"/>
      <c r="AW266" s="64"/>
      <c r="AX266" s="64"/>
      <c r="AY266" s="64"/>
      <c r="AZ266" s="64"/>
      <c r="BA266" s="64"/>
      <c r="BB266" s="64"/>
      <c r="BC266" s="64"/>
      <c r="BD266" s="64"/>
      <c r="BE266" s="64"/>
      <c r="BF266" s="64"/>
      <c r="BG266" s="64"/>
      <c r="BH266" s="64"/>
      <c r="BI266" s="64"/>
      <c r="BJ266" s="64"/>
      <c r="BK266" s="64"/>
      <c r="BL266" s="64"/>
    </row>
    <row r="267" spans="48:64" x14ac:dyDescent="0.25">
      <c r="AV267" s="64"/>
      <c r="AW267" s="64"/>
      <c r="AX267" s="64"/>
      <c r="AY267" s="64"/>
      <c r="AZ267" s="64"/>
      <c r="BA267" s="64"/>
      <c r="BB267" s="64"/>
      <c r="BC267" s="64"/>
      <c r="BD267" s="64"/>
      <c r="BE267" s="64"/>
      <c r="BF267" s="64"/>
      <c r="BG267" s="64"/>
      <c r="BH267" s="64"/>
      <c r="BI267" s="64"/>
      <c r="BJ267" s="64"/>
      <c r="BK267" s="64"/>
      <c r="BL267" s="64"/>
    </row>
    <row r="268" spans="48:64" x14ac:dyDescent="0.25">
      <c r="AV268" s="64"/>
      <c r="AW268" s="64"/>
      <c r="AX268" s="64"/>
      <c r="AY268" s="64"/>
      <c r="AZ268" s="64"/>
      <c r="BA268" s="64"/>
      <c r="BB268" s="64"/>
      <c r="BC268" s="64"/>
      <c r="BD268" s="64"/>
      <c r="BE268" s="64"/>
      <c r="BF268" s="64"/>
      <c r="BG268" s="64"/>
      <c r="BH268" s="64"/>
      <c r="BI268" s="64"/>
      <c r="BJ268" s="64"/>
      <c r="BK268" s="64"/>
      <c r="BL268" s="64"/>
    </row>
    <row r="269" spans="48:64" x14ac:dyDescent="0.25">
      <c r="AV269" s="64"/>
      <c r="AW269" s="64"/>
      <c r="AX269" s="64"/>
      <c r="AY269" s="64"/>
      <c r="AZ269" s="64"/>
      <c r="BA269" s="64"/>
      <c r="BB269" s="64"/>
      <c r="BC269" s="64"/>
      <c r="BD269" s="64"/>
      <c r="BE269" s="64"/>
      <c r="BF269" s="64"/>
      <c r="BG269" s="64"/>
      <c r="BH269" s="64"/>
      <c r="BI269" s="64"/>
      <c r="BJ269" s="64"/>
      <c r="BK269" s="64"/>
      <c r="BL269" s="64"/>
    </row>
    <row r="270" spans="48:64" x14ac:dyDescent="0.25">
      <c r="AV270" s="64"/>
      <c r="AW270" s="64"/>
      <c r="AX270" s="64"/>
      <c r="AY270" s="64"/>
      <c r="AZ270" s="64"/>
      <c r="BA270" s="64"/>
      <c r="BB270" s="64"/>
      <c r="BC270" s="64"/>
      <c r="BD270" s="64"/>
      <c r="BE270" s="64"/>
      <c r="BF270" s="64"/>
      <c r="BG270" s="64"/>
      <c r="BH270" s="64"/>
      <c r="BI270" s="64"/>
      <c r="BJ270" s="64"/>
      <c r="BK270" s="64"/>
      <c r="BL270" s="64"/>
    </row>
    <row r="271" spans="48:64" x14ac:dyDescent="0.25">
      <c r="AV271" s="64"/>
      <c r="AW271" s="64"/>
      <c r="AX271" s="64"/>
      <c r="AY271" s="64"/>
      <c r="AZ271" s="64"/>
      <c r="BA271" s="64"/>
      <c r="BB271" s="64"/>
      <c r="BC271" s="64"/>
      <c r="BD271" s="64"/>
      <c r="BE271" s="64"/>
      <c r="BF271" s="64"/>
      <c r="BG271" s="64"/>
      <c r="BH271" s="64"/>
      <c r="BI271" s="64"/>
      <c r="BJ271" s="64"/>
      <c r="BK271" s="64"/>
      <c r="BL271" s="64"/>
    </row>
    <row r="272" spans="48:64" x14ac:dyDescent="0.25">
      <c r="AV272" s="64"/>
      <c r="AW272" s="64"/>
      <c r="AX272" s="64"/>
      <c r="AY272" s="64"/>
      <c r="AZ272" s="64"/>
      <c r="BA272" s="64"/>
      <c r="BB272" s="64"/>
      <c r="BC272" s="64"/>
      <c r="BD272" s="64"/>
      <c r="BE272" s="64"/>
      <c r="BF272" s="64"/>
      <c r="BG272" s="64"/>
      <c r="BH272" s="64"/>
      <c r="BI272" s="64"/>
      <c r="BJ272" s="64"/>
      <c r="BK272" s="64"/>
      <c r="BL272" s="64"/>
    </row>
    <row r="273" spans="48:64" x14ac:dyDescent="0.25">
      <c r="AV273" s="64"/>
      <c r="AW273" s="64"/>
      <c r="AX273" s="64"/>
      <c r="AY273" s="64"/>
      <c r="AZ273" s="64"/>
      <c r="BA273" s="64"/>
      <c r="BB273" s="64"/>
      <c r="BC273" s="64"/>
      <c r="BD273" s="64"/>
      <c r="BE273" s="64"/>
      <c r="BF273" s="64"/>
      <c r="BG273" s="64"/>
      <c r="BH273" s="64"/>
      <c r="BI273" s="64"/>
      <c r="BJ273" s="64"/>
      <c r="BK273" s="64"/>
      <c r="BL273" s="64"/>
    </row>
    <row r="274" spans="48:64" x14ac:dyDescent="0.25">
      <c r="AV274" s="64"/>
      <c r="AW274" s="64"/>
      <c r="AX274" s="64"/>
      <c r="AY274" s="64"/>
      <c r="AZ274" s="64"/>
      <c r="BA274" s="64"/>
      <c r="BB274" s="64"/>
      <c r="BC274" s="64"/>
      <c r="BD274" s="64"/>
      <c r="BE274" s="64"/>
      <c r="BF274" s="64"/>
      <c r="BG274" s="64"/>
      <c r="BH274" s="64"/>
      <c r="BI274" s="64"/>
      <c r="BJ274" s="64"/>
      <c r="BK274" s="64"/>
      <c r="BL274" s="64"/>
    </row>
    <row r="275" spans="48:64" x14ac:dyDescent="0.25">
      <c r="AV275" s="64"/>
      <c r="AW275" s="64"/>
      <c r="AX275" s="64"/>
      <c r="AY275" s="64"/>
      <c r="AZ275" s="64"/>
      <c r="BA275" s="64"/>
      <c r="BB275" s="64"/>
      <c r="BC275" s="64"/>
      <c r="BD275" s="64"/>
      <c r="BE275" s="64"/>
      <c r="BF275" s="64"/>
      <c r="BG275" s="64"/>
      <c r="BH275" s="64"/>
      <c r="BI275" s="64"/>
      <c r="BJ275" s="64"/>
      <c r="BK275" s="64"/>
      <c r="BL275" s="64"/>
    </row>
    <row r="276" spans="48:64" x14ac:dyDescent="0.25">
      <c r="AV276" s="64"/>
      <c r="AW276" s="64"/>
      <c r="AX276" s="64"/>
      <c r="AY276" s="64"/>
      <c r="AZ276" s="64"/>
      <c r="BA276" s="64"/>
      <c r="BB276" s="64"/>
      <c r="BC276" s="64"/>
      <c r="BD276" s="64"/>
      <c r="BE276" s="64"/>
      <c r="BF276" s="64"/>
      <c r="BG276" s="64"/>
      <c r="BH276" s="64"/>
      <c r="BI276" s="64"/>
      <c r="BJ276" s="64"/>
      <c r="BK276" s="64"/>
      <c r="BL276" s="64"/>
    </row>
    <row r="277" spans="48:64" x14ac:dyDescent="0.25">
      <c r="AV277" s="64"/>
      <c r="AW277" s="64"/>
      <c r="AX277" s="64"/>
      <c r="AY277" s="64"/>
      <c r="AZ277" s="64"/>
      <c r="BA277" s="64"/>
      <c r="BB277" s="64"/>
      <c r="BC277" s="64"/>
      <c r="BD277" s="64"/>
      <c r="BE277" s="64"/>
      <c r="BF277" s="64"/>
      <c r="BG277" s="64"/>
      <c r="BH277" s="64"/>
      <c r="BI277" s="64"/>
      <c r="BJ277" s="64"/>
      <c r="BK277" s="64"/>
      <c r="BL277" s="64"/>
    </row>
    <row r="278" spans="48:64" x14ac:dyDescent="0.25">
      <c r="AV278" s="64"/>
      <c r="AW278" s="64"/>
      <c r="AX278" s="64"/>
      <c r="AY278" s="64"/>
      <c r="AZ278" s="64"/>
      <c r="BA278" s="64"/>
      <c r="BB278" s="64"/>
      <c r="BC278" s="64"/>
      <c r="BD278" s="64"/>
      <c r="BE278" s="64"/>
      <c r="BF278" s="64"/>
      <c r="BG278" s="64"/>
      <c r="BH278" s="64"/>
      <c r="BI278" s="64"/>
      <c r="BJ278" s="64"/>
      <c r="BK278" s="64"/>
      <c r="BL278" s="64"/>
    </row>
    <row r="279" spans="48:64" x14ac:dyDescent="0.25">
      <c r="AV279" s="64"/>
      <c r="AW279" s="64"/>
      <c r="AX279" s="64"/>
      <c r="AY279" s="64"/>
      <c r="AZ279" s="64"/>
      <c r="BA279" s="64"/>
      <c r="BB279" s="64"/>
      <c r="BC279" s="64"/>
      <c r="BD279" s="64"/>
      <c r="BE279" s="64"/>
      <c r="BF279" s="64"/>
      <c r="BG279" s="64"/>
      <c r="BH279" s="64"/>
      <c r="BI279" s="64"/>
      <c r="BJ279" s="64"/>
      <c r="BK279" s="64"/>
      <c r="BL279" s="64"/>
    </row>
    <row r="280" spans="48:64" x14ac:dyDescent="0.25">
      <c r="AV280" s="64"/>
      <c r="AW280" s="64"/>
      <c r="AX280" s="64"/>
      <c r="AY280" s="64"/>
      <c r="AZ280" s="64"/>
      <c r="BA280" s="64"/>
      <c r="BB280" s="64"/>
      <c r="BC280" s="64"/>
      <c r="BD280" s="64"/>
      <c r="BE280" s="64"/>
      <c r="BF280" s="64"/>
      <c r="BG280" s="64"/>
      <c r="BH280" s="64"/>
      <c r="BI280" s="64"/>
      <c r="BJ280" s="64"/>
      <c r="BK280" s="64"/>
      <c r="BL280" s="64"/>
    </row>
    <row r="281" spans="48:64" x14ac:dyDescent="0.25">
      <c r="AV281" s="64"/>
      <c r="AW281" s="64"/>
      <c r="AX281" s="64"/>
      <c r="AY281" s="64"/>
      <c r="AZ281" s="64"/>
      <c r="BA281" s="64"/>
      <c r="BB281" s="64"/>
      <c r="BC281" s="64"/>
      <c r="BD281" s="64"/>
      <c r="BE281" s="64"/>
      <c r="BF281" s="64"/>
      <c r="BG281" s="64"/>
      <c r="BH281" s="64"/>
      <c r="BI281" s="64"/>
      <c r="BJ281" s="64"/>
      <c r="BK281" s="64"/>
      <c r="BL281" s="64"/>
    </row>
    <row r="282" spans="48:64" x14ac:dyDescent="0.25">
      <c r="AV282" s="64"/>
      <c r="AW282" s="64"/>
      <c r="AX282" s="64"/>
      <c r="AY282" s="64"/>
      <c r="AZ282" s="64"/>
      <c r="BA282" s="64"/>
      <c r="BB282" s="64"/>
      <c r="BC282" s="64"/>
      <c r="BD282" s="64"/>
      <c r="BE282" s="64"/>
      <c r="BF282" s="64"/>
      <c r="BG282" s="64"/>
      <c r="BH282" s="64"/>
      <c r="BI282" s="64"/>
      <c r="BJ282" s="64"/>
      <c r="BK282" s="64"/>
      <c r="BL282" s="64"/>
    </row>
    <row r="283" spans="48:64" x14ac:dyDescent="0.25">
      <c r="AV283" s="64"/>
      <c r="AW283" s="64"/>
      <c r="AX283" s="64"/>
      <c r="AY283" s="64"/>
      <c r="AZ283" s="64"/>
      <c r="BA283" s="64"/>
      <c r="BB283" s="64"/>
      <c r="BC283" s="64"/>
      <c r="BD283" s="64"/>
      <c r="BE283" s="64"/>
      <c r="BF283" s="64"/>
      <c r="BG283" s="64"/>
      <c r="BH283" s="64"/>
      <c r="BI283" s="64"/>
      <c r="BJ283" s="64"/>
      <c r="BK283" s="64"/>
      <c r="BL283" s="64"/>
    </row>
    <row r="284" spans="48:64" x14ac:dyDescent="0.25">
      <c r="AV284" s="64"/>
      <c r="AW284" s="64"/>
      <c r="AX284" s="64"/>
      <c r="AY284" s="64"/>
      <c r="AZ284" s="64"/>
      <c r="BA284" s="64"/>
      <c r="BB284" s="64"/>
      <c r="BC284" s="64"/>
      <c r="BD284" s="64"/>
      <c r="BE284" s="64"/>
      <c r="BF284" s="64"/>
      <c r="BG284" s="64"/>
      <c r="BH284" s="64"/>
      <c r="BI284" s="64"/>
      <c r="BJ284" s="64"/>
      <c r="BK284" s="64"/>
      <c r="BL284" s="64"/>
    </row>
    <row r="285" spans="48:64" x14ac:dyDescent="0.25">
      <c r="AV285" s="64"/>
      <c r="AW285" s="64"/>
      <c r="AX285" s="64"/>
      <c r="AY285" s="64"/>
      <c r="AZ285" s="64"/>
      <c r="BA285" s="64"/>
      <c r="BB285" s="64"/>
      <c r="BC285" s="64"/>
      <c r="BD285" s="64"/>
      <c r="BE285" s="64"/>
      <c r="BF285" s="64"/>
      <c r="BG285" s="64"/>
      <c r="BH285" s="64"/>
      <c r="BI285" s="64"/>
      <c r="BJ285" s="64"/>
      <c r="BK285" s="64"/>
      <c r="BL285" s="64"/>
    </row>
    <row r="286" spans="48:64" x14ac:dyDescent="0.25">
      <c r="AV286" s="64"/>
      <c r="AW286" s="64"/>
      <c r="AX286" s="64"/>
      <c r="AY286" s="64"/>
      <c r="AZ286" s="64"/>
      <c r="BA286" s="64"/>
      <c r="BB286" s="64"/>
      <c r="BC286" s="64"/>
      <c r="BD286" s="64"/>
      <c r="BE286" s="64"/>
      <c r="BF286" s="64"/>
      <c r="BG286" s="64"/>
      <c r="BH286" s="64"/>
      <c r="BI286" s="64"/>
      <c r="BJ286" s="64"/>
      <c r="BK286" s="64"/>
      <c r="BL286" s="64"/>
    </row>
    <row r="287" spans="48:64" x14ac:dyDescent="0.25">
      <c r="AV287" s="64"/>
      <c r="AW287" s="64"/>
      <c r="AX287" s="64"/>
      <c r="AY287" s="64"/>
      <c r="AZ287" s="64"/>
      <c r="BA287" s="64"/>
      <c r="BB287" s="64"/>
      <c r="BC287" s="64"/>
      <c r="BD287" s="64"/>
      <c r="BE287" s="64"/>
      <c r="BF287" s="64"/>
      <c r="BG287" s="64"/>
      <c r="BH287" s="64"/>
      <c r="BI287" s="64"/>
      <c r="BJ287" s="64"/>
      <c r="BK287" s="64"/>
      <c r="BL287" s="64"/>
    </row>
    <row r="288" spans="48:64" x14ac:dyDescent="0.25">
      <c r="AV288" s="64"/>
      <c r="AW288" s="64"/>
      <c r="AX288" s="64"/>
      <c r="AY288" s="64"/>
      <c r="AZ288" s="64"/>
      <c r="BA288" s="64"/>
      <c r="BB288" s="64"/>
      <c r="BC288" s="64"/>
      <c r="BD288" s="64"/>
      <c r="BE288" s="64"/>
      <c r="BF288" s="64"/>
      <c r="BG288" s="64"/>
      <c r="BH288" s="64"/>
      <c r="BI288" s="64"/>
      <c r="BJ288" s="64"/>
      <c r="BK288" s="64"/>
      <c r="BL288" s="64"/>
    </row>
    <row r="289" spans="48:64" x14ac:dyDescent="0.25">
      <c r="AV289" s="64"/>
      <c r="AW289" s="64"/>
      <c r="AX289" s="64"/>
      <c r="AY289" s="64"/>
      <c r="AZ289" s="64"/>
      <c r="BA289" s="64"/>
      <c r="BB289" s="64"/>
      <c r="BC289" s="64"/>
      <c r="BD289" s="64"/>
      <c r="BE289" s="64"/>
      <c r="BF289" s="64"/>
      <c r="BG289" s="64"/>
      <c r="BH289" s="64"/>
      <c r="BI289" s="64"/>
      <c r="BJ289" s="64"/>
      <c r="BK289" s="64"/>
      <c r="BL289" s="64"/>
    </row>
    <row r="290" spans="48:64" x14ac:dyDescent="0.25">
      <c r="AV290" s="64"/>
      <c r="AW290" s="64"/>
      <c r="AX290" s="64"/>
      <c r="AY290" s="64"/>
      <c r="AZ290" s="64"/>
      <c r="BA290" s="64"/>
      <c r="BB290" s="64"/>
      <c r="BC290" s="64"/>
      <c r="BD290" s="64"/>
      <c r="BE290" s="64"/>
      <c r="BF290" s="64"/>
      <c r="BG290" s="64"/>
      <c r="BH290" s="64"/>
      <c r="BI290" s="64"/>
      <c r="BJ290" s="64"/>
      <c r="BK290" s="64"/>
      <c r="BL290" s="64"/>
    </row>
    <row r="291" spans="48:64" x14ac:dyDescent="0.25">
      <c r="AV291" s="64"/>
      <c r="AW291" s="64"/>
      <c r="AX291" s="64"/>
      <c r="AY291" s="64"/>
      <c r="AZ291" s="64"/>
      <c r="BA291" s="64"/>
      <c r="BB291" s="64"/>
      <c r="BC291" s="64"/>
      <c r="BD291" s="64"/>
      <c r="BE291" s="64"/>
      <c r="BF291" s="64"/>
      <c r="BG291" s="64"/>
      <c r="BH291" s="64"/>
      <c r="BI291" s="64"/>
      <c r="BJ291" s="64"/>
      <c r="BK291" s="64"/>
      <c r="BL291" s="64"/>
    </row>
    <row r="292" spans="48:64" x14ac:dyDescent="0.25">
      <c r="AV292" s="64"/>
      <c r="AW292" s="64"/>
      <c r="AX292" s="64"/>
      <c r="AY292" s="64"/>
      <c r="AZ292" s="64"/>
      <c r="BA292" s="64"/>
      <c r="BB292" s="64"/>
      <c r="BC292" s="64"/>
      <c r="BD292" s="64"/>
      <c r="BE292" s="64"/>
      <c r="BF292" s="64"/>
      <c r="BG292" s="64"/>
      <c r="BH292" s="64"/>
      <c r="BI292" s="64"/>
      <c r="BJ292" s="64"/>
      <c r="BK292" s="64"/>
      <c r="BL292" s="64"/>
    </row>
    <row r="293" spans="48:64" x14ac:dyDescent="0.25">
      <c r="AV293" s="64"/>
      <c r="AW293" s="64"/>
      <c r="AX293" s="64"/>
      <c r="AY293" s="64"/>
      <c r="AZ293" s="64"/>
      <c r="BA293" s="64"/>
      <c r="BB293" s="64"/>
      <c r="BC293" s="64"/>
      <c r="BD293" s="64"/>
      <c r="BE293" s="64"/>
      <c r="BF293" s="64"/>
      <c r="BG293" s="64"/>
      <c r="BH293" s="64"/>
      <c r="BI293" s="64"/>
      <c r="BJ293" s="64"/>
      <c r="BK293" s="64"/>
      <c r="BL293" s="64"/>
    </row>
    <row r="294" spans="48:64" x14ac:dyDescent="0.25">
      <c r="AV294" s="64"/>
      <c r="AW294" s="64"/>
      <c r="AX294" s="64"/>
      <c r="AY294" s="64"/>
      <c r="AZ294" s="64"/>
      <c r="BA294" s="64"/>
      <c r="BB294" s="64"/>
      <c r="BC294" s="64"/>
      <c r="BD294" s="64"/>
      <c r="BE294" s="64"/>
      <c r="BF294" s="64"/>
      <c r="BG294" s="64"/>
      <c r="BH294" s="64"/>
      <c r="BI294" s="64"/>
      <c r="BJ294" s="64"/>
      <c r="BK294" s="64"/>
      <c r="BL294" s="64"/>
    </row>
    <row r="295" spans="48:64" x14ac:dyDescent="0.25">
      <c r="AV295" s="64"/>
      <c r="AW295" s="64"/>
      <c r="AX295" s="64"/>
      <c r="AY295" s="64"/>
      <c r="AZ295" s="64"/>
      <c r="BA295" s="64"/>
      <c r="BB295" s="64"/>
      <c r="BC295" s="64"/>
      <c r="BD295" s="64"/>
      <c r="BE295" s="64"/>
      <c r="BF295" s="64"/>
      <c r="BG295" s="64"/>
      <c r="BH295" s="64"/>
      <c r="BI295" s="64"/>
      <c r="BJ295" s="64"/>
      <c r="BK295" s="64"/>
      <c r="BL295" s="64"/>
    </row>
    <row r="296" spans="48:64" x14ac:dyDescent="0.25">
      <c r="AV296" s="64"/>
      <c r="AW296" s="64"/>
      <c r="AX296" s="64"/>
      <c r="AY296" s="64"/>
      <c r="AZ296" s="64"/>
      <c r="BA296" s="64"/>
      <c r="BB296" s="64"/>
      <c r="BC296" s="64"/>
      <c r="BD296" s="64"/>
      <c r="BE296" s="64"/>
      <c r="BF296" s="64"/>
      <c r="BG296" s="64"/>
      <c r="BH296" s="64"/>
      <c r="BI296" s="64"/>
      <c r="BJ296" s="64"/>
      <c r="BK296" s="64"/>
      <c r="BL296" s="64"/>
    </row>
    <row r="297" spans="48:64" x14ac:dyDescent="0.25">
      <c r="AV297" s="64"/>
      <c r="AW297" s="64"/>
      <c r="AX297" s="64"/>
      <c r="AY297" s="64"/>
      <c r="AZ297" s="64"/>
      <c r="BA297" s="64"/>
      <c r="BB297" s="64"/>
      <c r="BC297" s="64"/>
      <c r="BD297" s="64"/>
      <c r="BE297" s="64"/>
      <c r="BF297" s="64"/>
      <c r="BG297" s="64"/>
      <c r="BH297" s="64"/>
      <c r="BI297" s="64"/>
      <c r="BJ297" s="64"/>
      <c r="BK297" s="64"/>
      <c r="BL297" s="64"/>
    </row>
    <row r="298" spans="48:64" x14ac:dyDescent="0.25">
      <c r="AV298" s="64"/>
      <c r="AW298" s="64"/>
      <c r="AX298" s="64"/>
      <c r="AY298" s="64"/>
      <c r="AZ298" s="64"/>
      <c r="BA298" s="64"/>
      <c r="BB298" s="64"/>
      <c r="BC298" s="64"/>
      <c r="BD298" s="64"/>
      <c r="BE298" s="64"/>
      <c r="BF298" s="64"/>
      <c r="BG298" s="64"/>
      <c r="BH298" s="64"/>
      <c r="BI298" s="64"/>
      <c r="BJ298" s="64"/>
      <c r="BK298" s="64"/>
      <c r="BL298" s="64"/>
    </row>
    <row r="299" spans="48:64" x14ac:dyDescent="0.25">
      <c r="AV299" s="64"/>
      <c r="AW299" s="64"/>
      <c r="AX299" s="64"/>
      <c r="AY299" s="64"/>
      <c r="AZ299" s="64"/>
      <c r="BA299" s="64"/>
      <c r="BB299" s="64"/>
      <c r="BC299" s="64"/>
      <c r="BD299" s="64"/>
      <c r="BE299" s="64"/>
      <c r="BF299" s="64"/>
      <c r="BG299" s="64"/>
      <c r="BH299" s="64"/>
      <c r="BI299" s="64"/>
      <c r="BJ299" s="64"/>
      <c r="BK299" s="64"/>
      <c r="BL299" s="64"/>
    </row>
    <row r="300" spans="48:64" x14ac:dyDescent="0.25">
      <c r="AV300" s="64"/>
      <c r="AW300" s="64"/>
      <c r="AX300" s="64"/>
      <c r="AY300" s="64"/>
      <c r="AZ300" s="64"/>
      <c r="BA300" s="64"/>
      <c r="BB300" s="64"/>
      <c r="BC300" s="64"/>
      <c r="BD300" s="64"/>
      <c r="BE300" s="64"/>
      <c r="BF300" s="64"/>
      <c r="BG300" s="64"/>
      <c r="BH300" s="64"/>
      <c r="BI300" s="64"/>
      <c r="BJ300" s="64"/>
      <c r="BK300" s="64"/>
      <c r="BL300" s="64"/>
    </row>
    <row r="301" spans="48:64" x14ac:dyDescent="0.25">
      <c r="AV301" s="64"/>
      <c r="AW301" s="64"/>
      <c r="AX301" s="64"/>
      <c r="AY301" s="64"/>
      <c r="AZ301" s="64"/>
      <c r="BA301" s="64"/>
      <c r="BB301" s="64"/>
      <c r="BC301" s="64"/>
      <c r="BD301" s="64"/>
      <c r="BE301" s="64"/>
      <c r="BF301" s="64"/>
      <c r="BG301" s="64"/>
      <c r="BH301" s="64"/>
      <c r="BI301" s="64"/>
      <c r="BJ301" s="64"/>
      <c r="BK301" s="64"/>
      <c r="BL301" s="64"/>
    </row>
    <row r="302" spans="48:64" x14ac:dyDescent="0.25">
      <c r="AV302" s="64"/>
      <c r="AW302" s="64"/>
      <c r="AX302" s="64"/>
      <c r="AY302" s="64"/>
      <c r="AZ302" s="64"/>
      <c r="BA302" s="64"/>
      <c r="BB302" s="64"/>
      <c r="BC302" s="64"/>
      <c r="BD302" s="64"/>
      <c r="BE302" s="64"/>
      <c r="BF302" s="64"/>
      <c r="BG302" s="64"/>
      <c r="BH302" s="64"/>
      <c r="BI302" s="64"/>
      <c r="BJ302" s="64"/>
      <c r="BK302" s="64"/>
      <c r="BL302" s="64"/>
    </row>
    <row r="303" spans="48:64" x14ac:dyDescent="0.25">
      <c r="AV303" s="64"/>
      <c r="AW303" s="64"/>
      <c r="AX303" s="64"/>
      <c r="AY303" s="64"/>
      <c r="AZ303" s="64"/>
      <c r="BA303" s="64"/>
      <c r="BB303" s="64"/>
      <c r="BC303" s="64"/>
      <c r="BD303" s="64"/>
      <c r="BE303" s="64"/>
      <c r="BF303" s="64"/>
      <c r="BG303" s="64"/>
      <c r="BH303" s="64"/>
      <c r="BI303" s="64"/>
      <c r="BJ303" s="64"/>
      <c r="BK303" s="64"/>
      <c r="BL303" s="64"/>
    </row>
    <row r="304" spans="48:64" x14ac:dyDescent="0.25">
      <c r="AV304" s="64"/>
      <c r="AW304" s="64"/>
      <c r="AX304" s="64"/>
      <c r="AY304" s="64"/>
      <c r="AZ304" s="64"/>
      <c r="BA304" s="64"/>
      <c r="BB304" s="64"/>
      <c r="BC304" s="64"/>
      <c r="BD304" s="64"/>
      <c r="BE304" s="64"/>
      <c r="BF304" s="64"/>
      <c r="BG304" s="64"/>
      <c r="BH304" s="64"/>
      <c r="BI304" s="64"/>
      <c r="BJ304" s="64"/>
      <c r="BK304" s="64"/>
      <c r="BL304" s="64"/>
    </row>
    <row r="305" spans="48:64" x14ac:dyDescent="0.25">
      <c r="AV305" s="64"/>
      <c r="AW305" s="64"/>
      <c r="AX305" s="64"/>
      <c r="AY305" s="64"/>
      <c r="AZ305" s="64"/>
      <c r="BA305" s="64"/>
      <c r="BB305" s="64"/>
      <c r="BC305" s="64"/>
      <c r="BD305" s="64"/>
      <c r="BE305" s="64"/>
      <c r="BF305" s="64"/>
      <c r="BG305" s="64"/>
      <c r="BH305" s="64"/>
      <c r="BI305" s="64"/>
      <c r="BJ305" s="64"/>
      <c r="BK305" s="64"/>
      <c r="BL305" s="64"/>
    </row>
    <row r="306" spans="48:64" x14ac:dyDescent="0.25">
      <c r="AV306" s="64"/>
      <c r="AW306" s="64"/>
      <c r="AX306" s="64"/>
      <c r="AY306" s="64"/>
      <c r="AZ306" s="64"/>
      <c r="BA306" s="64"/>
      <c r="BB306" s="64"/>
      <c r="BC306" s="64"/>
      <c r="BD306" s="64"/>
      <c r="BE306" s="64"/>
      <c r="BF306" s="64"/>
      <c r="BG306" s="64"/>
      <c r="BH306" s="64"/>
      <c r="BI306" s="64"/>
      <c r="BJ306" s="64"/>
      <c r="BK306" s="64"/>
      <c r="BL306" s="64"/>
    </row>
    <row r="307" spans="48:64" x14ac:dyDescent="0.25">
      <c r="AV307" s="64"/>
      <c r="AW307" s="64"/>
      <c r="AX307" s="64"/>
      <c r="AY307" s="64"/>
      <c r="AZ307" s="64"/>
      <c r="BA307" s="64"/>
      <c r="BB307" s="64"/>
      <c r="BC307" s="64"/>
      <c r="BD307" s="64"/>
      <c r="BE307" s="64"/>
      <c r="BF307" s="64"/>
      <c r="BG307" s="64"/>
      <c r="BH307" s="64"/>
      <c r="BI307" s="64"/>
      <c r="BJ307" s="64"/>
      <c r="BK307" s="64"/>
      <c r="BL307" s="64"/>
    </row>
    <row r="308" spans="48:64" x14ac:dyDescent="0.25">
      <c r="AV308" s="64"/>
      <c r="AW308" s="64"/>
      <c r="AX308" s="64"/>
      <c r="AY308" s="64"/>
      <c r="AZ308" s="64"/>
      <c r="BA308" s="64"/>
      <c r="BB308" s="64"/>
      <c r="BC308" s="64"/>
      <c r="BD308" s="64"/>
      <c r="BE308" s="64"/>
      <c r="BF308" s="64"/>
      <c r="BG308" s="64"/>
      <c r="BH308" s="64"/>
      <c r="BI308" s="64"/>
      <c r="BJ308" s="64"/>
      <c r="BK308" s="64"/>
      <c r="BL308" s="64"/>
    </row>
    <row r="309" spans="48:64" x14ac:dyDescent="0.25">
      <c r="AV309" s="64"/>
      <c r="AW309" s="64"/>
      <c r="AX309" s="64"/>
      <c r="AY309" s="64"/>
      <c r="AZ309" s="64"/>
      <c r="BA309" s="64"/>
      <c r="BB309" s="64"/>
      <c r="BC309" s="64"/>
      <c r="BD309" s="64"/>
      <c r="BE309" s="64"/>
      <c r="BF309" s="64"/>
      <c r="BG309" s="64"/>
      <c r="BH309" s="64"/>
      <c r="BI309" s="64"/>
      <c r="BJ309" s="64"/>
      <c r="BK309" s="64"/>
      <c r="BL309" s="64"/>
    </row>
    <row r="310" spans="48:64" x14ac:dyDescent="0.25">
      <c r="AV310" s="64"/>
      <c r="AW310" s="64"/>
      <c r="AX310" s="64"/>
      <c r="AY310" s="64"/>
      <c r="AZ310" s="64"/>
      <c r="BA310" s="64"/>
      <c r="BB310" s="64"/>
      <c r="BC310" s="64"/>
      <c r="BD310" s="64"/>
      <c r="BE310" s="64"/>
      <c r="BF310" s="64"/>
      <c r="BG310" s="64"/>
      <c r="BH310" s="64"/>
      <c r="BI310" s="64"/>
      <c r="BJ310" s="64"/>
      <c r="BK310" s="64"/>
      <c r="BL310" s="64"/>
    </row>
    <row r="311" spans="48:64" x14ac:dyDescent="0.25">
      <c r="AV311" s="64"/>
      <c r="AW311" s="64"/>
      <c r="AX311" s="64"/>
      <c r="AY311" s="64"/>
      <c r="AZ311" s="64"/>
      <c r="BA311" s="64"/>
      <c r="BB311" s="64"/>
      <c r="BC311" s="64"/>
      <c r="BD311" s="64"/>
      <c r="BE311" s="64"/>
      <c r="BF311" s="64"/>
      <c r="BG311" s="64"/>
      <c r="BH311" s="64"/>
      <c r="BI311" s="64"/>
      <c r="BJ311" s="64"/>
      <c r="BK311" s="64"/>
      <c r="BL311" s="64"/>
    </row>
    <row r="312" spans="48:64" x14ac:dyDescent="0.25">
      <c r="AV312" s="64"/>
      <c r="AW312" s="64"/>
      <c r="AX312" s="64"/>
      <c r="AY312" s="64"/>
      <c r="AZ312" s="64"/>
      <c r="BA312" s="64"/>
      <c r="BB312" s="64"/>
      <c r="BC312" s="64"/>
      <c r="BD312" s="64"/>
      <c r="BE312" s="64"/>
      <c r="BF312" s="64"/>
      <c r="BG312" s="64"/>
      <c r="BH312" s="64"/>
      <c r="BI312" s="64"/>
      <c r="BJ312" s="64"/>
      <c r="BK312" s="64"/>
      <c r="BL312" s="64"/>
    </row>
    <row r="313" spans="48:64" x14ac:dyDescent="0.25">
      <c r="AV313" s="64"/>
      <c r="AW313" s="64"/>
      <c r="AX313" s="64"/>
      <c r="AY313" s="64"/>
      <c r="AZ313" s="64"/>
      <c r="BA313" s="64"/>
      <c r="BB313" s="64"/>
      <c r="BC313" s="64"/>
      <c r="BD313" s="64"/>
      <c r="BE313" s="64"/>
      <c r="BF313" s="64"/>
      <c r="BG313" s="64"/>
      <c r="BH313" s="64"/>
      <c r="BI313" s="64"/>
      <c r="BJ313" s="64"/>
      <c r="BK313" s="64"/>
      <c r="BL313" s="64"/>
    </row>
    <row r="314" spans="48:64" x14ac:dyDescent="0.25">
      <c r="AV314" s="64"/>
      <c r="AW314" s="64"/>
      <c r="AX314" s="64"/>
      <c r="AY314" s="64"/>
      <c r="AZ314" s="64"/>
      <c r="BA314" s="64"/>
      <c r="BB314" s="64"/>
      <c r="BC314" s="64"/>
      <c r="BD314" s="64"/>
      <c r="BE314" s="64"/>
      <c r="BF314" s="64"/>
      <c r="BG314" s="64"/>
      <c r="BH314" s="64"/>
      <c r="BI314" s="64"/>
      <c r="BJ314" s="64"/>
      <c r="BK314" s="64"/>
      <c r="BL314" s="64"/>
    </row>
    <row r="315" spans="48:64" x14ac:dyDescent="0.25">
      <c r="AV315" s="64"/>
      <c r="AW315" s="64"/>
      <c r="AX315" s="64"/>
      <c r="AY315" s="64"/>
      <c r="AZ315" s="64"/>
      <c r="BA315" s="64"/>
      <c r="BB315" s="64"/>
      <c r="BC315" s="64"/>
      <c r="BD315" s="64"/>
      <c r="BE315" s="64"/>
      <c r="BF315" s="64"/>
      <c r="BG315" s="64"/>
      <c r="BH315" s="64"/>
      <c r="BI315" s="64"/>
      <c r="BJ315" s="64"/>
      <c r="BK315" s="64"/>
      <c r="BL315" s="64"/>
    </row>
    <row r="316" spans="48:64" x14ac:dyDescent="0.25">
      <c r="AV316" s="64"/>
      <c r="AW316" s="64"/>
      <c r="AX316" s="64"/>
      <c r="AY316" s="64"/>
      <c r="AZ316" s="64"/>
      <c r="BA316" s="64"/>
      <c r="BB316" s="64"/>
      <c r="BC316" s="64"/>
      <c r="BD316" s="64"/>
      <c r="BE316" s="64"/>
      <c r="BF316" s="64"/>
      <c r="BG316" s="64"/>
      <c r="BH316" s="64"/>
      <c r="BI316" s="64"/>
      <c r="BJ316" s="64"/>
      <c r="BK316" s="64"/>
      <c r="BL316" s="64"/>
    </row>
    <row r="317" spans="48:64" x14ac:dyDescent="0.25">
      <c r="AV317" s="64"/>
      <c r="AW317" s="64"/>
      <c r="AX317" s="64"/>
      <c r="AY317" s="64"/>
      <c r="AZ317" s="64"/>
      <c r="BA317" s="64"/>
      <c r="BB317" s="64"/>
      <c r="BC317" s="64"/>
      <c r="BD317" s="64"/>
      <c r="BE317" s="64"/>
      <c r="BF317" s="64"/>
      <c r="BG317" s="64"/>
      <c r="BH317" s="64"/>
      <c r="BI317" s="64"/>
      <c r="BJ317" s="64"/>
      <c r="BK317" s="64"/>
      <c r="BL317" s="64"/>
    </row>
    <row r="318" spans="48:64" x14ac:dyDescent="0.25">
      <c r="AV318" s="64"/>
      <c r="AW318" s="64"/>
      <c r="AX318" s="64"/>
      <c r="AY318" s="64"/>
      <c r="AZ318" s="64"/>
      <c r="BA318" s="64"/>
      <c r="BB318" s="64"/>
      <c r="BC318" s="64"/>
      <c r="BD318" s="64"/>
      <c r="BE318" s="64"/>
      <c r="BF318" s="64"/>
      <c r="BG318" s="64"/>
      <c r="BH318" s="64"/>
      <c r="BI318" s="64"/>
      <c r="BJ318" s="64"/>
      <c r="BK318" s="64"/>
      <c r="BL318" s="64"/>
    </row>
    <row r="319" spans="48:64" x14ac:dyDescent="0.25">
      <c r="AV319" s="64"/>
      <c r="AW319" s="64"/>
      <c r="AX319" s="64"/>
      <c r="AY319" s="64"/>
      <c r="AZ319" s="64"/>
      <c r="BA319" s="64"/>
      <c r="BB319" s="64"/>
      <c r="BC319" s="64"/>
      <c r="BD319" s="64"/>
      <c r="BE319" s="64"/>
      <c r="BF319" s="64"/>
      <c r="BG319" s="64"/>
      <c r="BH319" s="64"/>
      <c r="BI319" s="64"/>
      <c r="BJ319" s="64"/>
      <c r="BK319" s="64"/>
      <c r="BL319" s="64"/>
    </row>
    <row r="320" spans="48:64" x14ac:dyDescent="0.25">
      <c r="AV320" s="64"/>
      <c r="AW320" s="64"/>
      <c r="AX320" s="64"/>
      <c r="AY320" s="64"/>
      <c r="AZ320" s="64"/>
      <c r="BA320" s="64"/>
      <c r="BB320" s="64"/>
      <c r="BC320" s="64"/>
      <c r="BD320" s="64"/>
      <c r="BE320" s="64"/>
      <c r="BF320" s="64"/>
      <c r="BG320" s="64"/>
      <c r="BH320" s="64"/>
      <c r="BI320" s="64"/>
      <c r="BJ320" s="64"/>
      <c r="BK320" s="64"/>
      <c r="BL320" s="64"/>
    </row>
    <row r="321" spans="48:64" x14ac:dyDescent="0.25">
      <c r="AV321" s="64"/>
      <c r="AW321" s="64"/>
      <c r="AX321" s="64"/>
      <c r="AY321" s="64"/>
      <c r="AZ321" s="64"/>
      <c r="BA321" s="64"/>
      <c r="BB321" s="64"/>
      <c r="BC321" s="64"/>
      <c r="BD321" s="64"/>
      <c r="BE321" s="64"/>
      <c r="BF321" s="64"/>
      <c r="BG321" s="64"/>
      <c r="BH321" s="64"/>
      <c r="BI321" s="64"/>
      <c r="BJ321" s="64"/>
      <c r="BK321" s="64"/>
      <c r="BL321" s="64"/>
    </row>
    <row r="322" spans="48:64" x14ac:dyDescent="0.25">
      <c r="AV322" s="64"/>
      <c r="AW322" s="64"/>
      <c r="AX322" s="64"/>
      <c r="AY322" s="64"/>
      <c r="AZ322" s="64"/>
      <c r="BA322" s="64"/>
      <c r="BB322" s="64"/>
      <c r="BC322" s="64"/>
      <c r="BD322" s="64"/>
      <c r="BE322" s="64"/>
      <c r="BF322" s="64"/>
      <c r="BG322" s="64"/>
      <c r="BH322" s="64"/>
      <c r="BI322" s="64"/>
      <c r="BJ322" s="64"/>
      <c r="BK322" s="64"/>
      <c r="BL322" s="64"/>
    </row>
    <row r="323" spans="48:64" x14ac:dyDescent="0.25">
      <c r="AV323" s="64"/>
      <c r="AW323" s="64"/>
      <c r="AX323" s="64"/>
      <c r="AY323" s="64"/>
      <c r="AZ323" s="64"/>
      <c r="BA323" s="64"/>
      <c r="BB323" s="64"/>
      <c r="BC323" s="64"/>
      <c r="BD323" s="64"/>
      <c r="BE323" s="64"/>
      <c r="BF323" s="64"/>
      <c r="BG323" s="64"/>
      <c r="BH323" s="64"/>
      <c r="BI323" s="64"/>
      <c r="BJ323" s="64"/>
      <c r="BK323" s="64"/>
      <c r="BL323" s="64"/>
    </row>
    <row r="324" spans="48:64" x14ac:dyDescent="0.25">
      <c r="AV324" s="64"/>
      <c r="AW324" s="64"/>
      <c r="AX324" s="64"/>
      <c r="AY324" s="64"/>
      <c r="AZ324" s="64"/>
      <c r="BA324" s="64"/>
      <c r="BB324" s="64"/>
      <c r="BC324" s="64"/>
      <c r="BD324" s="64"/>
      <c r="BE324" s="64"/>
      <c r="BF324" s="64"/>
      <c r="BG324" s="64"/>
      <c r="BH324" s="64"/>
      <c r="BI324" s="64"/>
      <c r="BJ324" s="64"/>
      <c r="BK324" s="64"/>
      <c r="BL324" s="64"/>
    </row>
    <row r="325" spans="48:64" x14ac:dyDescent="0.25">
      <c r="AV325" s="64"/>
      <c r="AW325" s="64"/>
      <c r="AX325" s="64"/>
      <c r="AY325" s="64"/>
      <c r="AZ325" s="64"/>
      <c r="BA325" s="64"/>
      <c r="BB325" s="64"/>
      <c r="BC325" s="64"/>
      <c r="BD325" s="64"/>
      <c r="BE325" s="64"/>
      <c r="BF325" s="64"/>
      <c r="BG325" s="64"/>
      <c r="BH325" s="64"/>
      <c r="BI325" s="64"/>
      <c r="BJ325" s="64"/>
      <c r="BK325" s="64"/>
      <c r="BL325" s="64"/>
    </row>
    <row r="326" spans="48:64" x14ac:dyDescent="0.25">
      <c r="AV326" s="64"/>
      <c r="AW326" s="64"/>
      <c r="AX326" s="64"/>
      <c r="AY326" s="64"/>
      <c r="AZ326" s="64"/>
      <c r="BA326" s="64"/>
      <c r="BB326" s="64"/>
      <c r="BC326" s="64"/>
      <c r="BD326" s="64"/>
      <c r="BE326" s="64"/>
      <c r="BF326" s="64"/>
      <c r="BG326" s="64"/>
      <c r="BH326" s="64"/>
      <c r="BI326" s="64"/>
      <c r="BJ326" s="64"/>
      <c r="BK326" s="64"/>
      <c r="BL326" s="64"/>
    </row>
    <row r="327" spans="48:64" x14ac:dyDescent="0.25">
      <c r="AV327" s="64"/>
      <c r="AW327" s="64"/>
      <c r="AX327" s="64"/>
      <c r="AY327" s="64"/>
      <c r="AZ327" s="64"/>
      <c r="BA327" s="64"/>
      <c r="BB327" s="64"/>
      <c r="BC327" s="64"/>
      <c r="BD327" s="64"/>
      <c r="BE327" s="64"/>
      <c r="BF327" s="64"/>
      <c r="BG327" s="64"/>
      <c r="BH327" s="64"/>
      <c r="BI327" s="64"/>
      <c r="BJ327" s="64"/>
      <c r="BK327" s="64"/>
      <c r="BL327" s="64"/>
    </row>
    <row r="328" spans="48:64" x14ac:dyDescent="0.25">
      <c r="AV328" s="64"/>
      <c r="AW328" s="64"/>
      <c r="AX328" s="64"/>
      <c r="AY328" s="64"/>
      <c r="AZ328" s="64"/>
      <c r="BA328" s="64"/>
      <c r="BB328" s="64"/>
      <c r="BC328" s="64"/>
      <c r="BD328" s="64"/>
      <c r="BE328" s="64"/>
      <c r="BF328" s="64"/>
      <c r="BG328" s="64"/>
      <c r="BH328" s="64"/>
      <c r="BI328" s="64"/>
      <c r="BJ328" s="64"/>
      <c r="BK328" s="64"/>
      <c r="BL328" s="64"/>
    </row>
    <row r="329" spans="48:64" x14ac:dyDescent="0.25">
      <c r="AV329" s="64"/>
      <c r="AW329" s="64"/>
      <c r="AX329" s="64"/>
      <c r="AY329" s="64"/>
      <c r="AZ329" s="64"/>
      <c r="BA329" s="64"/>
      <c r="BB329" s="64"/>
      <c r="BC329" s="64"/>
      <c r="BD329" s="64"/>
      <c r="BE329" s="64"/>
      <c r="BF329" s="64"/>
      <c r="BG329" s="64"/>
      <c r="BH329" s="64"/>
      <c r="BI329" s="64"/>
      <c r="BJ329" s="64"/>
      <c r="BK329" s="64"/>
      <c r="BL329" s="64"/>
    </row>
    <row r="330" spans="48:64" x14ac:dyDescent="0.25">
      <c r="AV330" s="64"/>
      <c r="AW330" s="64"/>
      <c r="AX330" s="64"/>
      <c r="AY330" s="64"/>
      <c r="AZ330" s="64"/>
      <c r="BA330" s="64"/>
      <c r="BB330" s="64"/>
      <c r="BC330" s="64"/>
      <c r="BD330" s="64"/>
      <c r="BE330" s="64"/>
      <c r="BF330" s="64"/>
      <c r="BG330" s="64"/>
      <c r="BH330" s="64"/>
      <c r="BI330" s="64"/>
      <c r="BJ330" s="64"/>
      <c r="BK330" s="64"/>
      <c r="BL330" s="64"/>
    </row>
    <row r="331" spans="48:64" x14ac:dyDescent="0.25">
      <c r="AV331" s="64"/>
      <c r="AW331" s="64"/>
      <c r="AX331" s="64"/>
      <c r="AY331" s="64"/>
      <c r="AZ331" s="64"/>
      <c r="BA331" s="64"/>
      <c r="BB331" s="64"/>
      <c r="BC331" s="64"/>
      <c r="BD331" s="64"/>
      <c r="BE331" s="64"/>
      <c r="BF331" s="64"/>
      <c r="BG331" s="64"/>
      <c r="BH331" s="64"/>
      <c r="BI331" s="64"/>
      <c r="BJ331" s="64"/>
      <c r="BK331" s="64"/>
      <c r="BL331" s="64"/>
    </row>
    <row r="332" spans="48:64" x14ac:dyDescent="0.25">
      <c r="AV332" s="64"/>
      <c r="AW332" s="64"/>
      <c r="AX332" s="64"/>
      <c r="AY332" s="64"/>
      <c r="AZ332" s="64"/>
      <c r="BA332" s="64"/>
      <c r="BB332" s="64"/>
      <c r="BC332" s="64"/>
      <c r="BD332" s="64"/>
      <c r="BE332" s="64"/>
      <c r="BF332" s="64"/>
      <c r="BG332" s="64"/>
      <c r="BH332" s="64"/>
      <c r="BI332" s="64"/>
      <c r="BJ332" s="64"/>
      <c r="BK332" s="64"/>
      <c r="BL332" s="64"/>
    </row>
    <row r="333" spans="48:64" x14ac:dyDescent="0.25">
      <c r="AV333" s="64"/>
      <c r="AW333" s="64"/>
      <c r="AX333" s="64"/>
      <c r="AY333" s="64"/>
      <c r="AZ333" s="64"/>
      <c r="BA333" s="64"/>
      <c r="BB333" s="64"/>
      <c r="BC333" s="64"/>
      <c r="BD333" s="64"/>
      <c r="BE333" s="64"/>
      <c r="BF333" s="64"/>
      <c r="BG333" s="64"/>
      <c r="BH333" s="64"/>
      <c r="BI333" s="64"/>
      <c r="BJ333" s="64"/>
      <c r="BK333" s="64"/>
      <c r="BL333" s="64"/>
    </row>
    <row r="334" spans="48:64" x14ac:dyDescent="0.25">
      <c r="AV334" s="64"/>
      <c r="AW334" s="64"/>
      <c r="AX334" s="64"/>
      <c r="AY334" s="64"/>
      <c r="AZ334" s="64"/>
      <c r="BA334" s="64"/>
      <c r="BB334" s="64"/>
      <c r="BC334" s="64"/>
      <c r="BD334" s="64"/>
      <c r="BE334" s="64"/>
      <c r="BF334" s="64"/>
      <c r="BG334" s="64"/>
      <c r="BH334" s="64"/>
      <c r="BI334" s="64"/>
      <c r="BJ334" s="64"/>
      <c r="BK334" s="64"/>
      <c r="BL334" s="64"/>
    </row>
    <row r="335" spans="48:64" x14ac:dyDescent="0.25">
      <c r="AV335" s="64"/>
      <c r="AW335" s="64"/>
      <c r="AX335" s="64"/>
      <c r="AY335" s="64"/>
      <c r="AZ335" s="64"/>
      <c r="BA335" s="64"/>
      <c r="BB335" s="64"/>
      <c r="BC335" s="64"/>
      <c r="BD335" s="64"/>
      <c r="BE335" s="64"/>
      <c r="BF335" s="64"/>
      <c r="BG335" s="64"/>
      <c r="BH335" s="64"/>
      <c r="BI335" s="64"/>
      <c r="BJ335" s="64"/>
      <c r="BK335" s="64"/>
      <c r="BL335" s="64"/>
    </row>
    <row r="336" spans="48:64" x14ac:dyDescent="0.25">
      <c r="AV336" s="64"/>
      <c r="AW336" s="64"/>
      <c r="AX336" s="64"/>
      <c r="AY336" s="64"/>
      <c r="AZ336" s="64"/>
      <c r="BA336" s="64"/>
      <c r="BB336" s="64"/>
      <c r="BC336" s="64"/>
      <c r="BD336" s="64"/>
      <c r="BE336" s="64"/>
      <c r="BF336" s="64"/>
      <c r="BG336" s="64"/>
      <c r="BH336" s="64"/>
      <c r="BI336" s="64"/>
      <c r="BJ336" s="64"/>
      <c r="BK336" s="64"/>
      <c r="BL336" s="64"/>
    </row>
    <row r="337" spans="48:64" x14ac:dyDescent="0.25">
      <c r="AV337" s="64"/>
      <c r="AW337" s="64"/>
      <c r="AX337" s="64"/>
      <c r="AY337" s="64"/>
      <c r="AZ337" s="64"/>
      <c r="BA337" s="64"/>
      <c r="BB337" s="64"/>
      <c r="BC337" s="64"/>
      <c r="BD337" s="64"/>
      <c r="BE337" s="64"/>
      <c r="BF337" s="64"/>
      <c r="BG337" s="64"/>
      <c r="BH337" s="64"/>
      <c r="BI337" s="64"/>
      <c r="BJ337" s="64"/>
      <c r="BK337" s="64"/>
      <c r="BL337" s="64"/>
    </row>
    <row r="338" spans="48:64" x14ac:dyDescent="0.25">
      <c r="AV338" s="64"/>
      <c r="AW338" s="64"/>
      <c r="AX338" s="64"/>
      <c r="AY338" s="64"/>
      <c r="AZ338" s="64"/>
      <c r="BA338" s="64"/>
      <c r="BB338" s="64"/>
      <c r="BC338" s="64"/>
      <c r="BD338" s="64"/>
      <c r="BE338" s="64"/>
      <c r="BF338" s="64"/>
      <c r="BG338" s="64"/>
      <c r="BH338" s="64"/>
      <c r="BI338" s="64"/>
      <c r="BJ338" s="64"/>
      <c r="BK338" s="64"/>
      <c r="BL338" s="64"/>
    </row>
    <row r="339" spans="48:64" x14ac:dyDescent="0.25">
      <c r="AV339" s="64"/>
      <c r="AW339" s="64"/>
      <c r="AX339" s="64"/>
      <c r="AY339" s="64"/>
      <c r="AZ339" s="64"/>
      <c r="BA339" s="64"/>
      <c r="BB339" s="64"/>
      <c r="BC339" s="64"/>
      <c r="BD339" s="64"/>
      <c r="BE339" s="64"/>
      <c r="BF339" s="64"/>
      <c r="BG339" s="64"/>
      <c r="BH339" s="64"/>
      <c r="BI339" s="64"/>
      <c r="BJ339" s="64"/>
      <c r="BK339" s="64"/>
      <c r="BL339" s="64"/>
    </row>
    <row r="340" spans="48:64" x14ac:dyDescent="0.25">
      <c r="AV340" s="64"/>
      <c r="AW340" s="64"/>
      <c r="AX340" s="64"/>
      <c r="AY340" s="64"/>
      <c r="AZ340" s="64"/>
      <c r="BA340" s="64"/>
      <c r="BB340" s="64"/>
      <c r="BC340" s="64"/>
      <c r="BD340" s="64"/>
      <c r="BE340" s="64"/>
      <c r="BF340" s="64"/>
      <c r="BG340" s="64"/>
      <c r="BH340" s="64"/>
      <c r="BI340" s="64"/>
      <c r="BJ340" s="64"/>
      <c r="BK340" s="64"/>
      <c r="BL340" s="64"/>
    </row>
    <row r="341" spans="48:64" x14ac:dyDescent="0.25">
      <c r="AV341" s="64"/>
      <c r="AW341" s="64"/>
      <c r="AX341" s="64"/>
      <c r="AY341" s="64"/>
      <c r="AZ341" s="64"/>
      <c r="BA341" s="64"/>
      <c r="BB341" s="64"/>
      <c r="BC341" s="64"/>
      <c r="BD341" s="64"/>
      <c r="BE341" s="64"/>
      <c r="BF341" s="64"/>
      <c r="BG341" s="64"/>
      <c r="BH341" s="64"/>
      <c r="BI341" s="64"/>
      <c r="BJ341" s="64"/>
      <c r="BK341" s="64"/>
      <c r="BL341" s="64"/>
    </row>
    <row r="342" spans="48:64" x14ac:dyDescent="0.25">
      <c r="AV342" s="64"/>
      <c r="AW342" s="64"/>
      <c r="AX342" s="64"/>
      <c r="AY342" s="64"/>
      <c r="AZ342" s="64"/>
      <c r="BA342" s="64"/>
      <c r="BB342" s="64"/>
      <c r="BC342" s="64"/>
      <c r="BD342" s="64"/>
      <c r="BE342" s="64"/>
      <c r="BF342" s="64"/>
      <c r="BG342" s="64"/>
      <c r="BH342" s="64"/>
      <c r="BI342" s="64"/>
      <c r="BJ342" s="64"/>
      <c r="BK342" s="64"/>
      <c r="BL342" s="64"/>
    </row>
    <row r="343" spans="48:64" x14ac:dyDescent="0.25">
      <c r="AV343" s="64"/>
      <c r="AW343" s="64"/>
      <c r="AX343" s="64"/>
      <c r="AY343" s="64"/>
      <c r="AZ343" s="64"/>
      <c r="BA343" s="64"/>
      <c r="BB343" s="64"/>
      <c r="BC343" s="64"/>
      <c r="BD343" s="64"/>
      <c r="BE343" s="64"/>
      <c r="BF343" s="64"/>
      <c r="BG343" s="64"/>
      <c r="BH343" s="64"/>
      <c r="BI343" s="64"/>
      <c r="BJ343" s="64"/>
      <c r="BK343" s="64"/>
      <c r="BL343" s="64"/>
    </row>
    <row r="344" spans="48:64" x14ac:dyDescent="0.25">
      <c r="AV344" s="64"/>
      <c r="AW344" s="64"/>
      <c r="AX344" s="64"/>
      <c r="AY344" s="64"/>
      <c r="AZ344" s="64"/>
      <c r="BA344" s="64"/>
      <c r="BB344" s="64"/>
      <c r="BC344" s="64"/>
      <c r="BD344" s="64"/>
      <c r="BE344" s="64"/>
      <c r="BF344" s="64"/>
      <c r="BG344" s="64"/>
      <c r="BH344" s="64"/>
      <c r="BI344" s="64"/>
      <c r="BJ344" s="64"/>
      <c r="BK344" s="64"/>
      <c r="BL344" s="64"/>
    </row>
    <row r="345" spans="48:64" x14ac:dyDescent="0.25">
      <c r="AV345" s="64"/>
      <c r="AW345" s="64"/>
      <c r="AX345" s="64"/>
      <c r="AY345" s="64"/>
      <c r="AZ345" s="64"/>
      <c r="BA345" s="64"/>
      <c r="BB345" s="64"/>
      <c r="BC345" s="64"/>
      <c r="BD345" s="64"/>
      <c r="BE345" s="64"/>
      <c r="BF345" s="64"/>
      <c r="BG345" s="64"/>
      <c r="BH345" s="64"/>
      <c r="BI345" s="64"/>
      <c r="BJ345" s="64"/>
      <c r="BK345" s="64"/>
      <c r="BL345" s="64"/>
    </row>
    <row r="346" spans="48:64" x14ac:dyDescent="0.25">
      <c r="AV346" s="64"/>
      <c r="AW346" s="64"/>
      <c r="AX346" s="64"/>
      <c r="AY346" s="64"/>
      <c r="AZ346" s="64"/>
      <c r="BA346" s="64"/>
      <c r="BB346" s="64"/>
      <c r="BC346" s="64"/>
      <c r="BD346" s="64"/>
      <c r="BE346" s="64"/>
      <c r="BF346" s="64"/>
      <c r="BG346" s="64"/>
      <c r="BH346" s="64"/>
      <c r="BI346" s="64"/>
      <c r="BJ346" s="64"/>
      <c r="BK346" s="64"/>
      <c r="BL346" s="64"/>
    </row>
    <row r="347" spans="48:64" x14ac:dyDescent="0.25">
      <c r="AV347" s="64"/>
      <c r="AW347" s="64"/>
      <c r="AX347" s="64"/>
      <c r="AY347" s="64"/>
      <c r="AZ347" s="64"/>
      <c r="BA347" s="64"/>
      <c r="BB347" s="64"/>
      <c r="BC347" s="64"/>
      <c r="BD347" s="64"/>
      <c r="BE347" s="64"/>
      <c r="BF347" s="64"/>
      <c r="BG347" s="64"/>
      <c r="BH347" s="64"/>
      <c r="BI347" s="64"/>
      <c r="BJ347" s="64"/>
      <c r="BK347" s="64"/>
      <c r="BL347" s="64"/>
    </row>
    <row r="348" spans="48:64" x14ac:dyDescent="0.25">
      <c r="AV348" s="64"/>
      <c r="AW348" s="64"/>
      <c r="AX348" s="64"/>
      <c r="AY348" s="64"/>
      <c r="AZ348" s="64"/>
      <c r="BA348" s="64"/>
      <c r="BB348" s="64"/>
      <c r="BC348" s="64"/>
      <c r="BD348" s="64"/>
      <c r="BE348" s="64"/>
      <c r="BF348" s="64"/>
      <c r="BG348" s="64"/>
      <c r="BH348" s="64"/>
      <c r="BI348" s="64"/>
      <c r="BJ348" s="64"/>
      <c r="BK348" s="64"/>
      <c r="BL348" s="64"/>
    </row>
    <row r="349" spans="48:64" x14ac:dyDescent="0.25">
      <c r="AV349" s="64"/>
      <c r="AW349" s="64"/>
      <c r="AX349" s="64"/>
      <c r="AY349" s="64"/>
      <c r="AZ349" s="64"/>
      <c r="BA349" s="64"/>
      <c r="BB349" s="64"/>
      <c r="BC349" s="64"/>
      <c r="BD349" s="64"/>
      <c r="BE349" s="64"/>
      <c r="BF349" s="64"/>
      <c r="BG349" s="64"/>
      <c r="BH349" s="64"/>
      <c r="BI349" s="64"/>
      <c r="BJ349" s="64"/>
      <c r="BK349" s="64"/>
      <c r="BL349" s="64"/>
    </row>
    <row r="350" spans="48:64" x14ac:dyDescent="0.25">
      <c r="AV350" s="64"/>
      <c r="AW350" s="64"/>
      <c r="AX350" s="64"/>
      <c r="AY350" s="64"/>
      <c r="AZ350" s="64"/>
      <c r="BA350" s="64"/>
      <c r="BB350" s="64"/>
      <c r="BC350" s="64"/>
      <c r="BD350" s="64"/>
      <c r="BE350" s="64"/>
      <c r="BF350" s="64"/>
      <c r="BG350" s="64"/>
      <c r="BH350" s="64"/>
      <c r="BI350" s="64"/>
      <c r="BJ350" s="64"/>
      <c r="BK350" s="64"/>
      <c r="BL350" s="64"/>
    </row>
    <row r="351" spans="48:64" x14ac:dyDescent="0.25">
      <c r="AV351" s="64"/>
      <c r="AW351" s="64"/>
      <c r="AX351" s="64"/>
      <c r="AY351" s="64"/>
      <c r="AZ351" s="64"/>
      <c r="BA351" s="64"/>
      <c r="BB351" s="64"/>
      <c r="BC351" s="64"/>
      <c r="BD351" s="64"/>
      <c r="BE351" s="64"/>
      <c r="BF351" s="64"/>
      <c r="BG351" s="64"/>
      <c r="BH351" s="64"/>
      <c r="BI351" s="64"/>
      <c r="BJ351" s="64"/>
      <c r="BK351" s="64"/>
      <c r="BL351" s="64"/>
    </row>
    <row r="352" spans="48:64" x14ac:dyDescent="0.25">
      <c r="AV352" s="64"/>
      <c r="AW352" s="64"/>
      <c r="AX352" s="64"/>
      <c r="AY352" s="64"/>
      <c r="AZ352" s="64"/>
      <c r="BA352" s="64"/>
      <c r="BB352" s="64"/>
      <c r="BC352" s="64"/>
      <c r="BD352" s="64"/>
      <c r="BE352" s="64"/>
      <c r="BF352" s="64"/>
      <c r="BG352" s="64"/>
      <c r="BH352" s="64"/>
      <c r="BI352" s="64"/>
      <c r="BJ352" s="64"/>
      <c r="BK352" s="64"/>
      <c r="BL352" s="64"/>
    </row>
    <row r="353" spans="48:64" x14ac:dyDescent="0.25">
      <c r="AV353" s="64"/>
      <c r="AW353" s="64"/>
      <c r="AX353" s="64"/>
      <c r="AY353" s="64"/>
      <c r="AZ353" s="64"/>
      <c r="BA353" s="64"/>
      <c r="BB353" s="64"/>
      <c r="BC353" s="64"/>
      <c r="BD353" s="64"/>
      <c r="BE353" s="64"/>
      <c r="BF353" s="64"/>
      <c r="BG353" s="64"/>
      <c r="BH353" s="64"/>
      <c r="BI353" s="64"/>
      <c r="BJ353" s="64"/>
      <c r="BK353" s="64"/>
      <c r="BL353" s="64"/>
    </row>
    <row r="354" spans="48:64" x14ac:dyDescent="0.25">
      <c r="AV354" s="64"/>
      <c r="AW354" s="64"/>
      <c r="AX354" s="64"/>
      <c r="AY354" s="64"/>
      <c r="AZ354" s="64"/>
      <c r="BA354" s="64"/>
      <c r="BB354" s="64"/>
      <c r="BC354" s="64"/>
      <c r="BD354" s="64"/>
      <c r="BE354" s="64"/>
      <c r="BF354" s="64"/>
      <c r="BG354" s="64"/>
      <c r="BH354" s="64"/>
      <c r="BI354" s="64"/>
      <c r="BJ354" s="64"/>
      <c r="BK354" s="64"/>
      <c r="BL354" s="64"/>
    </row>
    <row r="355" spans="48:64" x14ac:dyDescent="0.25">
      <c r="AV355" s="64"/>
      <c r="AW355" s="64"/>
      <c r="AX355" s="64"/>
      <c r="AY355" s="64"/>
      <c r="AZ355" s="64"/>
      <c r="BA355" s="64"/>
      <c r="BB355" s="64"/>
      <c r="BC355" s="64"/>
      <c r="BD355" s="64"/>
      <c r="BE355" s="64"/>
      <c r="BF355" s="64"/>
      <c r="BG355" s="64"/>
      <c r="BH355" s="64"/>
      <c r="BI355" s="64"/>
      <c r="BJ355" s="64"/>
      <c r="BK355" s="64"/>
      <c r="BL355" s="64"/>
    </row>
    <row r="356" spans="48:64" x14ac:dyDescent="0.25">
      <c r="AV356" s="64"/>
      <c r="AW356" s="64"/>
      <c r="AX356" s="64"/>
      <c r="AY356" s="64"/>
      <c r="AZ356" s="64"/>
      <c r="BA356" s="64"/>
      <c r="BB356" s="64"/>
      <c r="BC356" s="64"/>
      <c r="BD356" s="64"/>
      <c r="BE356" s="64"/>
      <c r="BF356" s="64"/>
      <c r="BG356" s="64"/>
      <c r="BH356" s="64"/>
      <c r="BI356" s="64"/>
      <c r="BJ356" s="64"/>
      <c r="BK356" s="64"/>
      <c r="BL356" s="64"/>
    </row>
    <row r="357" spans="48:64" x14ac:dyDescent="0.25">
      <c r="AV357" s="64"/>
      <c r="AW357" s="64"/>
      <c r="AX357" s="64"/>
      <c r="AY357" s="64"/>
      <c r="AZ357" s="64"/>
      <c r="BA357" s="64"/>
      <c r="BB357" s="64"/>
      <c r="BC357" s="64"/>
      <c r="BD357" s="64"/>
      <c r="BE357" s="64"/>
      <c r="BF357" s="64"/>
      <c r="BG357" s="64"/>
      <c r="BH357" s="64"/>
      <c r="BI357" s="64"/>
      <c r="BJ357" s="64"/>
      <c r="BK357" s="64"/>
      <c r="BL357" s="64"/>
    </row>
    <row r="358" spans="48:64" x14ac:dyDescent="0.25">
      <c r="AV358" s="64"/>
      <c r="AW358" s="64"/>
      <c r="AX358" s="64"/>
      <c r="AY358" s="64"/>
      <c r="AZ358" s="64"/>
      <c r="BA358" s="64"/>
      <c r="BB358" s="64"/>
      <c r="BC358" s="64"/>
      <c r="BD358" s="64"/>
      <c r="BE358" s="64"/>
      <c r="BF358" s="64"/>
      <c r="BG358" s="64"/>
      <c r="BH358" s="64"/>
      <c r="BI358" s="64"/>
      <c r="BJ358" s="64"/>
      <c r="BK358" s="64"/>
      <c r="BL358" s="64"/>
    </row>
    <row r="359" spans="48:64" x14ac:dyDescent="0.25">
      <c r="AV359" s="64"/>
      <c r="AW359" s="64"/>
      <c r="AX359" s="64"/>
      <c r="AY359" s="64"/>
      <c r="AZ359" s="64"/>
      <c r="BA359" s="64"/>
      <c r="BB359" s="64"/>
      <c r="BC359" s="64"/>
      <c r="BD359" s="64"/>
      <c r="BE359" s="64"/>
      <c r="BF359" s="64"/>
      <c r="BG359" s="64"/>
      <c r="BH359" s="64"/>
      <c r="BI359" s="64"/>
      <c r="BJ359" s="64"/>
      <c r="BK359" s="64"/>
      <c r="BL359" s="64"/>
    </row>
    <row r="360" spans="48:64" x14ac:dyDescent="0.25">
      <c r="AV360" s="64"/>
      <c r="AW360" s="64"/>
      <c r="AX360" s="64"/>
      <c r="AY360" s="64"/>
      <c r="AZ360" s="64"/>
      <c r="BA360" s="64"/>
      <c r="BB360" s="64"/>
      <c r="BC360" s="64"/>
      <c r="BD360" s="64"/>
      <c r="BE360" s="64"/>
      <c r="BF360" s="64"/>
      <c r="BG360" s="64"/>
      <c r="BH360" s="64"/>
      <c r="BI360" s="64"/>
      <c r="BJ360" s="64"/>
      <c r="BK360" s="64"/>
      <c r="BL360" s="64"/>
    </row>
    <row r="361" spans="48:64" x14ac:dyDescent="0.25">
      <c r="AV361" s="64"/>
      <c r="AW361" s="64"/>
      <c r="AX361" s="64"/>
      <c r="AY361" s="64"/>
      <c r="AZ361" s="64"/>
      <c r="BA361" s="64"/>
      <c r="BB361" s="64"/>
      <c r="BC361" s="64"/>
      <c r="BD361" s="64"/>
      <c r="BE361" s="64"/>
      <c r="BF361" s="64"/>
      <c r="BG361" s="64"/>
      <c r="BH361" s="64"/>
      <c r="BI361" s="64"/>
      <c r="BJ361" s="64"/>
      <c r="BK361" s="64"/>
      <c r="BL361" s="64"/>
    </row>
    <row r="362" spans="48:64" x14ac:dyDescent="0.25">
      <c r="AV362" s="64"/>
      <c r="AW362" s="64"/>
      <c r="AX362" s="64"/>
      <c r="AY362" s="64"/>
      <c r="AZ362" s="64"/>
      <c r="BA362" s="64"/>
      <c r="BB362" s="64"/>
      <c r="BC362" s="64"/>
      <c r="BD362" s="64"/>
      <c r="BE362" s="64"/>
      <c r="BF362" s="64"/>
      <c r="BG362" s="64"/>
      <c r="BH362" s="64"/>
      <c r="BI362" s="64"/>
      <c r="BJ362" s="64"/>
      <c r="BK362" s="64"/>
      <c r="BL362" s="64"/>
    </row>
    <row r="363" spans="48:64" x14ac:dyDescent="0.25">
      <c r="AV363" s="64"/>
      <c r="AW363" s="64"/>
      <c r="AX363" s="64"/>
      <c r="AY363" s="64"/>
      <c r="AZ363" s="64"/>
      <c r="BA363" s="64"/>
      <c r="BB363" s="64"/>
      <c r="BC363" s="64"/>
      <c r="BD363" s="64"/>
      <c r="BE363" s="64"/>
      <c r="BF363" s="64"/>
      <c r="BG363" s="64"/>
      <c r="BH363" s="64"/>
      <c r="BI363" s="64"/>
      <c r="BJ363" s="64"/>
      <c r="BK363" s="64"/>
      <c r="BL363" s="64"/>
    </row>
    <row r="364" spans="48:64" x14ac:dyDescent="0.25">
      <c r="AV364" s="64"/>
      <c r="AW364" s="64"/>
      <c r="AX364" s="64"/>
      <c r="AY364" s="64"/>
      <c r="AZ364" s="64"/>
      <c r="BA364" s="64"/>
      <c r="BB364" s="64"/>
      <c r="BC364" s="64"/>
      <c r="BD364" s="64"/>
      <c r="BE364" s="64"/>
      <c r="BF364" s="64"/>
      <c r="BG364" s="64"/>
      <c r="BH364" s="64"/>
      <c r="BI364" s="64"/>
      <c r="BJ364" s="64"/>
      <c r="BK364" s="64"/>
      <c r="BL364" s="64"/>
    </row>
    <row r="365" spans="48:64" x14ac:dyDescent="0.25">
      <c r="AV365" s="64"/>
      <c r="AW365" s="64"/>
      <c r="AX365" s="64"/>
      <c r="AY365" s="64"/>
      <c r="AZ365" s="64"/>
      <c r="BA365" s="64"/>
      <c r="BB365" s="64"/>
      <c r="BC365" s="64"/>
      <c r="BD365" s="64"/>
      <c r="BE365" s="64"/>
      <c r="BF365" s="64"/>
      <c r="BG365" s="64"/>
      <c r="BH365" s="64"/>
      <c r="BI365" s="64"/>
      <c r="BJ365" s="64"/>
      <c r="BK365" s="64"/>
      <c r="BL365" s="64"/>
    </row>
    <row r="366" spans="48:64" x14ac:dyDescent="0.25">
      <c r="AV366" s="64"/>
      <c r="AW366" s="64"/>
      <c r="AX366" s="64"/>
      <c r="AY366" s="64"/>
      <c r="AZ366" s="64"/>
      <c r="BA366" s="64"/>
      <c r="BB366" s="64"/>
      <c r="BC366" s="64"/>
      <c r="BD366" s="64"/>
      <c r="BE366" s="64"/>
      <c r="BF366" s="64"/>
      <c r="BG366" s="64"/>
      <c r="BH366" s="64"/>
      <c r="BI366" s="64"/>
      <c r="BJ366" s="64"/>
      <c r="BK366" s="64"/>
      <c r="BL366" s="64"/>
    </row>
    <row r="367" spans="48:64" x14ac:dyDescent="0.25">
      <c r="AV367" s="64"/>
      <c r="AW367" s="64"/>
      <c r="AX367" s="64"/>
      <c r="AY367" s="64"/>
      <c r="AZ367" s="64"/>
      <c r="BA367" s="64"/>
      <c r="BB367" s="64"/>
      <c r="BC367" s="64"/>
      <c r="BD367" s="64"/>
      <c r="BE367" s="64"/>
      <c r="BF367" s="64"/>
      <c r="BG367" s="64"/>
      <c r="BH367" s="64"/>
      <c r="BI367" s="64"/>
      <c r="BJ367" s="64"/>
      <c r="BK367" s="64"/>
      <c r="BL367" s="64"/>
    </row>
    <row r="368" spans="48:64" x14ac:dyDescent="0.25">
      <c r="AV368" s="64"/>
      <c r="AW368" s="64"/>
      <c r="AX368" s="64"/>
      <c r="AY368" s="64"/>
      <c r="AZ368" s="64"/>
      <c r="BA368" s="64"/>
      <c r="BB368" s="64"/>
      <c r="BC368" s="64"/>
      <c r="BD368" s="64"/>
      <c r="BE368" s="64"/>
      <c r="BF368" s="64"/>
      <c r="BG368" s="64"/>
      <c r="BH368" s="64"/>
      <c r="BI368" s="64"/>
      <c r="BJ368" s="64"/>
      <c r="BK368" s="64"/>
      <c r="BL368" s="64"/>
    </row>
    <row r="369" spans="48:64" x14ac:dyDescent="0.25">
      <c r="AV369" s="64"/>
      <c r="AW369" s="64"/>
      <c r="AX369" s="64"/>
      <c r="AY369" s="64"/>
      <c r="AZ369" s="64"/>
      <c r="BA369" s="64"/>
      <c r="BB369" s="64"/>
      <c r="BC369" s="64"/>
      <c r="BD369" s="64"/>
      <c r="BE369" s="64"/>
      <c r="BF369" s="64"/>
      <c r="BG369" s="64"/>
      <c r="BH369" s="64"/>
      <c r="BI369" s="64"/>
      <c r="BJ369" s="64"/>
      <c r="BK369" s="64"/>
      <c r="BL369" s="64"/>
    </row>
    <row r="370" spans="48:64" x14ac:dyDescent="0.25">
      <c r="AV370" s="64"/>
      <c r="AW370" s="64"/>
      <c r="AX370" s="64"/>
      <c r="AY370" s="64"/>
      <c r="AZ370" s="64"/>
      <c r="BA370" s="64"/>
      <c r="BB370" s="64"/>
      <c r="BC370" s="64"/>
      <c r="BD370" s="64"/>
      <c r="BE370" s="64"/>
      <c r="BF370" s="64"/>
      <c r="BG370" s="64"/>
      <c r="BH370" s="64"/>
      <c r="BI370" s="64"/>
      <c r="BJ370" s="64"/>
      <c r="BK370" s="64"/>
      <c r="BL370" s="64"/>
    </row>
    <row r="371" spans="48:64" x14ac:dyDescent="0.25">
      <c r="AV371" s="64"/>
      <c r="AW371" s="64"/>
      <c r="AX371" s="64"/>
      <c r="AY371" s="64"/>
      <c r="AZ371" s="64"/>
      <c r="BA371" s="64"/>
      <c r="BB371" s="64"/>
      <c r="BC371" s="64"/>
      <c r="BD371" s="64"/>
      <c r="BE371" s="64"/>
      <c r="BF371" s="64"/>
      <c r="BG371" s="64"/>
      <c r="BH371" s="64"/>
      <c r="BI371" s="64"/>
      <c r="BJ371" s="64"/>
      <c r="BK371" s="64"/>
      <c r="BL371" s="64"/>
    </row>
    <row r="372" spans="48:64" x14ac:dyDescent="0.25">
      <c r="AV372" s="64"/>
      <c r="AW372" s="64"/>
      <c r="AX372" s="64"/>
      <c r="AY372" s="64"/>
      <c r="AZ372" s="64"/>
      <c r="BA372" s="64"/>
      <c r="BB372" s="64"/>
      <c r="BC372" s="64"/>
      <c r="BD372" s="64"/>
      <c r="BE372" s="64"/>
      <c r="BF372" s="64"/>
      <c r="BG372" s="64"/>
      <c r="BH372" s="64"/>
      <c r="BI372" s="64"/>
      <c r="BJ372" s="64"/>
      <c r="BK372" s="64"/>
      <c r="BL372" s="64"/>
    </row>
    <row r="373" spans="48:64" x14ac:dyDescent="0.25">
      <c r="AV373" s="64"/>
      <c r="AW373" s="64"/>
      <c r="AX373" s="64"/>
      <c r="AY373" s="64"/>
      <c r="AZ373" s="64"/>
      <c r="BA373" s="64"/>
      <c r="BB373" s="64"/>
      <c r="BC373" s="64"/>
      <c r="BD373" s="64"/>
      <c r="BE373" s="64"/>
      <c r="BF373" s="64"/>
      <c r="BG373" s="64"/>
      <c r="BH373" s="64"/>
      <c r="BI373" s="64"/>
      <c r="BJ373" s="64"/>
      <c r="BK373" s="64"/>
      <c r="BL373" s="64"/>
    </row>
    <row r="374" spans="48:64" x14ac:dyDescent="0.25">
      <c r="AV374" s="64"/>
      <c r="AW374" s="64"/>
      <c r="AX374" s="64"/>
      <c r="AY374" s="64"/>
      <c r="AZ374" s="64"/>
      <c r="BA374" s="64"/>
      <c r="BB374" s="64"/>
      <c r="BC374" s="64"/>
      <c r="BD374" s="64"/>
      <c r="BE374" s="64"/>
      <c r="BF374" s="64"/>
      <c r="BG374" s="64"/>
      <c r="BH374" s="64"/>
      <c r="BI374" s="64"/>
      <c r="BJ374" s="64"/>
      <c r="BK374" s="64"/>
      <c r="BL374" s="64"/>
    </row>
    <row r="375" spans="48:64" x14ac:dyDescent="0.25">
      <c r="AV375" s="64"/>
      <c r="AW375" s="64"/>
      <c r="AX375" s="64"/>
      <c r="AY375" s="64"/>
      <c r="AZ375" s="64"/>
      <c r="BA375" s="64"/>
      <c r="BB375" s="64"/>
      <c r="BC375" s="64"/>
      <c r="BD375" s="64"/>
      <c r="BE375" s="64"/>
      <c r="BF375" s="64"/>
      <c r="BG375" s="64"/>
      <c r="BH375" s="64"/>
      <c r="BI375" s="64"/>
      <c r="BJ375" s="64"/>
      <c r="BK375" s="64"/>
      <c r="BL375" s="64"/>
    </row>
    <row r="376" spans="48:64" x14ac:dyDescent="0.25">
      <c r="AV376" s="64"/>
      <c r="AW376" s="64"/>
      <c r="AX376" s="64"/>
      <c r="AY376" s="64"/>
      <c r="AZ376" s="64"/>
      <c r="BA376" s="64"/>
      <c r="BB376" s="64"/>
      <c r="BC376" s="64"/>
      <c r="BD376" s="64"/>
      <c r="BE376" s="64"/>
      <c r="BF376" s="64"/>
      <c r="BG376" s="64"/>
      <c r="BH376" s="64"/>
      <c r="BI376" s="64"/>
      <c r="BJ376" s="64"/>
      <c r="BK376" s="64"/>
      <c r="BL376" s="64"/>
    </row>
    <row r="377" spans="48:64" x14ac:dyDescent="0.25">
      <c r="AV377" s="64"/>
      <c r="AW377" s="64"/>
      <c r="AX377" s="64"/>
      <c r="AY377" s="64"/>
      <c r="AZ377" s="64"/>
      <c r="BA377" s="64"/>
      <c r="BB377" s="64"/>
      <c r="BC377" s="64"/>
      <c r="BD377" s="64"/>
      <c r="BE377" s="64"/>
      <c r="BF377" s="64"/>
      <c r="BG377" s="64"/>
      <c r="BH377" s="64"/>
      <c r="BI377" s="64"/>
      <c r="BJ377" s="64"/>
      <c r="BK377" s="64"/>
      <c r="BL377" s="64"/>
    </row>
    <row r="378" spans="48:64" x14ac:dyDescent="0.25">
      <c r="AV378" s="64"/>
      <c r="AW378" s="64"/>
      <c r="AX378" s="64"/>
      <c r="AY378" s="64"/>
      <c r="AZ378" s="64"/>
      <c r="BA378" s="64"/>
      <c r="BB378" s="64"/>
      <c r="BC378" s="64"/>
      <c r="BD378" s="64"/>
      <c r="BE378" s="64"/>
      <c r="BF378" s="64"/>
      <c r="BG378" s="64"/>
      <c r="BH378" s="64"/>
      <c r="BI378" s="64"/>
      <c r="BJ378" s="64"/>
      <c r="BK378" s="64"/>
      <c r="BL378" s="64"/>
    </row>
    <row r="379" spans="48:64" x14ac:dyDescent="0.25">
      <c r="AV379" s="64"/>
      <c r="AW379" s="64"/>
      <c r="AX379" s="64"/>
      <c r="AY379" s="64"/>
      <c r="AZ379" s="64"/>
      <c r="BA379" s="64"/>
      <c r="BB379" s="64"/>
      <c r="BC379" s="64"/>
      <c r="BD379" s="64"/>
      <c r="BE379" s="64"/>
      <c r="BF379" s="64"/>
      <c r="BG379" s="64"/>
      <c r="BH379" s="64"/>
      <c r="BI379" s="64"/>
      <c r="BJ379" s="64"/>
      <c r="BK379" s="64"/>
      <c r="BL379" s="64"/>
    </row>
    <row r="380" spans="48:64" x14ac:dyDescent="0.25">
      <c r="AV380" s="64"/>
      <c r="AW380" s="64"/>
      <c r="AX380" s="64"/>
      <c r="AY380" s="64"/>
      <c r="AZ380" s="64"/>
      <c r="BA380" s="64"/>
      <c r="BB380" s="64"/>
      <c r="BC380" s="64"/>
      <c r="BD380" s="64"/>
      <c r="BE380" s="64"/>
      <c r="BF380" s="64"/>
      <c r="BG380" s="64"/>
      <c r="BH380" s="64"/>
      <c r="BI380" s="64"/>
      <c r="BJ380" s="64"/>
      <c r="BK380" s="64"/>
      <c r="BL380" s="64"/>
    </row>
    <row r="381" spans="48:64" x14ac:dyDescent="0.25">
      <c r="AV381" s="64"/>
      <c r="AW381" s="64"/>
      <c r="AX381" s="64"/>
      <c r="AY381" s="64"/>
      <c r="AZ381" s="64"/>
      <c r="BA381" s="64"/>
      <c r="BB381" s="64"/>
      <c r="BC381" s="64"/>
      <c r="BD381" s="64"/>
      <c r="BE381" s="64"/>
      <c r="BF381" s="64"/>
      <c r="BG381" s="64"/>
      <c r="BH381" s="64"/>
      <c r="BI381" s="64"/>
      <c r="BJ381" s="64"/>
      <c r="BK381" s="64"/>
      <c r="BL381" s="64"/>
    </row>
    <row r="382" spans="48:64" x14ac:dyDescent="0.25">
      <c r="AV382" s="64"/>
      <c r="AW382" s="64"/>
      <c r="AX382" s="64"/>
      <c r="AY382" s="64"/>
      <c r="AZ382" s="64"/>
      <c r="BA382" s="64"/>
      <c r="BB382" s="64"/>
      <c r="BC382" s="64"/>
      <c r="BD382" s="64"/>
      <c r="BE382" s="64"/>
      <c r="BF382" s="64"/>
      <c r="BG382" s="64"/>
      <c r="BH382" s="64"/>
      <c r="BI382" s="64"/>
      <c r="BJ382" s="64"/>
      <c r="BK382" s="64"/>
      <c r="BL382" s="64"/>
    </row>
    <row r="383" spans="48:64" x14ac:dyDescent="0.25">
      <c r="AV383" s="64"/>
      <c r="AW383" s="64"/>
      <c r="AX383" s="64"/>
      <c r="AY383" s="64"/>
      <c r="AZ383" s="64"/>
      <c r="BA383" s="64"/>
      <c r="BB383" s="64"/>
      <c r="BC383" s="64"/>
      <c r="BD383" s="64"/>
      <c r="BE383" s="64"/>
      <c r="BF383" s="64"/>
      <c r="BG383" s="64"/>
      <c r="BH383" s="64"/>
      <c r="BI383" s="64"/>
      <c r="BJ383" s="64"/>
      <c r="BK383" s="64"/>
      <c r="BL383" s="64"/>
    </row>
    <row r="384" spans="48:64" x14ac:dyDescent="0.25">
      <c r="AV384" s="64"/>
      <c r="AW384" s="64"/>
      <c r="AX384" s="64"/>
      <c r="AY384" s="64"/>
      <c r="AZ384" s="64"/>
      <c r="BA384" s="64"/>
      <c r="BB384" s="64"/>
      <c r="BC384" s="64"/>
      <c r="BD384" s="64"/>
      <c r="BE384" s="64"/>
      <c r="BF384" s="64"/>
      <c r="BG384" s="64"/>
      <c r="BH384" s="64"/>
      <c r="BI384" s="64"/>
      <c r="BJ384" s="64"/>
      <c r="BK384" s="64"/>
      <c r="BL384" s="64"/>
    </row>
    <row r="385" spans="48:64" x14ac:dyDescent="0.25">
      <c r="AV385" s="64"/>
      <c r="AW385" s="64"/>
      <c r="AX385" s="64"/>
      <c r="AY385" s="64"/>
      <c r="AZ385" s="64"/>
      <c r="BA385" s="64"/>
      <c r="BB385" s="64"/>
      <c r="BC385" s="64"/>
      <c r="BD385" s="64"/>
      <c r="BE385" s="64"/>
      <c r="BF385" s="64"/>
      <c r="BG385" s="64"/>
      <c r="BH385" s="64"/>
      <c r="BI385" s="64"/>
      <c r="BJ385" s="64"/>
      <c r="BK385" s="64"/>
      <c r="BL385" s="64"/>
    </row>
    <row r="386" spans="48:64" x14ac:dyDescent="0.25">
      <c r="AV386" s="64"/>
      <c r="AW386" s="64"/>
      <c r="AX386" s="64"/>
      <c r="AY386" s="64"/>
      <c r="AZ386" s="64"/>
      <c r="BA386" s="64"/>
      <c r="BB386" s="64"/>
      <c r="BC386" s="64"/>
      <c r="BD386" s="64"/>
      <c r="BE386" s="64"/>
      <c r="BF386" s="64"/>
      <c r="BG386" s="64"/>
      <c r="BH386" s="64"/>
      <c r="BI386" s="64"/>
      <c r="BJ386" s="64"/>
      <c r="BK386" s="64"/>
      <c r="BL386" s="64"/>
    </row>
    <row r="387" spans="48:64" x14ac:dyDescent="0.25">
      <c r="AV387" s="64"/>
      <c r="AW387" s="64"/>
      <c r="AX387" s="64"/>
      <c r="AY387" s="64"/>
      <c r="AZ387" s="64"/>
      <c r="BA387" s="64"/>
      <c r="BB387" s="64"/>
      <c r="BC387" s="64"/>
      <c r="BD387" s="64"/>
      <c r="BE387" s="64"/>
      <c r="BF387" s="64"/>
      <c r="BG387" s="64"/>
      <c r="BH387" s="64"/>
      <c r="BI387" s="64"/>
      <c r="BJ387" s="64"/>
      <c r="BK387" s="64"/>
      <c r="BL387" s="64"/>
    </row>
    <row r="388" spans="48:64" x14ac:dyDescent="0.25">
      <c r="AV388" s="64"/>
      <c r="AW388" s="64"/>
      <c r="AX388" s="64"/>
      <c r="AY388" s="64"/>
      <c r="AZ388" s="64"/>
      <c r="BA388" s="64"/>
      <c r="BB388" s="64"/>
      <c r="BC388" s="64"/>
      <c r="BD388" s="64"/>
      <c r="BE388" s="64"/>
      <c r="BF388" s="64"/>
      <c r="BG388" s="64"/>
      <c r="BH388" s="64"/>
      <c r="BI388" s="64"/>
      <c r="BJ388" s="64"/>
      <c r="BK388" s="64"/>
      <c r="BL388" s="64"/>
    </row>
    <row r="389" spans="48:64" x14ac:dyDescent="0.25">
      <c r="AV389" s="64"/>
      <c r="AW389" s="64"/>
      <c r="AX389" s="64"/>
      <c r="AY389" s="64"/>
      <c r="AZ389" s="64"/>
      <c r="BA389" s="64"/>
      <c r="BB389" s="64"/>
      <c r="BC389" s="64"/>
      <c r="BD389" s="64"/>
      <c r="BE389" s="64"/>
      <c r="BF389" s="64"/>
      <c r="BG389" s="64"/>
      <c r="BH389" s="64"/>
      <c r="BI389" s="64"/>
      <c r="BJ389" s="64"/>
      <c r="BK389" s="64"/>
      <c r="BL389" s="64"/>
    </row>
    <row r="390" spans="48:64" x14ac:dyDescent="0.25">
      <c r="AV390" s="64"/>
      <c r="AW390" s="64"/>
      <c r="AX390" s="64"/>
      <c r="AY390" s="64"/>
      <c r="AZ390" s="64"/>
      <c r="BA390" s="64"/>
      <c r="BB390" s="64"/>
      <c r="BC390" s="64"/>
      <c r="BD390" s="64"/>
      <c r="BE390" s="64"/>
      <c r="BF390" s="64"/>
      <c r="BG390" s="64"/>
      <c r="BH390" s="64"/>
      <c r="BI390" s="64"/>
      <c r="BJ390" s="64"/>
      <c r="BK390" s="64"/>
      <c r="BL390" s="64"/>
    </row>
    <row r="391" spans="48:64" x14ac:dyDescent="0.25">
      <c r="AV391" s="64"/>
      <c r="AW391" s="64"/>
      <c r="AX391" s="64"/>
      <c r="AY391" s="64"/>
      <c r="AZ391" s="64"/>
      <c r="BA391" s="64"/>
      <c r="BB391" s="64"/>
      <c r="BC391" s="64"/>
      <c r="BD391" s="64"/>
      <c r="BE391" s="64"/>
      <c r="BF391" s="64"/>
      <c r="BG391" s="64"/>
      <c r="BH391" s="64"/>
      <c r="BI391" s="64"/>
      <c r="BJ391" s="64"/>
      <c r="BK391" s="64"/>
      <c r="BL391" s="64"/>
    </row>
    <row r="392" spans="48:64" x14ac:dyDescent="0.25">
      <c r="AV392" s="64"/>
      <c r="AW392" s="64"/>
      <c r="AX392" s="64"/>
      <c r="AY392" s="64"/>
      <c r="AZ392" s="64"/>
      <c r="BA392" s="64"/>
      <c r="BB392" s="64"/>
      <c r="BC392" s="64"/>
      <c r="BD392" s="64"/>
      <c r="BE392" s="64"/>
      <c r="BF392" s="64"/>
      <c r="BG392" s="64"/>
      <c r="BH392" s="64"/>
      <c r="BI392" s="64"/>
      <c r="BJ392" s="64"/>
      <c r="BK392" s="64"/>
      <c r="BL392" s="64"/>
    </row>
    <row r="393" spans="48:64" x14ac:dyDescent="0.25">
      <c r="AV393" s="64"/>
      <c r="AW393" s="64"/>
      <c r="AX393" s="64"/>
      <c r="AY393" s="64"/>
      <c r="AZ393" s="64"/>
      <c r="BA393" s="64"/>
      <c r="BB393" s="64"/>
      <c r="BC393" s="64"/>
      <c r="BD393" s="64"/>
      <c r="BE393" s="64"/>
      <c r="BF393" s="64"/>
      <c r="BG393" s="64"/>
      <c r="BH393" s="64"/>
      <c r="BI393" s="64"/>
      <c r="BJ393" s="64"/>
      <c r="BK393" s="64"/>
      <c r="BL393" s="64"/>
    </row>
    <row r="394" spans="48:64" x14ac:dyDescent="0.25">
      <c r="AV394" s="64"/>
      <c r="AW394" s="64"/>
      <c r="AX394" s="64"/>
      <c r="AY394" s="64"/>
      <c r="AZ394" s="64"/>
      <c r="BA394" s="64"/>
      <c r="BB394" s="64"/>
      <c r="BC394" s="64"/>
      <c r="BD394" s="64"/>
      <c r="BE394" s="64"/>
      <c r="BF394" s="64"/>
      <c r="BG394" s="64"/>
      <c r="BH394" s="64"/>
      <c r="BI394" s="64"/>
      <c r="BJ394" s="64"/>
      <c r="BK394" s="64"/>
      <c r="BL394" s="64"/>
    </row>
    <row r="395" spans="48:64" x14ac:dyDescent="0.25">
      <c r="AV395" s="64"/>
      <c r="AW395" s="64"/>
      <c r="AX395" s="64"/>
      <c r="AY395" s="64"/>
      <c r="AZ395" s="64"/>
      <c r="BA395" s="64"/>
      <c r="BB395" s="64"/>
      <c r="BC395" s="64"/>
      <c r="BD395" s="64"/>
      <c r="BE395" s="64"/>
      <c r="BF395" s="64"/>
      <c r="BG395" s="64"/>
      <c r="BH395" s="64"/>
      <c r="BI395" s="64"/>
      <c r="BJ395" s="64"/>
      <c r="BK395" s="64"/>
      <c r="BL395" s="64"/>
    </row>
    <row r="396" spans="48:64" x14ac:dyDescent="0.25">
      <c r="AV396" s="64"/>
      <c r="AW396" s="64"/>
      <c r="AX396" s="64"/>
      <c r="AY396" s="64"/>
      <c r="AZ396" s="64"/>
      <c r="BA396" s="64"/>
      <c r="BB396" s="64"/>
      <c r="BC396" s="64"/>
      <c r="BD396" s="64"/>
      <c r="BE396" s="64"/>
      <c r="BF396" s="64"/>
      <c r="BG396" s="64"/>
      <c r="BH396" s="64"/>
      <c r="BI396" s="64"/>
      <c r="BJ396" s="64"/>
      <c r="BK396" s="64"/>
      <c r="BL396" s="64"/>
    </row>
    <row r="397" spans="48:64" x14ac:dyDescent="0.25">
      <c r="AV397" s="64"/>
      <c r="AW397" s="64"/>
      <c r="AX397" s="64"/>
      <c r="AY397" s="64"/>
      <c r="AZ397" s="64"/>
      <c r="BA397" s="64"/>
      <c r="BB397" s="64"/>
      <c r="BC397" s="64"/>
      <c r="BD397" s="64"/>
      <c r="BE397" s="64"/>
      <c r="BF397" s="64"/>
      <c r="BG397" s="64"/>
      <c r="BH397" s="64"/>
      <c r="BI397" s="64"/>
      <c r="BJ397" s="64"/>
      <c r="BK397" s="64"/>
      <c r="BL397" s="64"/>
    </row>
    <row r="398" spans="48:64" x14ac:dyDescent="0.25">
      <c r="AV398" s="64"/>
      <c r="AW398" s="64"/>
      <c r="AX398" s="64"/>
      <c r="AY398" s="64"/>
      <c r="AZ398" s="64"/>
      <c r="BA398" s="64"/>
      <c r="BB398" s="64"/>
      <c r="BC398" s="64"/>
      <c r="BD398" s="64"/>
      <c r="BE398" s="64"/>
      <c r="BF398" s="64"/>
      <c r="BG398" s="64"/>
      <c r="BH398" s="64"/>
      <c r="BI398" s="64"/>
      <c r="BJ398" s="64"/>
      <c r="BK398" s="64"/>
      <c r="BL398" s="64"/>
    </row>
    <row r="399" spans="48:64" x14ac:dyDescent="0.25">
      <c r="AV399" s="64"/>
      <c r="AW399" s="64"/>
      <c r="AX399" s="64"/>
      <c r="AY399" s="64"/>
      <c r="AZ399" s="64"/>
      <c r="BA399" s="64"/>
      <c r="BB399" s="64"/>
      <c r="BC399" s="64"/>
      <c r="BD399" s="64"/>
      <c r="BE399" s="64"/>
      <c r="BF399" s="64"/>
      <c r="BG399" s="64"/>
      <c r="BH399" s="64"/>
      <c r="BI399" s="64"/>
      <c r="BJ399" s="64"/>
      <c r="BK399" s="64"/>
      <c r="BL399" s="64"/>
    </row>
    <row r="400" spans="48:64" x14ac:dyDescent="0.25">
      <c r="AV400" s="64"/>
      <c r="AW400" s="64"/>
      <c r="AX400" s="64"/>
      <c r="AY400" s="64"/>
      <c r="AZ400" s="64"/>
      <c r="BA400" s="64"/>
      <c r="BB400" s="64"/>
      <c r="BC400" s="64"/>
      <c r="BD400" s="64"/>
      <c r="BE400" s="64"/>
      <c r="BF400" s="64"/>
      <c r="BG400" s="64"/>
      <c r="BH400" s="64"/>
      <c r="BI400" s="64"/>
      <c r="BJ400" s="64"/>
      <c r="BK400" s="64"/>
      <c r="BL400" s="64"/>
    </row>
    <row r="401" spans="48:64" x14ac:dyDescent="0.25">
      <c r="AV401" s="64"/>
      <c r="AW401" s="64"/>
      <c r="AX401" s="64"/>
      <c r="AY401" s="64"/>
      <c r="AZ401" s="64"/>
      <c r="BA401" s="64"/>
      <c r="BB401" s="64"/>
      <c r="BC401" s="64"/>
      <c r="BD401" s="64"/>
      <c r="BE401" s="64"/>
      <c r="BF401" s="64"/>
      <c r="BG401" s="64"/>
      <c r="BH401" s="64"/>
      <c r="BI401" s="64"/>
      <c r="BJ401" s="64"/>
      <c r="BK401" s="64"/>
      <c r="BL401" s="64"/>
    </row>
    <row r="402" spans="48:64" x14ac:dyDescent="0.25">
      <c r="AV402" s="64"/>
      <c r="AW402" s="64"/>
      <c r="AX402" s="64"/>
      <c r="AY402" s="64"/>
      <c r="AZ402" s="64"/>
      <c r="BA402" s="64"/>
      <c r="BB402" s="64"/>
      <c r="BC402" s="64"/>
      <c r="BD402" s="64"/>
      <c r="BE402" s="64"/>
      <c r="BF402" s="64"/>
      <c r="BG402" s="64"/>
      <c r="BH402" s="64"/>
      <c r="BI402" s="64"/>
      <c r="BJ402" s="64"/>
      <c r="BK402" s="64"/>
      <c r="BL402" s="64"/>
    </row>
    <row r="403" spans="48:64" x14ac:dyDescent="0.25">
      <c r="AV403" s="64"/>
      <c r="AW403" s="64"/>
      <c r="AX403" s="64"/>
      <c r="AY403" s="64"/>
      <c r="AZ403" s="64"/>
      <c r="BA403" s="64"/>
      <c r="BB403" s="64"/>
      <c r="BC403" s="64"/>
      <c r="BD403" s="64"/>
      <c r="BE403" s="64"/>
      <c r="BF403" s="64"/>
      <c r="BG403" s="64"/>
      <c r="BH403" s="64"/>
      <c r="BI403" s="64"/>
      <c r="BJ403" s="64"/>
      <c r="BK403" s="64"/>
      <c r="BL403" s="64"/>
    </row>
    <row r="404" spans="48:64" x14ac:dyDescent="0.25">
      <c r="AV404" s="64"/>
      <c r="AW404" s="64"/>
      <c r="AX404" s="64"/>
      <c r="AY404" s="64"/>
      <c r="AZ404" s="64"/>
      <c r="BA404" s="64"/>
      <c r="BB404" s="64"/>
      <c r="BC404" s="64"/>
      <c r="BD404" s="64"/>
      <c r="BE404" s="64"/>
      <c r="BF404" s="64"/>
      <c r="BG404" s="64"/>
      <c r="BH404" s="64"/>
      <c r="BI404" s="64"/>
      <c r="BJ404" s="64"/>
      <c r="BK404" s="64"/>
      <c r="BL404" s="64"/>
    </row>
    <row r="405" spans="48:64" x14ac:dyDescent="0.25">
      <c r="AV405" s="64"/>
      <c r="AW405" s="64"/>
      <c r="AX405" s="64"/>
      <c r="AY405" s="64"/>
      <c r="AZ405" s="64"/>
      <c r="BA405" s="64"/>
      <c r="BB405" s="64"/>
      <c r="BC405" s="64"/>
      <c r="BD405" s="64"/>
      <c r="BE405" s="64"/>
      <c r="BF405" s="64"/>
      <c r="BG405" s="64"/>
      <c r="BH405" s="64"/>
      <c r="BI405" s="64"/>
      <c r="BJ405" s="64"/>
      <c r="BK405" s="64"/>
      <c r="BL405" s="64"/>
    </row>
    <row r="406" spans="48:64" x14ac:dyDescent="0.25">
      <c r="AV406" s="64"/>
      <c r="AW406" s="64"/>
      <c r="AX406" s="64"/>
      <c r="AY406" s="64"/>
      <c r="AZ406" s="64"/>
      <c r="BA406" s="64"/>
      <c r="BB406" s="64"/>
      <c r="BC406" s="64"/>
      <c r="BD406" s="64"/>
      <c r="BE406" s="64"/>
      <c r="BF406" s="64"/>
      <c r="BG406" s="64"/>
      <c r="BH406" s="64"/>
      <c r="BI406" s="64"/>
      <c r="BJ406" s="64"/>
      <c r="BK406" s="64"/>
      <c r="BL406" s="64"/>
    </row>
    <row r="407" spans="48:64" x14ac:dyDescent="0.25">
      <c r="AV407" s="64"/>
      <c r="AW407" s="64"/>
      <c r="AX407" s="64"/>
      <c r="AY407" s="64"/>
      <c r="AZ407" s="64"/>
      <c r="BA407" s="64"/>
      <c r="BB407" s="64"/>
      <c r="BC407" s="64"/>
      <c r="BD407" s="64"/>
      <c r="BE407" s="64"/>
      <c r="BF407" s="64"/>
      <c r="BG407" s="64"/>
      <c r="BH407" s="64"/>
      <c r="BI407" s="64"/>
      <c r="BJ407" s="64"/>
      <c r="BK407" s="64"/>
      <c r="BL407" s="64"/>
    </row>
    <row r="408" spans="48:64" x14ac:dyDescent="0.25">
      <c r="AV408" s="64"/>
      <c r="AW408" s="64"/>
      <c r="AX408" s="64"/>
      <c r="AY408" s="64"/>
      <c r="AZ408" s="64"/>
      <c r="BA408" s="64"/>
      <c r="BB408" s="64"/>
      <c r="BC408" s="64"/>
      <c r="BD408" s="64"/>
      <c r="BE408" s="64"/>
      <c r="BF408" s="64"/>
      <c r="BG408" s="64"/>
      <c r="BH408" s="64"/>
      <c r="BI408" s="64"/>
      <c r="BJ408" s="64"/>
      <c r="BK408" s="64"/>
      <c r="BL408" s="64"/>
    </row>
    <row r="409" spans="48:64" x14ac:dyDescent="0.25">
      <c r="AV409" s="64"/>
      <c r="AW409" s="64"/>
      <c r="AX409" s="64"/>
      <c r="AY409" s="64"/>
      <c r="AZ409" s="64"/>
      <c r="BA409" s="64"/>
      <c r="BB409" s="64"/>
      <c r="BC409" s="64"/>
      <c r="BD409" s="64"/>
      <c r="BE409" s="64"/>
      <c r="BF409" s="64"/>
      <c r="BG409" s="64"/>
      <c r="BH409" s="64"/>
      <c r="BI409" s="64"/>
      <c r="BJ409" s="64"/>
      <c r="BK409" s="64"/>
      <c r="BL409" s="64"/>
    </row>
    <row r="410" spans="48:64" x14ac:dyDescent="0.25">
      <c r="AV410" s="64"/>
      <c r="AW410" s="64"/>
      <c r="AX410" s="64"/>
      <c r="AY410" s="64"/>
      <c r="AZ410" s="64"/>
      <c r="BA410" s="64"/>
      <c r="BB410" s="64"/>
      <c r="BC410" s="64"/>
      <c r="BD410" s="64"/>
      <c r="BE410" s="64"/>
      <c r="BF410" s="64"/>
      <c r="BG410" s="64"/>
      <c r="BH410" s="64"/>
      <c r="BI410" s="64"/>
      <c r="BJ410" s="64"/>
      <c r="BK410" s="64"/>
      <c r="BL410" s="64"/>
    </row>
    <row r="411" spans="48:64" x14ac:dyDescent="0.25">
      <c r="AV411" s="64"/>
      <c r="AW411" s="64"/>
      <c r="AX411" s="64"/>
      <c r="AY411" s="64"/>
      <c r="AZ411" s="64"/>
      <c r="BA411" s="64"/>
      <c r="BB411" s="64"/>
      <c r="BC411" s="64"/>
      <c r="BD411" s="64"/>
      <c r="BE411" s="64"/>
      <c r="BF411" s="64"/>
      <c r="BG411" s="64"/>
      <c r="BH411" s="64"/>
      <c r="BI411" s="64"/>
      <c r="BJ411" s="64"/>
      <c r="BK411" s="64"/>
      <c r="BL411" s="64"/>
    </row>
    <row r="412" spans="48:64" x14ac:dyDescent="0.25">
      <c r="AV412" s="64"/>
      <c r="AW412" s="64"/>
      <c r="AX412" s="64"/>
      <c r="AY412" s="64"/>
      <c r="AZ412" s="64"/>
      <c r="BA412" s="64"/>
      <c r="BB412" s="64"/>
      <c r="BC412" s="64"/>
      <c r="BD412" s="64"/>
      <c r="BE412" s="64"/>
      <c r="BF412" s="64"/>
      <c r="BG412" s="64"/>
      <c r="BH412" s="64"/>
      <c r="BI412" s="64"/>
      <c r="BJ412" s="64"/>
      <c r="BK412" s="64"/>
      <c r="BL412" s="64"/>
    </row>
    <row r="413" spans="48:64" x14ac:dyDescent="0.25">
      <c r="AV413" s="64"/>
      <c r="AW413" s="64"/>
      <c r="AX413" s="64"/>
      <c r="AY413" s="64"/>
      <c r="AZ413" s="64"/>
      <c r="BA413" s="64"/>
      <c r="BB413" s="64"/>
      <c r="BC413" s="64"/>
      <c r="BD413" s="64"/>
      <c r="BE413" s="64"/>
      <c r="BF413" s="64"/>
      <c r="BG413" s="64"/>
      <c r="BH413" s="64"/>
      <c r="BI413" s="64"/>
      <c r="BJ413" s="64"/>
      <c r="BK413" s="64"/>
      <c r="BL413" s="64"/>
    </row>
    <row r="414" spans="48:64" x14ac:dyDescent="0.25">
      <c r="AV414" s="64"/>
      <c r="AW414" s="64"/>
      <c r="AX414" s="64"/>
      <c r="AY414" s="64"/>
      <c r="AZ414" s="64"/>
      <c r="BA414" s="64"/>
      <c r="BB414" s="64"/>
      <c r="BC414" s="64"/>
      <c r="BD414" s="64"/>
      <c r="BE414" s="64"/>
      <c r="BF414" s="64"/>
      <c r="BG414" s="64"/>
      <c r="BH414" s="64"/>
      <c r="BI414" s="64"/>
      <c r="BJ414" s="64"/>
      <c r="BK414" s="64"/>
      <c r="BL414" s="64"/>
    </row>
    <row r="415" spans="48:64" x14ac:dyDescent="0.25">
      <c r="AV415" s="64"/>
      <c r="AW415" s="64"/>
      <c r="AX415" s="64"/>
      <c r="AY415" s="64"/>
      <c r="AZ415" s="64"/>
      <c r="BA415" s="64"/>
      <c r="BB415" s="64"/>
      <c r="BC415" s="64"/>
      <c r="BD415" s="64"/>
      <c r="BE415" s="64"/>
      <c r="BF415" s="64"/>
      <c r="BG415" s="64"/>
      <c r="BH415" s="64"/>
      <c r="BI415" s="64"/>
      <c r="BJ415" s="64"/>
      <c r="BK415" s="64"/>
      <c r="BL415" s="64"/>
    </row>
    <row r="416" spans="48:64" x14ac:dyDescent="0.25">
      <c r="AV416" s="64"/>
      <c r="AW416" s="64"/>
      <c r="AX416" s="64"/>
      <c r="AY416" s="64"/>
      <c r="AZ416" s="64"/>
      <c r="BA416" s="64"/>
      <c r="BB416" s="64"/>
      <c r="BC416" s="64"/>
      <c r="BD416" s="64"/>
      <c r="BE416" s="64"/>
      <c r="BF416" s="64"/>
      <c r="BG416" s="64"/>
      <c r="BH416" s="64"/>
      <c r="BI416" s="64"/>
      <c r="BJ416" s="64"/>
      <c r="BK416" s="64"/>
      <c r="BL416" s="64"/>
    </row>
    <row r="417" spans="48:64" x14ac:dyDescent="0.25">
      <c r="AV417" s="64"/>
      <c r="AW417" s="64"/>
      <c r="AX417" s="64"/>
      <c r="AY417" s="64"/>
      <c r="AZ417" s="64"/>
      <c r="BA417" s="64"/>
      <c r="BB417" s="64"/>
      <c r="BC417" s="64"/>
      <c r="BD417" s="64"/>
      <c r="BE417" s="64"/>
      <c r="BF417" s="64"/>
      <c r="BG417" s="64"/>
      <c r="BH417" s="64"/>
      <c r="BI417" s="64"/>
      <c r="BJ417" s="64"/>
      <c r="BK417" s="64"/>
      <c r="BL417" s="64"/>
    </row>
    <row r="418" spans="48:64" x14ac:dyDescent="0.25">
      <c r="AV418" s="64"/>
      <c r="AW418" s="64"/>
      <c r="AX418" s="64"/>
      <c r="AY418" s="64"/>
      <c r="AZ418" s="64"/>
      <c r="BA418" s="64"/>
      <c r="BB418" s="64"/>
      <c r="BC418" s="64"/>
      <c r="BD418" s="64"/>
      <c r="BE418" s="64"/>
      <c r="BF418" s="64"/>
      <c r="BG418" s="64"/>
      <c r="BH418" s="64"/>
      <c r="BI418" s="64"/>
      <c r="BJ418" s="64"/>
      <c r="BK418" s="64"/>
      <c r="BL418" s="64"/>
    </row>
    <row r="419" spans="48:64" x14ac:dyDescent="0.25">
      <c r="AV419" s="64"/>
      <c r="AW419" s="64"/>
      <c r="AX419" s="64"/>
      <c r="AY419" s="64"/>
      <c r="AZ419" s="64"/>
      <c r="BA419" s="64"/>
      <c r="BB419" s="64"/>
      <c r="BC419" s="64"/>
      <c r="BD419" s="64"/>
      <c r="BE419" s="64"/>
      <c r="BF419" s="64"/>
      <c r="BG419" s="64"/>
      <c r="BH419" s="64"/>
      <c r="BI419" s="64"/>
      <c r="BJ419" s="64"/>
      <c r="BK419" s="64"/>
      <c r="BL419" s="64"/>
    </row>
    <row r="420" spans="48:64" x14ac:dyDescent="0.25">
      <c r="AV420" s="64"/>
      <c r="AW420" s="64"/>
      <c r="AX420" s="64"/>
      <c r="AY420" s="64"/>
      <c r="AZ420" s="64"/>
      <c r="BA420" s="64"/>
      <c r="BB420" s="64"/>
      <c r="BC420" s="64"/>
      <c r="BD420" s="64"/>
      <c r="BE420" s="64"/>
      <c r="BF420" s="64"/>
      <c r="BG420" s="64"/>
      <c r="BH420" s="64"/>
      <c r="BI420" s="64"/>
      <c r="BJ420" s="64"/>
      <c r="BK420" s="64"/>
      <c r="BL420" s="64"/>
    </row>
    <row r="421" spans="48:64" x14ac:dyDescent="0.25">
      <c r="AV421" s="64"/>
      <c r="AW421" s="64"/>
      <c r="AX421" s="64"/>
      <c r="AY421" s="64"/>
      <c r="AZ421" s="64"/>
      <c r="BA421" s="64"/>
      <c r="BB421" s="64"/>
      <c r="BC421" s="64"/>
      <c r="BD421" s="64"/>
      <c r="BE421" s="64"/>
      <c r="BF421" s="64"/>
      <c r="BG421" s="64"/>
      <c r="BH421" s="64"/>
      <c r="BI421" s="64"/>
      <c r="BJ421" s="64"/>
      <c r="BK421" s="64"/>
      <c r="BL421" s="64"/>
    </row>
    <row r="422" spans="48:64" x14ac:dyDescent="0.25">
      <c r="AV422" s="64"/>
      <c r="AW422" s="64"/>
      <c r="AX422" s="64"/>
      <c r="AY422" s="64"/>
      <c r="AZ422" s="64"/>
      <c r="BA422" s="64"/>
      <c r="BB422" s="64"/>
      <c r="BC422" s="64"/>
      <c r="BD422" s="64"/>
      <c r="BE422" s="64"/>
      <c r="BF422" s="64"/>
      <c r="BG422" s="64"/>
      <c r="BH422" s="64"/>
      <c r="BI422" s="64"/>
      <c r="BJ422" s="64"/>
      <c r="BK422" s="64"/>
      <c r="BL422" s="64"/>
    </row>
    <row r="423" spans="48:64" x14ac:dyDescent="0.25">
      <c r="AV423" s="64"/>
      <c r="AW423" s="64"/>
      <c r="AX423" s="64"/>
      <c r="AY423" s="64"/>
      <c r="AZ423" s="64"/>
      <c r="BA423" s="64"/>
      <c r="BB423" s="64"/>
      <c r="BC423" s="64"/>
      <c r="BD423" s="64"/>
      <c r="BE423" s="64"/>
      <c r="BF423" s="64"/>
      <c r="BG423" s="64"/>
      <c r="BH423" s="64"/>
      <c r="BI423" s="64"/>
      <c r="BJ423" s="64"/>
      <c r="BK423" s="64"/>
      <c r="BL423" s="64"/>
    </row>
    <row r="424" spans="48:64" x14ac:dyDescent="0.25">
      <c r="AV424" s="64"/>
      <c r="AW424" s="64"/>
      <c r="AX424" s="64"/>
      <c r="AY424" s="64"/>
      <c r="AZ424" s="64"/>
      <c r="BA424" s="64"/>
      <c r="BB424" s="64"/>
      <c r="BC424" s="64"/>
      <c r="BD424" s="64"/>
      <c r="BE424" s="64"/>
      <c r="BF424" s="64"/>
      <c r="BG424" s="64"/>
      <c r="BH424" s="64"/>
      <c r="BI424" s="64"/>
      <c r="BJ424" s="64"/>
      <c r="BK424" s="64"/>
      <c r="BL424" s="64"/>
    </row>
    <row r="425" spans="48:64" x14ac:dyDescent="0.25">
      <c r="AV425" s="64"/>
      <c r="AW425" s="64"/>
      <c r="AX425" s="64"/>
      <c r="AY425" s="64"/>
      <c r="AZ425" s="64"/>
      <c r="BA425" s="64"/>
      <c r="BB425" s="64"/>
      <c r="BC425" s="64"/>
      <c r="BD425" s="64"/>
      <c r="BE425" s="64"/>
      <c r="BF425" s="64"/>
      <c r="BG425" s="64"/>
      <c r="BH425" s="64"/>
      <c r="BI425" s="64"/>
      <c r="BJ425" s="64"/>
      <c r="BK425" s="64"/>
      <c r="BL425" s="64"/>
    </row>
    <row r="426" spans="48:64" x14ac:dyDescent="0.25">
      <c r="AV426" s="64"/>
      <c r="AW426" s="64"/>
      <c r="AX426" s="64"/>
      <c r="AY426" s="64"/>
      <c r="AZ426" s="64"/>
      <c r="BA426" s="64"/>
      <c r="BB426" s="64"/>
      <c r="BC426" s="64"/>
      <c r="BD426" s="64"/>
      <c r="BE426" s="64"/>
      <c r="BF426" s="64"/>
      <c r="BG426" s="64"/>
      <c r="BH426" s="64"/>
      <c r="BI426" s="64"/>
      <c r="BJ426" s="64"/>
      <c r="BK426" s="64"/>
      <c r="BL426" s="64"/>
    </row>
    <row r="427" spans="48:64" x14ac:dyDescent="0.25">
      <c r="AV427" s="64"/>
      <c r="AW427" s="64"/>
      <c r="AX427" s="64"/>
      <c r="AY427" s="64"/>
      <c r="AZ427" s="64"/>
      <c r="BA427" s="64"/>
      <c r="BB427" s="64"/>
      <c r="BC427" s="64"/>
      <c r="BD427" s="64"/>
      <c r="BE427" s="64"/>
      <c r="BF427" s="64"/>
      <c r="BG427" s="64"/>
      <c r="BH427" s="64"/>
      <c r="BI427" s="64"/>
      <c r="BJ427" s="64"/>
      <c r="BK427" s="64"/>
      <c r="BL427" s="64"/>
    </row>
    <row r="428" spans="48:64" x14ac:dyDescent="0.25">
      <c r="AV428" s="64"/>
      <c r="AW428" s="64"/>
      <c r="AX428" s="64"/>
      <c r="AY428" s="64"/>
      <c r="AZ428" s="64"/>
      <c r="BA428" s="64"/>
      <c r="BB428" s="64"/>
      <c r="BC428" s="64"/>
      <c r="BD428" s="64"/>
      <c r="BE428" s="64"/>
      <c r="BF428" s="64"/>
      <c r="BG428" s="64"/>
      <c r="BH428" s="64"/>
      <c r="BI428" s="64"/>
      <c r="BJ428" s="64"/>
      <c r="BK428" s="64"/>
      <c r="BL428" s="64"/>
    </row>
    <row r="429" spans="48:64" x14ac:dyDescent="0.25">
      <c r="AV429" s="64"/>
      <c r="AW429" s="64"/>
      <c r="AX429" s="64"/>
      <c r="AY429" s="64"/>
      <c r="AZ429" s="64"/>
      <c r="BA429" s="64"/>
      <c r="BB429" s="64"/>
      <c r="BC429" s="64"/>
      <c r="BD429" s="64"/>
      <c r="BE429" s="64"/>
      <c r="BF429" s="64"/>
      <c r="BG429" s="64"/>
      <c r="BH429" s="64"/>
      <c r="BI429" s="64"/>
      <c r="BJ429" s="64"/>
      <c r="BK429" s="64"/>
      <c r="BL429" s="64"/>
    </row>
    <row r="430" spans="48:64" x14ac:dyDescent="0.25">
      <c r="AV430" s="64"/>
      <c r="AW430" s="64"/>
      <c r="AX430" s="64"/>
      <c r="AY430" s="64"/>
      <c r="AZ430" s="64"/>
      <c r="BA430" s="64"/>
      <c r="BB430" s="64"/>
      <c r="BC430" s="64"/>
      <c r="BD430" s="64"/>
      <c r="BE430" s="64"/>
      <c r="BF430" s="64"/>
      <c r="BG430" s="64"/>
      <c r="BH430" s="64"/>
      <c r="BI430" s="64"/>
      <c r="BJ430" s="64"/>
      <c r="BK430" s="64"/>
      <c r="BL430" s="64"/>
    </row>
    <row r="431" spans="48:64" x14ac:dyDescent="0.25">
      <c r="AV431" s="64"/>
      <c r="AW431" s="64"/>
      <c r="AX431" s="64"/>
      <c r="AY431" s="64"/>
      <c r="AZ431" s="64"/>
      <c r="BA431" s="64"/>
      <c r="BB431" s="64"/>
      <c r="BC431" s="64"/>
      <c r="BD431" s="64"/>
      <c r="BE431" s="64"/>
      <c r="BF431" s="64"/>
      <c r="BG431" s="64"/>
      <c r="BH431" s="64"/>
      <c r="BI431" s="64"/>
      <c r="BJ431" s="64"/>
      <c r="BK431" s="64"/>
      <c r="BL431" s="64"/>
    </row>
    <row r="432" spans="48:64" x14ac:dyDescent="0.25">
      <c r="AV432" s="64"/>
      <c r="AW432" s="64"/>
      <c r="AX432" s="64"/>
      <c r="AY432" s="64"/>
      <c r="AZ432" s="64"/>
      <c r="BA432" s="64"/>
      <c r="BB432" s="64"/>
      <c r="BC432" s="64"/>
      <c r="BD432" s="64"/>
      <c r="BE432" s="64"/>
      <c r="BF432" s="64"/>
      <c r="BG432" s="64"/>
      <c r="BH432" s="64"/>
      <c r="BI432" s="64"/>
      <c r="BJ432" s="64"/>
      <c r="BK432" s="64"/>
      <c r="BL432" s="64"/>
    </row>
    <row r="433" spans="48:64" x14ac:dyDescent="0.25">
      <c r="AV433" s="64"/>
      <c r="AW433" s="64"/>
      <c r="AX433" s="64"/>
      <c r="AY433" s="64"/>
      <c r="AZ433" s="64"/>
      <c r="BA433" s="64"/>
      <c r="BB433" s="64"/>
      <c r="BC433" s="64"/>
      <c r="BD433" s="64"/>
      <c r="BE433" s="64"/>
      <c r="BF433" s="64"/>
      <c r="BG433" s="64"/>
      <c r="BH433" s="64"/>
      <c r="BI433" s="64"/>
      <c r="BJ433" s="64"/>
      <c r="BK433" s="64"/>
      <c r="BL433" s="64"/>
    </row>
    <row r="434" spans="48:64" x14ac:dyDescent="0.25">
      <c r="AV434" s="64"/>
      <c r="AW434" s="64"/>
      <c r="AX434" s="64"/>
      <c r="AY434" s="64"/>
      <c r="AZ434" s="64"/>
      <c r="BA434" s="64"/>
      <c r="BB434" s="64"/>
      <c r="BC434" s="64"/>
      <c r="BD434" s="64"/>
      <c r="BE434" s="64"/>
      <c r="BF434" s="64"/>
      <c r="BG434" s="64"/>
      <c r="BH434" s="64"/>
      <c r="BI434" s="64"/>
      <c r="BJ434" s="64"/>
      <c r="BK434" s="64"/>
      <c r="BL434" s="64"/>
    </row>
    <row r="435" spans="48:64" x14ac:dyDescent="0.25">
      <c r="AV435" s="64"/>
      <c r="AW435" s="64"/>
      <c r="AX435" s="64"/>
      <c r="AY435" s="64"/>
      <c r="AZ435" s="64"/>
      <c r="BA435" s="64"/>
      <c r="BB435" s="64"/>
      <c r="BC435" s="64"/>
      <c r="BD435" s="64"/>
      <c r="BE435" s="64"/>
      <c r="BF435" s="64"/>
      <c r="BG435" s="64"/>
      <c r="BH435" s="64"/>
      <c r="BI435" s="64"/>
      <c r="BJ435" s="64"/>
      <c r="BK435" s="64"/>
      <c r="BL435" s="64"/>
    </row>
    <row r="436" spans="48:64" x14ac:dyDescent="0.25">
      <c r="AV436" s="64"/>
      <c r="AW436" s="64"/>
      <c r="AX436" s="64"/>
      <c r="AY436" s="64"/>
      <c r="AZ436" s="64"/>
      <c r="BA436" s="64"/>
      <c r="BB436" s="64"/>
      <c r="BC436" s="64"/>
      <c r="BD436" s="64"/>
      <c r="BE436" s="64"/>
      <c r="BF436" s="64"/>
      <c r="BG436" s="64"/>
      <c r="BH436" s="64"/>
      <c r="BI436" s="64"/>
      <c r="BJ436" s="64"/>
      <c r="BK436" s="64"/>
      <c r="BL436" s="64"/>
    </row>
    <row r="437" spans="48:64" x14ac:dyDescent="0.25">
      <c r="AV437" s="64"/>
      <c r="AW437" s="64"/>
      <c r="AX437" s="64"/>
      <c r="AY437" s="64"/>
      <c r="AZ437" s="64"/>
      <c r="BA437" s="64"/>
      <c r="BB437" s="64"/>
      <c r="BC437" s="64"/>
      <c r="BD437" s="64"/>
      <c r="BE437" s="64"/>
      <c r="BF437" s="64"/>
      <c r="BG437" s="64"/>
      <c r="BH437" s="64"/>
      <c r="BI437" s="64"/>
      <c r="BJ437" s="64"/>
      <c r="BK437" s="64"/>
      <c r="BL437" s="64"/>
    </row>
    <row r="438" spans="48:64" x14ac:dyDescent="0.25">
      <c r="AV438" s="64"/>
      <c r="AW438" s="64"/>
      <c r="AX438" s="64"/>
      <c r="AY438" s="64"/>
      <c r="AZ438" s="64"/>
      <c r="BA438" s="64"/>
      <c r="BB438" s="64"/>
      <c r="BC438" s="64"/>
      <c r="BD438" s="64"/>
      <c r="BE438" s="64"/>
      <c r="BF438" s="64"/>
      <c r="BG438" s="64"/>
      <c r="BH438" s="64"/>
      <c r="BI438" s="64"/>
      <c r="BJ438" s="64"/>
      <c r="BK438" s="64"/>
      <c r="BL438" s="64"/>
    </row>
    <row r="439" spans="48:64" x14ac:dyDescent="0.25">
      <c r="AV439" s="64"/>
      <c r="AW439" s="64"/>
      <c r="AX439" s="64"/>
      <c r="AY439" s="64"/>
      <c r="AZ439" s="64"/>
      <c r="BA439" s="64"/>
      <c r="BB439" s="64"/>
      <c r="BC439" s="64"/>
      <c r="BD439" s="64"/>
      <c r="BE439" s="64"/>
      <c r="BF439" s="64"/>
      <c r="BG439" s="64"/>
      <c r="BH439" s="64"/>
      <c r="BI439" s="64"/>
      <c r="BJ439" s="64"/>
      <c r="BK439" s="64"/>
      <c r="BL439" s="64"/>
    </row>
    <row r="440" spans="48:64" x14ac:dyDescent="0.25">
      <c r="AV440" s="64"/>
      <c r="AW440" s="64"/>
      <c r="AX440" s="64"/>
      <c r="AY440" s="64"/>
      <c r="AZ440" s="64"/>
      <c r="BA440" s="64"/>
      <c r="BB440" s="64"/>
      <c r="BC440" s="64"/>
      <c r="BD440" s="64"/>
      <c r="BE440" s="64"/>
      <c r="BF440" s="64"/>
      <c r="BG440" s="64"/>
      <c r="BH440" s="64"/>
      <c r="BI440" s="64"/>
      <c r="BJ440" s="64"/>
      <c r="BK440" s="64"/>
      <c r="BL440" s="64"/>
    </row>
    <row r="441" spans="48:64" x14ac:dyDescent="0.25">
      <c r="AV441" s="64"/>
      <c r="AW441" s="64"/>
      <c r="AX441" s="64"/>
      <c r="AY441" s="64"/>
      <c r="AZ441" s="64"/>
      <c r="BA441" s="64"/>
      <c r="BB441" s="64"/>
      <c r="BC441" s="64"/>
      <c r="BD441" s="64"/>
      <c r="BE441" s="64"/>
      <c r="BF441" s="64"/>
      <c r="BG441" s="64"/>
      <c r="BH441" s="64"/>
      <c r="BI441" s="64"/>
      <c r="BJ441" s="64"/>
      <c r="BK441" s="64"/>
      <c r="BL441" s="64"/>
    </row>
    <row r="442" spans="48:64" x14ac:dyDescent="0.25">
      <c r="AV442" s="64"/>
      <c r="AW442" s="64"/>
      <c r="AX442" s="64"/>
      <c r="AY442" s="64"/>
      <c r="AZ442" s="64"/>
      <c r="BA442" s="64"/>
      <c r="BB442" s="64"/>
      <c r="BC442" s="64"/>
      <c r="BD442" s="64"/>
      <c r="BE442" s="64"/>
      <c r="BF442" s="64"/>
      <c r="BG442" s="64"/>
      <c r="BH442" s="64"/>
      <c r="BI442" s="64"/>
      <c r="BJ442" s="64"/>
      <c r="BK442" s="64"/>
      <c r="BL442" s="64"/>
    </row>
    <row r="443" spans="48:64" x14ac:dyDescent="0.25">
      <c r="AV443" s="64"/>
      <c r="AW443" s="64"/>
      <c r="AX443" s="64"/>
      <c r="AY443" s="64"/>
      <c r="AZ443" s="64"/>
      <c r="BA443" s="64"/>
      <c r="BB443" s="64"/>
      <c r="BC443" s="64"/>
      <c r="BD443" s="64"/>
      <c r="BE443" s="64"/>
      <c r="BF443" s="64"/>
      <c r="BG443" s="64"/>
      <c r="BH443" s="64"/>
      <c r="BI443" s="64"/>
      <c r="BJ443" s="64"/>
      <c r="BK443" s="64"/>
      <c r="BL443" s="64"/>
    </row>
    <row r="444" spans="48:64" x14ac:dyDescent="0.25">
      <c r="AV444" s="64"/>
      <c r="AW444" s="64"/>
      <c r="AX444" s="64"/>
      <c r="AY444" s="64"/>
      <c r="AZ444" s="64"/>
      <c r="BA444" s="64"/>
      <c r="BB444" s="64"/>
      <c r="BC444" s="64"/>
      <c r="BD444" s="64"/>
      <c r="BE444" s="64"/>
      <c r="BF444" s="64"/>
      <c r="BG444" s="64"/>
      <c r="BH444" s="64"/>
      <c r="BI444" s="64"/>
      <c r="BJ444" s="64"/>
      <c r="BK444" s="64"/>
      <c r="BL444" s="64"/>
    </row>
    <row r="445" spans="48:64" x14ac:dyDescent="0.25">
      <c r="AV445" s="64"/>
      <c r="AW445" s="64"/>
      <c r="AX445" s="64"/>
      <c r="AY445" s="64"/>
      <c r="AZ445" s="64"/>
      <c r="BA445" s="64"/>
      <c r="BB445" s="64"/>
      <c r="BC445" s="64"/>
      <c r="BD445" s="64"/>
      <c r="BE445" s="64"/>
      <c r="BF445" s="64"/>
      <c r="BG445" s="64"/>
      <c r="BH445" s="64"/>
      <c r="BI445" s="64"/>
      <c r="BJ445" s="64"/>
      <c r="BK445" s="64"/>
      <c r="BL445" s="64"/>
    </row>
    <row r="446" spans="48:64" x14ac:dyDescent="0.25">
      <c r="AV446" s="64"/>
      <c r="AW446" s="64"/>
      <c r="AX446" s="64"/>
      <c r="AY446" s="64"/>
      <c r="AZ446" s="64"/>
      <c r="BA446" s="64"/>
      <c r="BB446" s="64"/>
      <c r="BC446" s="64"/>
      <c r="BD446" s="64"/>
      <c r="BE446" s="64"/>
      <c r="BF446" s="64"/>
      <c r="BG446" s="64"/>
      <c r="BH446" s="64"/>
      <c r="BI446" s="64"/>
      <c r="BJ446" s="64"/>
      <c r="BK446" s="64"/>
      <c r="BL446" s="64"/>
    </row>
    <row r="447" spans="48:64" x14ac:dyDescent="0.25">
      <c r="AV447" s="64"/>
      <c r="AW447" s="64"/>
      <c r="AX447" s="64"/>
      <c r="AY447" s="64"/>
      <c r="AZ447" s="64"/>
      <c r="BA447" s="64"/>
      <c r="BB447" s="64"/>
      <c r="BC447" s="64"/>
      <c r="BD447" s="64"/>
      <c r="BE447" s="64"/>
      <c r="BF447" s="64"/>
      <c r="BG447" s="64"/>
      <c r="BH447" s="64"/>
      <c r="BI447" s="64"/>
      <c r="BJ447" s="64"/>
      <c r="BK447" s="64"/>
      <c r="BL447" s="64"/>
    </row>
    <row r="448" spans="48:64" x14ac:dyDescent="0.25">
      <c r="AV448" s="64"/>
      <c r="AW448" s="64"/>
      <c r="AX448" s="64"/>
      <c r="AY448" s="64"/>
      <c r="AZ448" s="64"/>
      <c r="BA448" s="64"/>
      <c r="BB448" s="64"/>
      <c r="BC448" s="64"/>
      <c r="BD448" s="64"/>
      <c r="BE448" s="64"/>
      <c r="BF448" s="64"/>
      <c r="BG448" s="64"/>
      <c r="BH448" s="64"/>
      <c r="BI448" s="64"/>
      <c r="BJ448" s="64"/>
      <c r="BK448" s="64"/>
      <c r="BL448" s="64"/>
    </row>
    <row r="449" spans="48:64" x14ac:dyDescent="0.25">
      <c r="AV449" s="64"/>
      <c r="AW449" s="64"/>
      <c r="AX449" s="64"/>
      <c r="AY449" s="64"/>
      <c r="AZ449" s="64"/>
      <c r="BA449" s="64"/>
      <c r="BB449" s="64"/>
      <c r="BC449" s="64"/>
      <c r="BD449" s="64"/>
      <c r="BE449" s="64"/>
      <c r="BF449" s="64"/>
      <c r="BG449" s="64"/>
      <c r="BH449" s="64"/>
      <c r="BI449" s="64"/>
      <c r="BJ449" s="64"/>
      <c r="BK449" s="64"/>
      <c r="BL449" s="64"/>
    </row>
    <row r="450" spans="48:64" x14ac:dyDescent="0.25">
      <c r="AV450" s="64"/>
      <c r="AW450" s="64"/>
      <c r="AX450" s="64"/>
      <c r="AY450" s="64"/>
      <c r="AZ450" s="64"/>
      <c r="BA450" s="64"/>
      <c r="BB450" s="64"/>
      <c r="BC450" s="64"/>
      <c r="BD450" s="64"/>
      <c r="BE450" s="64"/>
      <c r="BF450" s="64"/>
      <c r="BG450" s="64"/>
      <c r="BH450" s="64"/>
      <c r="BI450" s="64"/>
      <c r="BJ450" s="64"/>
      <c r="BK450" s="64"/>
      <c r="BL450" s="64"/>
    </row>
    <row r="451" spans="48:64" x14ac:dyDescent="0.25">
      <c r="AV451" s="64"/>
      <c r="AW451" s="64"/>
      <c r="AX451" s="64"/>
      <c r="AY451" s="64"/>
      <c r="AZ451" s="64"/>
      <c r="BA451" s="64"/>
      <c r="BB451" s="64"/>
      <c r="BC451" s="64"/>
      <c r="BD451" s="64"/>
      <c r="BE451" s="64"/>
      <c r="BF451" s="64"/>
      <c r="BG451" s="64"/>
      <c r="BH451" s="64"/>
      <c r="BI451" s="64"/>
      <c r="BJ451" s="64"/>
      <c r="BK451" s="64"/>
      <c r="BL451" s="64"/>
    </row>
    <row r="452" spans="48:64" x14ac:dyDescent="0.25">
      <c r="AV452" s="64"/>
      <c r="AW452" s="64"/>
      <c r="AX452" s="64"/>
      <c r="AY452" s="64"/>
      <c r="AZ452" s="64"/>
      <c r="BA452" s="64"/>
      <c r="BB452" s="64"/>
      <c r="BC452" s="64"/>
      <c r="BD452" s="64"/>
      <c r="BE452" s="64"/>
      <c r="BF452" s="64"/>
      <c r="BG452" s="64"/>
      <c r="BH452" s="64"/>
      <c r="BI452" s="64"/>
      <c r="BJ452" s="64"/>
      <c r="BK452" s="64"/>
      <c r="BL452" s="64"/>
    </row>
    <row r="453" spans="48:64" x14ac:dyDescent="0.25">
      <c r="AV453" s="64"/>
      <c r="AW453" s="64"/>
      <c r="AX453" s="64"/>
      <c r="AY453" s="64"/>
      <c r="AZ453" s="64"/>
      <c r="BA453" s="64"/>
      <c r="BB453" s="64"/>
      <c r="BC453" s="64"/>
      <c r="BD453" s="64"/>
      <c r="BE453" s="64"/>
      <c r="BF453" s="64"/>
      <c r="BG453" s="64"/>
      <c r="BH453" s="64"/>
      <c r="BI453" s="64"/>
      <c r="BJ453" s="64"/>
      <c r="BK453" s="64"/>
      <c r="BL453" s="64"/>
    </row>
    <row r="454" spans="48:64" x14ac:dyDescent="0.25">
      <c r="AV454" s="64"/>
      <c r="AW454" s="64"/>
      <c r="AX454" s="64"/>
      <c r="AY454" s="64"/>
      <c r="AZ454" s="64"/>
      <c r="BA454" s="64"/>
      <c r="BB454" s="64"/>
      <c r="BC454" s="64"/>
      <c r="BD454" s="64"/>
      <c r="BE454" s="64"/>
      <c r="BF454" s="64"/>
      <c r="BG454" s="64"/>
      <c r="BH454" s="64"/>
      <c r="BI454" s="64"/>
      <c r="BJ454" s="64"/>
      <c r="BK454" s="64"/>
      <c r="BL454" s="64"/>
    </row>
    <row r="455" spans="48:64" x14ac:dyDescent="0.25">
      <c r="AV455" s="64"/>
      <c r="AW455" s="64"/>
      <c r="AX455" s="64"/>
      <c r="AY455" s="64"/>
      <c r="AZ455" s="64"/>
      <c r="BA455" s="64"/>
      <c r="BB455" s="64"/>
      <c r="BC455" s="64"/>
      <c r="BD455" s="64"/>
      <c r="BE455" s="64"/>
      <c r="BF455" s="64"/>
      <c r="BG455" s="64"/>
      <c r="BH455" s="64"/>
      <c r="BI455" s="64"/>
      <c r="BJ455" s="64"/>
      <c r="BK455" s="64"/>
      <c r="BL455" s="64"/>
    </row>
    <row r="456" spans="48:64" x14ac:dyDescent="0.25">
      <c r="AV456" s="64"/>
      <c r="AW456" s="64"/>
      <c r="AX456" s="64"/>
      <c r="AY456" s="64"/>
      <c r="AZ456" s="64"/>
      <c r="BA456" s="64"/>
      <c r="BB456" s="64"/>
      <c r="BC456" s="64"/>
      <c r="BD456" s="64"/>
      <c r="BE456" s="64"/>
      <c r="BF456" s="64"/>
      <c r="BG456" s="64"/>
      <c r="BH456" s="64"/>
      <c r="BI456" s="64"/>
      <c r="BJ456" s="64"/>
      <c r="BK456" s="64"/>
      <c r="BL456" s="64"/>
    </row>
    <row r="457" spans="48:64" x14ac:dyDescent="0.25">
      <c r="AV457" s="64"/>
      <c r="AW457" s="64"/>
      <c r="AX457" s="64"/>
      <c r="AY457" s="64"/>
      <c r="AZ457" s="64"/>
      <c r="BA457" s="64"/>
      <c r="BB457" s="64"/>
      <c r="BC457" s="64"/>
      <c r="BD457" s="64"/>
      <c r="BE457" s="64"/>
      <c r="BF457" s="64"/>
      <c r="BG457" s="64"/>
      <c r="BH457" s="64"/>
      <c r="BI457" s="64"/>
      <c r="BJ457" s="64"/>
      <c r="BK457" s="64"/>
      <c r="BL457" s="64"/>
    </row>
    <row r="458" spans="48:64" x14ac:dyDescent="0.25">
      <c r="AV458" s="64"/>
      <c r="AW458" s="64"/>
      <c r="AX458" s="64"/>
      <c r="AY458" s="64"/>
      <c r="AZ458" s="64"/>
      <c r="BA458" s="64"/>
      <c r="BB458" s="64"/>
      <c r="BC458" s="64"/>
      <c r="BD458" s="64"/>
      <c r="BE458" s="64"/>
      <c r="BF458" s="64"/>
      <c r="BG458" s="64"/>
      <c r="BH458" s="64"/>
      <c r="BI458" s="64"/>
      <c r="BJ458" s="64"/>
      <c r="BK458" s="64"/>
      <c r="BL458" s="64"/>
    </row>
    <row r="459" spans="48:64" x14ac:dyDescent="0.25">
      <c r="AV459" s="64"/>
      <c r="AW459" s="64"/>
      <c r="AX459" s="64"/>
      <c r="AY459" s="64"/>
      <c r="AZ459" s="64"/>
      <c r="BA459" s="64"/>
      <c r="BB459" s="64"/>
      <c r="BC459" s="64"/>
      <c r="BD459" s="64"/>
      <c r="BE459" s="64"/>
      <c r="BF459" s="64"/>
      <c r="BG459" s="64"/>
      <c r="BH459" s="64"/>
      <c r="BI459" s="64"/>
      <c r="BJ459" s="64"/>
      <c r="BK459" s="64"/>
      <c r="BL459" s="64"/>
    </row>
    <row r="460" spans="48:64" x14ac:dyDescent="0.25">
      <c r="AV460" s="64"/>
      <c r="AW460" s="64"/>
      <c r="AX460" s="64"/>
      <c r="AY460" s="64"/>
      <c r="AZ460" s="64"/>
      <c r="BA460" s="64"/>
      <c r="BB460" s="64"/>
      <c r="BC460" s="64"/>
      <c r="BD460" s="64"/>
      <c r="BE460" s="64"/>
      <c r="BF460" s="64"/>
      <c r="BG460" s="64"/>
      <c r="BH460" s="64"/>
      <c r="BI460" s="64"/>
      <c r="BJ460" s="64"/>
      <c r="BK460" s="64"/>
      <c r="BL460" s="64"/>
    </row>
    <row r="461" spans="48:64" x14ac:dyDescent="0.25">
      <c r="AV461" s="64"/>
      <c r="AW461" s="64"/>
      <c r="AX461" s="64"/>
      <c r="AY461" s="64"/>
      <c r="AZ461" s="64"/>
      <c r="BA461" s="64"/>
      <c r="BB461" s="64"/>
      <c r="BC461" s="64"/>
      <c r="BD461" s="64"/>
      <c r="BE461" s="64"/>
      <c r="BF461" s="64"/>
      <c r="BG461" s="64"/>
      <c r="BH461" s="64"/>
      <c r="BI461" s="64"/>
      <c r="BJ461" s="64"/>
      <c r="BK461" s="64"/>
      <c r="BL461" s="64"/>
    </row>
    <row r="462" spans="48:64" x14ac:dyDescent="0.25">
      <c r="AV462" s="64"/>
      <c r="AW462" s="64"/>
      <c r="AX462" s="64"/>
      <c r="AY462" s="64"/>
      <c r="AZ462" s="64"/>
      <c r="BA462" s="64"/>
      <c r="BB462" s="64"/>
      <c r="BC462" s="64"/>
      <c r="BD462" s="64"/>
      <c r="BE462" s="64"/>
      <c r="BF462" s="64"/>
      <c r="BG462" s="64"/>
      <c r="BH462" s="64"/>
      <c r="BI462" s="64"/>
      <c r="BJ462" s="64"/>
      <c r="BK462" s="64"/>
      <c r="BL462" s="64"/>
    </row>
    <row r="463" spans="48:64" x14ac:dyDescent="0.25">
      <c r="AV463" s="64"/>
      <c r="AW463" s="64"/>
      <c r="AX463" s="64"/>
      <c r="AY463" s="64"/>
      <c r="AZ463" s="64"/>
      <c r="BA463" s="64"/>
      <c r="BB463" s="64"/>
      <c r="BC463" s="64"/>
      <c r="BD463" s="64"/>
      <c r="BE463" s="64"/>
      <c r="BF463" s="64"/>
      <c r="BG463" s="64"/>
      <c r="BH463" s="64"/>
      <c r="BI463" s="64"/>
      <c r="BJ463" s="64"/>
      <c r="BK463" s="64"/>
      <c r="BL463" s="64"/>
    </row>
    <row r="464" spans="48:64" x14ac:dyDescent="0.25">
      <c r="AV464" s="64"/>
      <c r="AW464" s="64"/>
      <c r="AX464" s="64"/>
      <c r="AY464" s="64"/>
      <c r="AZ464" s="64"/>
      <c r="BA464" s="64"/>
      <c r="BB464" s="64"/>
      <c r="BC464" s="64"/>
      <c r="BD464" s="64"/>
      <c r="BE464" s="64"/>
      <c r="BF464" s="64"/>
      <c r="BG464" s="64"/>
      <c r="BH464" s="64"/>
      <c r="BI464" s="64"/>
      <c r="BJ464" s="64"/>
      <c r="BK464" s="64"/>
      <c r="BL464" s="64"/>
    </row>
    <row r="465" spans="48:64" x14ac:dyDescent="0.25">
      <c r="AV465" s="64"/>
      <c r="AW465" s="64"/>
      <c r="AX465" s="64"/>
      <c r="AY465" s="64"/>
      <c r="AZ465" s="64"/>
      <c r="BA465" s="64"/>
      <c r="BB465" s="64"/>
      <c r="BC465" s="64"/>
      <c r="BD465" s="64"/>
      <c r="BE465" s="64"/>
      <c r="BF465" s="64"/>
      <c r="BG465" s="64"/>
      <c r="BH465" s="64"/>
      <c r="BI465" s="64"/>
      <c r="BJ465" s="64"/>
      <c r="BK465" s="64"/>
      <c r="BL465" s="64"/>
    </row>
    <row r="466" spans="48:64" x14ac:dyDescent="0.25">
      <c r="AV466" s="64"/>
      <c r="AW466" s="64"/>
      <c r="AX466" s="64"/>
      <c r="AY466" s="64"/>
      <c r="AZ466" s="64"/>
      <c r="BA466" s="64"/>
      <c r="BB466" s="64"/>
      <c r="BC466" s="64"/>
      <c r="BD466" s="64"/>
      <c r="BE466" s="64"/>
      <c r="BF466" s="64"/>
      <c r="BG466" s="64"/>
      <c r="BH466" s="64"/>
      <c r="BI466" s="64"/>
      <c r="BJ466" s="64"/>
      <c r="BK466" s="64"/>
      <c r="BL466" s="64"/>
    </row>
    <row r="467" spans="48:64" x14ac:dyDescent="0.25">
      <c r="AV467" s="64"/>
      <c r="AW467" s="64"/>
      <c r="AX467" s="64"/>
      <c r="AY467" s="64"/>
      <c r="AZ467" s="64"/>
      <c r="BA467" s="64"/>
      <c r="BB467" s="64"/>
      <c r="BC467" s="64"/>
      <c r="BD467" s="64"/>
      <c r="BE467" s="64"/>
      <c r="BF467" s="64"/>
      <c r="BG467" s="64"/>
      <c r="BH467" s="64"/>
      <c r="BI467" s="64"/>
      <c r="BJ467" s="64"/>
      <c r="BK467" s="64"/>
      <c r="BL467" s="64"/>
    </row>
    <row r="468" spans="48:64" x14ac:dyDescent="0.25">
      <c r="AV468" s="64"/>
      <c r="AW468" s="64"/>
      <c r="AX468" s="64"/>
      <c r="AY468" s="64"/>
      <c r="AZ468" s="64"/>
      <c r="BA468" s="64"/>
      <c r="BB468" s="64"/>
      <c r="BC468" s="64"/>
      <c r="BD468" s="64"/>
      <c r="BE468" s="64"/>
      <c r="BF468" s="64"/>
      <c r="BG468" s="64"/>
      <c r="BH468" s="64"/>
      <c r="BI468" s="64"/>
      <c r="BJ468" s="64"/>
      <c r="BK468" s="64"/>
      <c r="BL468" s="64"/>
    </row>
    <row r="469" spans="48:64" x14ac:dyDescent="0.25">
      <c r="AV469" s="64"/>
      <c r="AW469" s="64"/>
      <c r="AX469" s="64"/>
      <c r="AY469" s="64"/>
      <c r="AZ469" s="64"/>
      <c r="BA469" s="64"/>
      <c r="BB469" s="64"/>
      <c r="BC469" s="64"/>
      <c r="BD469" s="64"/>
      <c r="BE469" s="64"/>
      <c r="BF469" s="64"/>
      <c r="BG469" s="64"/>
      <c r="BH469" s="64"/>
      <c r="BI469" s="64"/>
      <c r="BJ469" s="64"/>
      <c r="BK469" s="64"/>
      <c r="BL469" s="64"/>
    </row>
    <row r="470" spans="48:64" x14ac:dyDescent="0.25">
      <c r="AV470" s="64"/>
      <c r="AW470" s="64"/>
      <c r="AX470" s="64"/>
      <c r="AY470" s="64"/>
      <c r="AZ470" s="64"/>
      <c r="BA470" s="64"/>
      <c r="BB470" s="64"/>
      <c r="BC470" s="64"/>
      <c r="BD470" s="64"/>
      <c r="BE470" s="64"/>
      <c r="BF470" s="64"/>
      <c r="BG470" s="64"/>
      <c r="BH470" s="64"/>
      <c r="BI470" s="64"/>
      <c r="BJ470" s="64"/>
      <c r="BK470" s="64"/>
      <c r="BL470" s="64"/>
    </row>
    <row r="471" spans="48:64" x14ac:dyDescent="0.25">
      <c r="AV471" s="64"/>
      <c r="AW471" s="64"/>
      <c r="AX471" s="64"/>
      <c r="AY471" s="64"/>
      <c r="AZ471" s="64"/>
      <c r="BA471" s="64"/>
      <c r="BB471" s="64"/>
      <c r="BC471" s="64"/>
      <c r="BD471" s="64"/>
      <c r="BE471" s="64"/>
      <c r="BF471" s="64"/>
      <c r="BG471" s="64"/>
      <c r="BH471" s="64"/>
      <c r="BI471" s="64"/>
      <c r="BJ471" s="64"/>
      <c r="BK471" s="64"/>
      <c r="BL471" s="64"/>
    </row>
    <row r="472" spans="48:64" x14ac:dyDescent="0.25">
      <c r="AV472" s="64"/>
      <c r="AW472" s="64"/>
      <c r="AX472" s="64"/>
      <c r="AY472" s="64"/>
      <c r="AZ472" s="64"/>
      <c r="BA472" s="64"/>
      <c r="BB472" s="64"/>
      <c r="BC472" s="64"/>
      <c r="BD472" s="64"/>
      <c r="BE472" s="64"/>
      <c r="BF472" s="64"/>
      <c r="BG472" s="64"/>
      <c r="BH472" s="64"/>
      <c r="BI472" s="64"/>
      <c r="BJ472" s="64"/>
      <c r="BK472" s="64"/>
      <c r="BL472" s="64"/>
    </row>
    <row r="473" spans="48:64" x14ac:dyDescent="0.25">
      <c r="AV473" s="64"/>
      <c r="AW473" s="64"/>
      <c r="AX473" s="64"/>
      <c r="AY473" s="64"/>
      <c r="AZ473" s="64"/>
      <c r="BA473" s="64"/>
      <c r="BB473" s="64"/>
      <c r="BC473" s="64"/>
      <c r="BD473" s="64"/>
      <c r="BE473" s="64"/>
      <c r="BF473" s="64"/>
      <c r="BG473" s="64"/>
      <c r="BH473" s="64"/>
      <c r="BI473" s="64"/>
      <c r="BJ473" s="64"/>
      <c r="BK473" s="64"/>
      <c r="BL473" s="64"/>
    </row>
    <row r="474" spans="48:64" x14ac:dyDescent="0.25">
      <c r="AV474" s="64"/>
      <c r="AW474" s="64"/>
      <c r="AX474" s="64"/>
      <c r="AY474" s="64"/>
      <c r="AZ474" s="64"/>
      <c r="BA474" s="64"/>
      <c r="BB474" s="64"/>
      <c r="BC474" s="64"/>
      <c r="BD474" s="64"/>
      <c r="BE474" s="64"/>
      <c r="BF474" s="64"/>
      <c r="BG474" s="64"/>
      <c r="BH474" s="64"/>
      <c r="BI474" s="64"/>
      <c r="BJ474" s="64"/>
      <c r="BK474" s="64"/>
      <c r="BL474" s="64"/>
    </row>
    <row r="475" spans="48:64" x14ac:dyDescent="0.25">
      <c r="AV475" s="64"/>
      <c r="AW475" s="64"/>
      <c r="AX475" s="64"/>
      <c r="AY475" s="64"/>
      <c r="AZ475" s="64"/>
      <c r="BA475" s="64"/>
      <c r="BB475" s="64"/>
      <c r="BC475" s="64"/>
      <c r="BD475" s="64"/>
      <c r="BE475" s="64"/>
      <c r="BF475" s="64"/>
      <c r="BG475" s="64"/>
      <c r="BH475" s="64"/>
      <c r="BI475" s="64"/>
      <c r="BJ475" s="64"/>
      <c r="BK475" s="64"/>
      <c r="BL475" s="64"/>
    </row>
    <row r="476" spans="48:64" x14ac:dyDescent="0.25">
      <c r="AV476" s="64"/>
      <c r="AW476" s="64"/>
      <c r="AX476" s="64"/>
      <c r="AY476" s="64"/>
      <c r="AZ476" s="64"/>
      <c r="BA476" s="64"/>
      <c r="BB476" s="64"/>
      <c r="BC476" s="64"/>
      <c r="BD476" s="64"/>
      <c r="BE476" s="64"/>
      <c r="BF476" s="64"/>
      <c r="BG476" s="64"/>
      <c r="BH476" s="64"/>
      <c r="BI476" s="64"/>
      <c r="BJ476" s="64"/>
      <c r="BK476" s="64"/>
      <c r="BL476" s="64"/>
    </row>
    <row r="477" spans="48:64" x14ac:dyDescent="0.25">
      <c r="AV477" s="64"/>
      <c r="AW477" s="64"/>
      <c r="AX477" s="64"/>
      <c r="AY477" s="64"/>
      <c r="AZ477" s="64"/>
      <c r="BA477" s="64"/>
      <c r="BB477" s="64"/>
      <c r="BC477" s="64"/>
      <c r="BD477" s="64"/>
      <c r="BE477" s="64"/>
      <c r="BF477" s="64"/>
      <c r="BG477" s="64"/>
      <c r="BH477" s="64"/>
      <c r="BI477" s="64"/>
      <c r="BJ477" s="64"/>
      <c r="BK477" s="64"/>
      <c r="BL477" s="64"/>
    </row>
    <row r="478" spans="48:64" x14ac:dyDescent="0.25">
      <c r="AV478" s="64"/>
      <c r="AW478" s="64"/>
      <c r="AX478" s="64"/>
      <c r="AY478" s="64"/>
      <c r="AZ478" s="64"/>
      <c r="BA478" s="64"/>
      <c r="BB478" s="64"/>
      <c r="BC478" s="64"/>
      <c r="BD478" s="64"/>
      <c r="BE478" s="64"/>
      <c r="BF478" s="64"/>
      <c r="BG478" s="64"/>
      <c r="BH478" s="64"/>
      <c r="BI478" s="64"/>
      <c r="BJ478" s="64"/>
      <c r="BK478" s="64"/>
      <c r="BL478" s="64"/>
    </row>
    <row r="479" spans="48:64" x14ac:dyDescent="0.25">
      <c r="AV479" s="64"/>
      <c r="AW479" s="64"/>
      <c r="AX479" s="64"/>
      <c r="AY479" s="64"/>
      <c r="AZ479" s="64"/>
      <c r="BA479" s="64"/>
      <c r="BB479" s="64"/>
      <c r="BC479" s="64"/>
      <c r="BD479" s="64"/>
      <c r="BE479" s="64"/>
      <c r="BF479" s="64"/>
      <c r="BG479" s="64"/>
      <c r="BH479" s="64"/>
      <c r="BI479" s="64"/>
      <c r="BJ479" s="64"/>
      <c r="BK479" s="64"/>
      <c r="BL479" s="64"/>
    </row>
    <row r="480" spans="48:64" x14ac:dyDescent="0.25">
      <c r="AV480" s="64"/>
      <c r="AW480" s="64"/>
      <c r="AX480" s="64"/>
      <c r="AY480" s="64"/>
      <c r="AZ480" s="64"/>
      <c r="BA480" s="64"/>
      <c r="BB480" s="64"/>
      <c r="BC480" s="64"/>
      <c r="BD480" s="64"/>
      <c r="BE480" s="64"/>
      <c r="BF480" s="64"/>
      <c r="BG480" s="64"/>
      <c r="BH480" s="64"/>
      <c r="BI480" s="64"/>
      <c r="BJ480" s="64"/>
      <c r="BK480" s="64"/>
      <c r="BL480" s="64"/>
    </row>
    <row r="481" spans="48:64" x14ac:dyDescent="0.25">
      <c r="AV481" s="64"/>
      <c r="AW481" s="64"/>
      <c r="AX481" s="64"/>
      <c r="AY481" s="64"/>
      <c r="AZ481" s="64"/>
      <c r="BA481" s="64"/>
      <c r="BB481" s="64"/>
      <c r="BC481" s="64"/>
      <c r="BD481" s="64"/>
      <c r="BE481" s="64"/>
      <c r="BF481" s="64"/>
      <c r="BG481" s="64"/>
      <c r="BH481" s="64"/>
      <c r="BI481" s="64"/>
      <c r="BJ481" s="64"/>
      <c r="BK481" s="64"/>
      <c r="BL481" s="64"/>
    </row>
    <row r="482" spans="48:64" x14ac:dyDescent="0.25">
      <c r="AV482" s="64"/>
      <c r="AW482" s="64"/>
      <c r="AX482" s="64"/>
      <c r="AY482" s="64"/>
      <c r="AZ482" s="64"/>
      <c r="BA482" s="64"/>
      <c r="BB482" s="64"/>
      <c r="BC482" s="64"/>
      <c r="BD482" s="64"/>
      <c r="BE482" s="64"/>
      <c r="BF482" s="64"/>
      <c r="BG482" s="64"/>
      <c r="BH482" s="64"/>
      <c r="BI482" s="64"/>
      <c r="BJ482" s="64"/>
      <c r="BK482" s="64"/>
      <c r="BL482" s="64"/>
    </row>
    <row r="483" spans="48:64" x14ac:dyDescent="0.25">
      <c r="AV483" s="64"/>
      <c r="AW483" s="64"/>
      <c r="AX483" s="64"/>
      <c r="AY483" s="64"/>
      <c r="AZ483" s="64"/>
      <c r="BA483" s="64"/>
      <c r="BB483" s="64"/>
      <c r="BC483" s="64"/>
      <c r="BD483" s="64"/>
      <c r="BE483" s="64"/>
      <c r="BF483" s="64"/>
      <c r="BG483" s="64"/>
      <c r="BH483" s="64"/>
      <c r="BI483" s="64"/>
      <c r="BJ483" s="64"/>
      <c r="BK483" s="64"/>
      <c r="BL483" s="64"/>
    </row>
    <row r="484" spans="48:64" x14ac:dyDescent="0.25">
      <c r="AV484" s="64"/>
      <c r="AW484" s="64"/>
      <c r="AX484" s="64"/>
      <c r="AY484" s="64"/>
      <c r="AZ484" s="64"/>
      <c r="BA484" s="64"/>
      <c r="BB484" s="64"/>
      <c r="BC484" s="64"/>
      <c r="BD484" s="64"/>
      <c r="BE484" s="64"/>
      <c r="BF484" s="64"/>
      <c r="BG484" s="64"/>
      <c r="BH484" s="64"/>
      <c r="BI484" s="64"/>
      <c r="BJ484" s="64"/>
      <c r="BK484" s="64"/>
      <c r="BL484" s="64"/>
    </row>
    <row r="485" spans="48:64" x14ac:dyDescent="0.25">
      <c r="AV485" s="64"/>
      <c r="AW485" s="64"/>
      <c r="AX485" s="64"/>
      <c r="AY485" s="64"/>
      <c r="AZ485" s="64"/>
      <c r="BA485" s="64"/>
      <c r="BB485" s="64"/>
      <c r="BC485" s="64"/>
      <c r="BD485" s="64"/>
      <c r="BE485" s="64"/>
      <c r="BF485" s="64"/>
      <c r="BG485" s="64"/>
      <c r="BH485" s="64"/>
      <c r="BI485" s="64"/>
      <c r="BJ485" s="64"/>
      <c r="BK485" s="64"/>
      <c r="BL485" s="64"/>
    </row>
    <row r="486" spans="48:64" x14ac:dyDescent="0.25">
      <c r="AV486" s="64"/>
      <c r="AW486" s="64"/>
      <c r="AX486" s="64"/>
      <c r="AY486" s="64"/>
      <c r="AZ486" s="64"/>
      <c r="BA486" s="64"/>
      <c r="BB486" s="64"/>
      <c r="BC486" s="64"/>
      <c r="BD486" s="64"/>
      <c r="BE486" s="64"/>
      <c r="BF486" s="64"/>
      <c r="BG486" s="64"/>
      <c r="BH486" s="64"/>
      <c r="BI486" s="64"/>
      <c r="BJ486" s="64"/>
      <c r="BK486" s="64"/>
      <c r="BL486" s="64"/>
    </row>
    <row r="487" spans="48:64" x14ac:dyDescent="0.25">
      <c r="AV487" s="64"/>
      <c r="AW487" s="64"/>
      <c r="AX487" s="64"/>
      <c r="AY487" s="64"/>
      <c r="AZ487" s="64"/>
      <c r="BA487" s="64"/>
      <c r="BB487" s="64"/>
      <c r="BC487" s="64"/>
      <c r="BD487" s="64"/>
      <c r="BE487" s="64"/>
      <c r="BF487" s="64"/>
      <c r="BG487" s="64"/>
      <c r="BH487" s="64"/>
      <c r="BI487" s="64"/>
      <c r="BJ487" s="64"/>
      <c r="BK487" s="64"/>
      <c r="BL487" s="64"/>
    </row>
    <row r="488" spans="48:64" x14ac:dyDescent="0.25">
      <c r="AV488" s="64"/>
      <c r="AW488" s="64"/>
      <c r="AX488" s="64"/>
      <c r="AY488" s="64"/>
      <c r="AZ488" s="64"/>
      <c r="BA488" s="64"/>
      <c r="BB488" s="64"/>
      <c r="BC488" s="64"/>
      <c r="BD488" s="64"/>
      <c r="BE488" s="64"/>
      <c r="BF488" s="64"/>
      <c r="BG488" s="64"/>
      <c r="BH488" s="64"/>
      <c r="BI488" s="64"/>
      <c r="BJ488" s="64"/>
      <c r="BK488" s="64"/>
      <c r="BL488" s="64"/>
    </row>
    <row r="489" spans="48:64" x14ac:dyDescent="0.25">
      <c r="AV489" s="64"/>
      <c r="AW489" s="64"/>
      <c r="AX489" s="64"/>
      <c r="AY489" s="64"/>
      <c r="AZ489" s="64"/>
      <c r="BA489" s="64"/>
      <c r="BB489" s="64"/>
      <c r="BC489" s="64"/>
      <c r="BD489" s="64"/>
      <c r="BE489" s="64"/>
      <c r="BF489" s="64"/>
      <c r="BG489" s="64"/>
      <c r="BH489" s="64"/>
      <c r="BI489" s="64"/>
      <c r="BJ489" s="64"/>
      <c r="BK489" s="64"/>
      <c r="BL489" s="64"/>
    </row>
    <row r="490" spans="48:64" x14ac:dyDescent="0.25">
      <c r="AV490" s="64"/>
      <c r="AW490" s="64"/>
      <c r="AX490" s="64"/>
      <c r="AY490" s="64"/>
      <c r="AZ490" s="64"/>
      <c r="BA490" s="64"/>
      <c r="BB490" s="64"/>
      <c r="BC490" s="64"/>
      <c r="BD490" s="64"/>
      <c r="BE490" s="64"/>
      <c r="BF490" s="64"/>
      <c r="BG490" s="64"/>
      <c r="BH490" s="64"/>
      <c r="BI490" s="64"/>
      <c r="BJ490" s="64"/>
      <c r="BK490" s="64"/>
      <c r="BL490" s="64"/>
    </row>
    <row r="491" spans="48:64" x14ac:dyDescent="0.25">
      <c r="AV491" s="64"/>
      <c r="AW491" s="64"/>
      <c r="AX491" s="64"/>
      <c r="AY491" s="64"/>
      <c r="AZ491" s="64"/>
      <c r="BA491" s="64"/>
      <c r="BB491" s="64"/>
      <c r="BC491" s="64"/>
      <c r="BD491" s="64"/>
      <c r="BE491" s="64"/>
      <c r="BF491" s="64"/>
      <c r="BG491" s="64"/>
      <c r="BH491" s="64"/>
      <c r="BI491" s="64"/>
      <c r="BJ491" s="64"/>
      <c r="BK491" s="64"/>
      <c r="BL491" s="64"/>
    </row>
    <row r="492" spans="48:64" x14ac:dyDescent="0.25">
      <c r="AV492" s="64"/>
      <c r="AW492" s="64"/>
      <c r="AX492" s="64"/>
      <c r="AY492" s="64"/>
      <c r="AZ492" s="64"/>
      <c r="BA492" s="64"/>
      <c r="BB492" s="64"/>
      <c r="BC492" s="64"/>
      <c r="BD492" s="64"/>
      <c r="BE492" s="64"/>
      <c r="BF492" s="64"/>
      <c r="BG492" s="64"/>
      <c r="BH492" s="64"/>
      <c r="BI492" s="64"/>
      <c r="BJ492" s="64"/>
      <c r="BK492" s="64"/>
      <c r="BL492" s="64"/>
    </row>
    <row r="493" spans="48:64" x14ac:dyDescent="0.25">
      <c r="AV493" s="64"/>
      <c r="AW493" s="64"/>
      <c r="AX493" s="64"/>
      <c r="AY493" s="64"/>
      <c r="AZ493" s="64"/>
      <c r="BA493" s="64"/>
      <c r="BB493" s="64"/>
      <c r="BC493" s="64"/>
      <c r="BD493" s="64"/>
      <c r="BE493" s="64"/>
      <c r="BF493" s="64"/>
      <c r="BG493" s="64"/>
      <c r="BH493" s="64"/>
      <c r="BI493" s="64"/>
      <c r="BJ493" s="64"/>
      <c r="BK493" s="64"/>
      <c r="BL493" s="64"/>
    </row>
    <row r="494" spans="48:64" x14ac:dyDescent="0.25">
      <c r="AV494" s="64"/>
      <c r="AW494" s="64"/>
      <c r="AX494" s="64"/>
      <c r="AY494" s="64"/>
      <c r="AZ494" s="64"/>
      <c r="BA494" s="64"/>
      <c r="BB494" s="64"/>
      <c r="BC494" s="64"/>
      <c r="BD494" s="64"/>
      <c r="BE494" s="64"/>
      <c r="BF494" s="64"/>
      <c r="BG494" s="64"/>
      <c r="BH494" s="64"/>
      <c r="BI494" s="64"/>
      <c r="BJ494" s="64"/>
      <c r="BK494" s="64"/>
      <c r="BL494" s="64"/>
    </row>
    <row r="495" spans="48:64" x14ac:dyDescent="0.25">
      <c r="AV495" s="64"/>
      <c r="AW495" s="64"/>
      <c r="AX495" s="64"/>
      <c r="AY495" s="64"/>
      <c r="AZ495" s="64"/>
      <c r="BA495" s="64"/>
      <c r="BB495" s="64"/>
      <c r="BC495" s="64"/>
      <c r="BD495" s="64"/>
      <c r="BE495" s="64"/>
      <c r="BF495" s="64"/>
      <c r="BG495" s="64"/>
      <c r="BH495" s="64"/>
      <c r="BI495" s="64"/>
      <c r="BJ495" s="64"/>
      <c r="BK495" s="64"/>
      <c r="BL495" s="64"/>
    </row>
    <row r="496" spans="48:64" x14ac:dyDescent="0.25">
      <c r="AV496" s="64"/>
      <c r="AW496" s="64"/>
      <c r="AX496" s="64"/>
      <c r="AY496" s="64"/>
      <c r="AZ496" s="64"/>
      <c r="BA496" s="64"/>
      <c r="BB496" s="64"/>
      <c r="BC496" s="64"/>
      <c r="BD496" s="64"/>
      <c r="BE496" s="64"/>
      <c r="BF496" s="64"/>
      <c r="BG496" s="64"/>
      <c r="BH496" s="64"/>
      <c r="BI496" s="64"/>
      <c r="BJ496" s="64"/>
      <c r="BK496" s="64"/>
      <c r="BL496" s="64"/>
    </row>
    <row r="497" spans="48:64" x14ac:dyDescent="0.25">
      <c r="AV497" s="64"/>
      <c r="AW497" s="64"/>
      <c r="AX497" s="64"/>
      <c r="AY497" s="64"/>
      <c r="AZ497" s="64"/>
      <c r="BA497" s="64"/>
      <c r="BB497" s="64"/>
      <c r="BC497" s="64"/>
      <c r="BD497" s="64"/>
      <c r="BE497" s="64"/>
      <c r="BF497" s="64"/>
      <c r="BG497" s="64"/>
      <c r="BH497" s="64"/>
      <c r="BI497" s="64"/>
      <c r="BJ497" s="64"/>
      <c r="BK497" s="64"/>
      <c r="BL497" s="64"/>
    </row>
    <row r="498" spans="48:64" x14ac:dyDescent="0.25">
      <c r="AV498" s="64"/>
      <c r="AW498" s="64"/>
      <c r="AX498" s="64"/>
      <c r="AY498" s="64"/>
      <c r="AZ498" s="64"/>
      <c r="BA498" s="64"/>
      <c r="BB498" s="64"/>
      <c r="BC498" s="64"/>
      <c r="BD498" s="64"/>
      <c r="BE498" s="64"/>
      <c r="BF498" s="64"/>
      <c r="BG498" s="64"/>
      <c r="BH498" s="64"/>
      <c r="BI498" s="64"/>
      <c r="BJ498" s="64"/>
      <c r="BK498" s="64"/>
      <c r="BL498" s="64"/>
    </row>
    <row r="499" spans="48:64" x14ac:dyDescent="0.25">
      <c r="AV499" s="64"/>
      <c r="AW499" s="64"/>
      <c r="AX499" s="64"/>
      <c r="AY499" s="64"/>
      <c r="AZ499" s="64"/>
      <c r="BA499" s="64"/>
      <c r="BB499" s="64"/>
      <c r="BC499" s="64"/>
      <c r="BD499" s="64"/>
      <c r="BE499" s="64"/>
      <c r="BF499" s="64"/>
      <c r="BG499" s="64"/>
      <c r="BH499" s="64"/>
      <c r="BI499" s="64"/>
      <c r="BJ499" s="64"/>
      <c r="BK499" s="64"/>
      <c r="BL499" s="64"/>
    </row>
    <row r="500" spans="48:64" x14ac:dyDescent="0.25">
      <c r="AV500" s="64"/>
      <c r="AW500" s="64"/>
      <c r="AX500" s="64"/>
      <c r="AY500" s="64"/>
      <c r="AZ500" s="64"/>
      <c r="BA500" s="64"/>
      <c r="BB500" s="64"/>
      <c r="BC500" s="64"/>
      <c r="BD500" s="64"/>
      <c r="BE500" s="64"/>
      <c r="BF500" s="64"/>
      <c r="BG500" s="64"/>
      <c r="BH500" s="64"/>
      <c r="BI500" s="64"/>
      <c r="BJ500" s="64"/>
      <c r="BK500" s="64"/>
      <c r="BL500" s="64"/>
    </row>
    <row r="501" spans="48:64" x14ac:dyDescent="0.25">
      <c r="AV501" s="64"/>
      <c r="AW501" s="64"/>
      <c r="AX501" s="64"/>
      <c r="AY501" s="64"/>
      <c r="AZ501" s="64"/>
      <c r="BA501" s="64"/>
      <c r="BB501" s="64"/>
      <c r="BC501" s="64"/>
      <c r="BD501" s="64"/>
      <c r="BE501" s="64"/>
      <c r="BF501" s="64"/>
      <c r="BG501" s="64"/>
      <c r="BH501" s="64"/>
      <c r="BI501" s="64"/>
      <c r="BJ501" s="64"/>
      <c r="BK501" s="64"/>
      <c r="BL501" s="64"/>
    </row>
    <row r="502" spans="48:64" x14ac:dyDescent="0.25">
      <c r="AV502" s="64"/>
      <c r="AW502" s="64"/>
      <c r="AX502" s="64"/>
      <c r="AY502" s="64"/>
      <c r="AZ502" s="64"/>
      <c r="BA502" s="64"/>
      <c r="BB502" s="64"/>
      <c r="BC502" s="64"/>
      <c r="BD502" s="64"/>
      <c r="BE502" s="64"/>
      <c r="BF502" s="64"/>
      <c r="BG502" s="64"/>
      <c r="BH502" s="64"/>
      <c r="BI502" s="64"/>
      <c r="BJ502" s="64"/>
      <c r="BK502" s="64"/>
      <c r="BL502" s="64"/>
    </row>
    <row r="503" spans="48:64" x14ac:dyDescent="0.25">
      <c r="AV503" s="64"/>
      <c r="AW503" s="64"/>
      <c r="AX503" s="64"/>
      <c r="AY503" s="64"/>
      <c r="AZ503" s="64"/>
      <c r="BA503" s="64"/>
      <c r="BB503" s="64"/>
      <c r="BC503" s="64"/>
      <c r="BD503" s="64"/>
      <c r="BE503" s="64"/>
      <c r="BF503" s="64"/>
      <c r="BG503" s="64"/>
      <c r="BH503" s="64"/>
      <c r="BI503" s="64"/>
      <c r="BJ503" s="64"/>
      <c r="BK503" s="64"/>
      <c r="BL503" s="64"/>
    </row>
    <row r="504" spans="48:64" x14ac:dyDescent="0.25">
      <c r="AV504" s="64"/>
      <c r="AW504" s="64"/>
      <c r="AX504" s="64"/>
      <c r="AY504" s="64"/>
      <c r="AZ504" s="64"/>
      <c r="BA504" s="64"/>
      <c r="BB504" s="64"/>
      <c r="BC504" s="64"/>
      <c r="BD504" s="64"/>
      <c r="BE504" s="64"/>
      <c r="BF504" s="64"/>
      <c r="BG504" s="64"/>
      <c r="BH504" s="64"/>
      <c r="BI504" s="64"/>
      <c r="BJ504" s="64"/>
      <c r="BK504" s="64"/>
      <c r="BL504" s="64"/>
    </row>
    <row r="505" spans="48:64" x14ac:dyDescent="0.25">
      <c r="AV505" s="64"/>
      <c r="AW505" s="64"/>
      <c r="AX505" s="64"/>
      <c r="AY505" s="64"/>
      <c r="AZ505" s="64"/>
      <c r="BA505" s="64"/>
      <c r="BB505" s="64"/>
      <c r="BC505" s="64"/>
      <c r="BD505" s="64"/>
      <c r="BE505" s="64"/>
      <c r="BF505" s="64"/>
      <c r="BG505" s="64"/>
      <c r="BH505" s="64"/>
      <c r="BI505" s="64"/>
      <c r="BJ505" s="64"/>
      <c r="BK505" s="64"/>
      <c r="BL505" s="64"/>
    </row>
    <row r="506" spans="48:64" x14ac:dyDescent="0.25">
      <c r="AV506" s="64"/>
      <c r="AW506" s="64"/>
      <c r="AX506" s="64"/>
      <c r="AY506" s="64"/>
      <c r="AZ506" s="64"/>
      <c r="BA506" s="64"/>
      <c r="BB506" s="64"/>
      <c r="BC506" s="64"/>
      <c r="BD506" s="64"/>
      <c r="BE506" s="64"/>
      <c r="BF506" s="64"/>
      <c r="BG506" s="64"/>
      <c r="BH506" s="64"/>
      <c r="BI506" s="64"/>
      <c r="BJ506" s="64"/>
      <c r="BK506" s="64"/>
      <c r="BL506" s="64"/>
    </row>
    <row r="507" spans="48:64" x14ac:dyDescent="0.25">
      <c r="AV507" s="64"/>
      <c r="AW507" s="64"/>
      <c r="AX507" s="64"/>
      <c r="AY507" s="64"/>
      <c r="AZ507" s="64"/>
      <c r="BA507" s="64"/>
      <c r="BB507" s="64"/>
      <c r="BC507" s="64"/>
      <c r="BD507" s="64"/>
      <c r="BE507" s="64"/>
      <c r="BF507" s="64"/>
      <c r="BG507" s="64"/>
      <c r="BH507" s="64"/>
      <c r="BI507" s="64"/>
      <c r="BJ507" s="64"/>
      <c r="BK507" s="64"/>
      <c r="BL507" s="64"/>
    </row>
    <row r="508" spans="48:64" x14ac:dyDescent="0.25">
      <c r="AV508" s="64"/>
      <c r="AW508" s="64"/>
      <c r="AX508" s="64"/>
      <c r="AY508" s="64"/>
      <c r="AZ508" s="64"/>
      <c r="BA508" s="64"/>
      <c r="BB508" s="64"/>
      <c r="BC508" s="64"/>
      <c r="BD508" s="64"/>
      <c r="BE508" s="64"/>
      <c r="BF508" s="64"/>
      <c r="BG508" s="64"/>
      <c r="BH508" s="64"/>
      <c r="BI508" s="64"/>
      <c r="BJ508" s="64"/>
      <c r="BK508" s="64"/>
      <c r="BL508" s="64"/>
    </row>
    <row r="509" spans="48:64" x14ac:dyDescent="0.25">
      <c r="AV509" s="64"/>
      <c r="AW509" s="64"/>
      <c r="AX509" s="64"/>
      <c r="AY509" s="64"/>
      <c r="AZ509" s="64"/>
      <c r="BA509" s="64"/>
      <c r="BB509" s="64"/>
      <c r="BC509" s="64"/>
      <c r="BD509" s="64"/>
      <c r="BE509" s="64"/>
      <c r="BF509" s="64"/>
      <c r="BG509" s="64"/>
      <c r="BH509" s="64"/>
      <c r="BI509" s="64"/>
      <c r="BJ509" s="64"/>
      <c r="BK509" s="64"/>
      <c r="BL509" s="64"/>
    </row>
    <row r="510" spans="48:64" x14ac:dyDescent="0.25">
      <c r="AV510" s="64"/>
      <c r="AW510" s="64"/>
      <c r="AX510" s="64"/>
      <c r="AY510" s="64"/>
      <c r="AZ510" s="64"/>
      <c r="BA510" s="64"/>
      <c r="BB510" s="64"/>
      <c r="BC510" s="64"/>
      <c r="BD510" s="64"/>
      <c r="BE510" s="64"/>
      <c r="BF510" s="64"/>
      <c r="BG510" s="64"/>
      <c r="BH510" s="64"/>
      <c r="BI510" s="64"/>
      <c r="BJ510" s="64"/>
      <c r="BK510" s="64"/>
      <c r="BL510" s="64"/>
    </row>
    <row r="511" spans="48:64" x14ac:dyDescent="0.25">
      <c r="AV511" s="64"/>
      <c r="AW511" s="64"/>
      <c r="AX511" s="64"/>
      <c r="AY511" s="64"/>
      <c r="AZ511" s="64"/>
      <c r="BA511" s="64"/>
      <c r="BB511" s="64"/>
      <c r="BC511" s="64"/>
      <c r="BD511" s="64"/>
      <c r="BE511" s="64"/>
      <c r="BF511" s="64"/>
      <c r="BG511" s="64"/>
      <c r="BH511" s="64"/>
      <c r="BI511" s="64"/>
      <c r="BJ511" s="64"/>
      <c r="BK511" s="64"/>
      <c r="BL511" s="64"/>
    </row>
    <row r="512" spans="48:64" x14ac:dyDescent="0.25">
      <c r="AV512" s="64"/>
      <c r="AW512" s="64"/>
      <c r="AX512" s="64"/>
      <c r="AY512" s="64"/>
      <c r="AZ512" s="64"/>
      <c r="BA512" s="64"/>
      <c r="BB512" s="64"/>
      <c r="BC512" s="64"/>
      <c r="BD512" s="64"/>
      <c r="BE512" s="64"/>
      <c r="BF512" s="64"/>
      <c r="BG512" s="64"/>
      <c r="BH512" s="64"/>
      <c r="BI512" s="64"/>
      <c r="BJ512" s="64"/>
      <c r="BK512" s="64"/>
      <c r="BL512" s="64"/>
    </row>
    <row r="513" spans="48:64" x14ac:dyDescent="0.25">
      <c r="AV513" s="64"/>
      <c r="AW513" s="64"/>
      <c r="AX513" s="64"/>
      <c r="AY513" s="64"/>
      <c r="AZ513" s="64"/>
      <c r="BA513" s="64"/>
      <c r="BB513" s="64"/>
      <c r="BC513" s="64"/>
      <c r="BD513" s="64"/>
      <c r="BE513" s="64"/>
      <c r="BF513" s="64"/>
      <c r="BG513" s="64"/>
      <c r="BH513" s="64"/>
      <c r="BI513" s="64"/>
      <c r="BJ513" s="64"/>
      <c r="BK513" s="64"/>
      <c r="BL513" s="64"/>
    </row>
    <row r="514" spans="48:64" x14ac:dyDescent="0.25">
      <c r="AV514" s="64"/>
      <c r="AW514" s="64"/>
      <c r="AX514" s="64"/>
      <c r="AY514" s="64"/>
      <c r="AZ514" s="64"/>
      <c r="BA514" s="64"/>
      <c r="BB514" s="64"/>
      <c r="BC514" s="64"/>
      <c r="BD514" s="64"/>
      <c r="BE514" s="64"/>
      <c r="BF514" s="64"/>
      <c r="BG514" s="64"/>
      <c r="BH514" s="64"/>
      <c r="BI514" s="64"/>
      <c r="BJ514" s="64"/>
      <c r="BK514" s="64"/>
      <c r="BL514" s="64"/>
    </row>
    <row r="515" spans="48:64" x14ac:dyDescent="0.25">
      <c r="AV515" s="64"/>
      <c r="AW515" s="64"/>
      <c r="AX515" s="64"/>
      <c r="AY515" s="64"/>
      <c r="AZ515" s="64"/>
      <c r="BA515" s="64"/>
      <c r="BB515" s="64"/>
      <c r="BC515" s="64"/>
      <c r="BD515" s="64"/>
      <c r="BE515" s="64"/>
      <c r="BF515" s="64"/>
      <c r="BG515" s="64"/>
      <c r="BH515" s="64"/>
      <c r="BI515" s="64"/>
      <c r="BJ515" s="64"/>
      <c r="BK515" s="64"/>
      <c r="BL515" s="64"/>
    </row>
    <row r="516" spans="48:64" x14ac:dyDescent="0.25">
      <c r="AV516" s="64"/>
      <c r="AW516" s="64"/>
      <c r="AX516" s="64"/>
      <c r="AY516" s="64"/>
      <c r="AZ516" s="64"/>
      <c r="BA516" s="64"/>
      <c r="BB516" s="64"/>
      <c r="BC516" s="64"/>
      <c r="BD516" s="64"/>
      <c r="BE516" s="64"/>
      <c r="BF516" s="64"/>
      <c r="BG516" s="64"/>
      <c r="BH516" s="64"/>
      <c r="BI516" s="64"/>
      <c r="BJ516" s="64"/>
      <c r="BK516" s="64"/>
      <c r="BL516" s="64"/>
    </row>
    <row r="517" spans="48:64" x14ac:dyDescent="0.25">
      <c r="AV517" s="64"/>
      <c r="AW517" s="64"/>
      <c r="AX517" s="64"/>
      <c r="AY517" s="64"/>
      <c r="AZ517" s="64"/>
      <c r="BA517" s="64"/>
      <c r="BB517" s="64"/>
      <c r="BC517" s="64"/>
      <c r="BD517" s="64"/>
      <c r="BE517" s="64"/>
      <c r="BF517" s="64"/>
      <c r="BG517" s="64"/>
      <c r="BH517" s="64"/>
      <c r="BI517" s="64"/>
      <c r="BJ517" s="64"/>
      <c r="BK517" s="64"/>
      <c r="BL517" s="64"/>
    </row>
    <row r="518" spans="48:64" x14ac:dyDescent="0.25">
      <c r="AV518" s="64"/>
      <c r="AW518" s="64"/>
      <c r="AX518" s="64"/>
      <c r="AY518" s="64"/>
      <c r="AZ518" s="64"/>
      <c r="BA518" s="64"/>
      <c r="BB518" s="64"/>
      <c r="BC518" s="64"/>
      <c r="BD518" s="64"/>
      <c r="BE518" s="64"/>
      <c r="BF518" s="64"/>
      <c r="BG518" s="64"/>
      <c r="BH518" s="64"/>
      <c r="BI518" s="64"/>
      <c r="BJ518" s="64"/>
      <c r="BK518" s="64"/>
      <c r="BL518" s="64"/>
    </row>
    <row r="519" spans="48:64" x14ac:dyDescent="0.25">
      <c r="AV519" s="64"/>
      <c r="AW519" s="64"/>
      <c r="AX519" s="64"/>
      <c r="AY519" s="64"/>
      <c r="AZ519" s="64"/>
      <c r="BA519" s="64"/>
      <c r="BB519" s="64"/>
      <c r="BC519" s="64"/>
      <c r="BD519" s="64"/>
      <c r="BE519" s="64"/>
      <c r="BF519" s="64"/>
      <c r="BG519" s="64"/>
      <c r="BH519" s="64"/>
      <c r="BI519" s="64"/>
      <c r="BJ519" s="64"/>
      <c r="BK519" s="64"/>
      <c r="BL519" s="64"/>
    </row>
    <row r="520" spans="48:64" x14ac:dyDescent="0.25">
      <c r="AV520" s="64"/>
      <c r="AW520" s="64"/>
      <c r="AX520" s="64"/>
      <c r="AY520" s="64"/>
      <c r="AZ520" s="64"/>
      <c r="BA520" s="64"/>
      <c r="BB520" s="64"/>
      <c r="BC520" s="64"/>
      <c r="BD520" s="64"/>
      <c r="BE520" s="64"/>
      <c r="BF520" s="64"/>
      <c r="BG520" s="64"/>
      <c r="BH520" s="64"/>
      <c r="BI520" s="64"/>
      <c r="BJ520" s="64"/>
      <c r="BK520" s="64"/>
      <c r="BL520" s="64"/>
    </row>
    <row r="521" spans="48:64" x14ac:dyDescent="0.25">
      <c r="AV521" s="64"/>
      <c r="AW521" s="64"/>
      <c r="AX521" s="64"/>
      <c r="AY521" s="64"/>
      <c r="AZ521" s="64"/>
      <c r="BA521" s="64"/>
      <c r="BB521" s="64"/>
      <c r="BC521" s="64"/>
      <c r="BD521" s="64"/>
      <c r="BE521" s="64"/>
      <c r="BF521" s="64"/>
      <c r="BG521" s="64"/>
      <c r="BH521" s="64"/>
      <c r="BI521" s="64"/>
      <c r="BJ521" s="64"/>
      <c r="BK521" s="64"/>
      <c r="BL521" s="64"/>
    </row>
    <row r="522" spans="48:64" x14ac:dyDescent="0.25">
      <c r="AV522" s="64"/>
      <c r="AW522" s="64"/>
      <c r="AX522" s="64"/>
      <c r="AY522" s="64"/>
      <c r="AZ522" s="64"/>
      <c r="BA522" s="64"/>
      <c r="BB522" s="64"/>
      <c r="BC522" s="64"/>
      <c r="BD522" s="64"/>
      <c r="BE522" s="64"/>
      <c r="BF522" s="64"/>
      <c r="BG522" s="64"/>
      <c r="BH522" s="64"/>
      <c r="BI522" s="64"/>
      <c r="BJ522" s="64"/>
      <c r="BK522" s="64"/>
      <c r="BL522" s="64"/>
    </row>
    <row r="523" spans="48:64" x14ac:dyDescent="0.25">
      <c r="AV523" s="64"/>
      <c r="AW523" s="64"/>
      <c r="AX523" s="64"/>
      <c r="AY523" s="64"/>
      <c r="AZ523" s="64"/>
      <c r="BA523" s="64"/>
      <c r="BB523" s="64"/>
      <c r="BC523" s="64"/>
      <c r="BD523" s="64"/>
      <c r="BE523" s="64"/>
      <c r="BF523" s="64"/>
      <c r="BG523" s="64"/>
      <c r="BH523" s="64"/>
      <c r="BI523" s="64"/>
      <c r="BJ523" s="64"/>
      <c r="BK523" s="64"/>
      <c r="BL523" s="64"/>
    </row>
    <row r="524" spans="48:64" x14ac:dyDescent="0.25">
      <c r="AV524" s="64"/>
      <c r="AW524" s="64"/>
      <c r="AX524" s="64"/>
      <c r="AY524" s="64"/>
      <c r="AZ524" s="64"/>
      <c r="BA524" s="64"/>
      <c r="BB524" s="64"/>
      <c r="BC524" s="64"/>
      <c r="BD524" s="64"/>
      <c r="BE524" s="64"/>
      <c r="BF524" s="64"/>
      <c r="BG524" s="64"/>
      <c r="BH524" s="64"/>
      <c r="BI524" s="64"/>
      <c r="BJ524" s="64"/>
      <c r="BK524" s="64"/>
      <c r="BL524" s="64"/>
    </row>
    <row r="525" spans="48:64" x14ac:dyDescent="0.25">
      <c r="AV525" s="64"/>
      <c r="AW525" s="64"/>
      <c r="AX525" s="64"/>
      <c r="AY525" s="64"/>
      <c r="AZ525" s="64"/>
      <c r="BA525" s="64"/>
      <c r="BB525" s="64"/>
      <c r="BC525" s="64"/>
      <c r="BD525" s="64"/>
      <c r="BE525" s="64"/>
      <c r="BF525" s="64"/>
      <c r="BG525" s="64"/>
      <c r="BH525" s="64"/>
      <c r="BI525" s="64"/>
      <c r="BJ525" s="64"/>
      <c r="BK525" s="64"/>
      <c r="BL525" s="64"/>
    </row>
    <row r="526" spans="48:64" x14ac:dyDescent="0.25">
      <c r="AV526" s="64"/>
      <c r="AW526" s="64"/>
      <c r="AX526" s="64"/>
      <c r="AY526" s="64"/>
      <c r="AZ526" s="64"/>
      <c r="BA526" s="64"/>
      <c r="BB526" s="64"/>
      <c r="BC526" s="64"/>
      <c r="BD526" s="64"/>
      <c r="BE526" s="64"/>
      <c r="BF526" s="64"/>
      <c r="BG526" s="64"/>
      <c r="BH526" s="64"/>
      <c r="BI526" s="64"/>
      <c r="BJ526" s="64"/>
      <c r="BK526" s="64"/>
      <c r="BL526" s="64"/>
    </row>
    <row r="527" spans="48:64" x14ac:dyDescent="0.25">
      <c r="AV527" s="64"/>
      <c r="AW527" s="64"/>
      <c r="AX527" s="64"/>
      <c r="AY527" s="64"/>
      <c r="AZ527" s="64"/>
      <c r="BA527" s="64"/>
      <c r="BB527" s="64"/>
      <c r="BC527" s="64"/>
      <c r="BD527" s="64"/>
      <c r="BE527" s="64"/>
      <c r="BF527" s="64"/>
      <c r="BG527" s="64"/>
      <c r="BH527" s="64"/>
      <c r="BI527" s="64"/>
      <c r="BJ527" s="64"/>
      <c r="BK527" s="64"/>
      <c r="BL527" s="64"/>
    </row>
    <row r="528" spans="48:64" x14ac:dyDescent="0.25">
      <c r="AV528" s="64"/>
      <c r="AW528" s="64"/>
      <c r="AX528" s="64"/>
      <c r="AY528" s="64"/>
      <c r="AZ528" s="64"/>
      <c r="BA528" s="64"/>
      <c r="BB528" s="64"/>
      <c r="BC528" s="64"/>
      <c r="BD528" s="64"/>
      <c r="BE528" s="64"/>
      <c r="BF528" s="64"/>
      <c r="BG528" s="64"/>
      <c r="BH528" s="64"/>
      <c r="BI528" s="64"/>
      <c r="BJ528" s="64"/>
      <c r="BK528" s="64"/>
      <c r="BL528" s="64"/>
    </row>
    <row r="529" spans="48:64" x14ac:dyDescent="0.25">
      <c r="AV529" s="64"/>
      <c r="AW529" s="64"/>
      <c r="AX529" s="64"/>
      <c r="AY529" s="64"/>
      <c r="AZ529" s="64"/>
      <c r="BA529" s="64"/>
      <c r="BB529" s="64"/>
      <c r="BC529" s="64"/>
      <c r="BD529" s="64"/>
      <c r="BE529" s="64"/>
      <c r="BF529" s="64"/>
      <c r="BG529" s="64"/>
      <c r="BH529" s="64"/>
      <c r="BI529" s="64"/>
      <c r="BJ529" s="64"/>
      <c r="BK529" s="64"/>
      <c r="BL529" s="64"/>
    </row>
    <row r="530" spans="48:64" x14ac:dyDescent="0.25">
      <c r="AV530" s="64"/>
      <c r="AW530" s="64"/>
      <c r="AX530" s="64"/>
      <c r="AY530" s="64"/>
      <c r="AZ530" s="64"/>
      <c r="BA530" s="64"/>
      <c r="BB530" s="64"/>
      <c r="BC530" s="64"/>
      <c r="BD530" s="64"/>
      <c r="BE530" s="64"/>
      <c r="BF530" s="64"/>
      <c r="BG530" s="64"/>
      <c r="BH530" s="64"/>
      <c r="BI530" s="64"/>
      <c r="BJ530" s="64"/>
      <c r="BK530" s="64"/>
      <c r="BL530" s="64"/>
    </row>
    <row r="531" spans="48:64" x14ac:dyDescent="0.25">
      <c r="AV531" s="64"/>
      <c r="AW531" s="64"/>
      <c r="AX531" s="64"/>
      <c r="AY531" s="64"/>
      <c r="AZ531" s="64"/>
      <c r="BA531" s="64"/>
      <c r="BB531" s="64"/>
      <c r="BC531" s="64"/>
      <c r="BD531" s="64"/>
      <c r="BE531" s="64"/>
      <c r="BF531" s="64"/>
      <c r="BG531" s="64"/>
      <c r="BH531" s="64"/>
      <c r="BI531" s="64"/>
      <c r="BJ531" s="64"/>
      <c r="BK531" s="64"/>
      <c r="BL531" s="64"/>
    </row>
    <row r="532" spans="48:64" x14ac:dyDescent="0.25">
      <c r="AV532" s="64"/>
      <c r="AW532" s="64"/>
      <c r="AX532" s="64"/>
      <c r="AY532" s="64"/>
      <c r="AZ532" s="64"/>
      <c r="BA532" s="64"/>
      <c r="BB532" s="64"/>
      <c r="BC532" s="64"/>
      <c r="BD532" s="64"/>
      <c r="BE532" s="64"/>
      <c r="BF532" s="64"/>
      <c r="BG532" s="64"/>
      <c r="BH532" s="64"/>
      <c r="BI532" s="64"/>
      <c r="BJ532" s="64"/>
      <c r="BK532" s="64"/>
      <c r="BL532" s="64"/>
    </row>
    <row r="533" spans="48:64" x14ac:dyDescent="0.25">
      <c r="AV533" s="64"/>
      <c r="AW533" s="64"/>
      <c r="AX533" s="64"/>
      <c r="AY533" s="64"/>
      <c r="AZ533" s="64"/>
      <c r="BA533" s="64"/>
      <c r="BB533" s="64"/>
      <c r="BC533" s="64"/>
      <c r="BD533" s="64"/>
      <c r="BE533" s="64"/>
      <c r="BF533" s="64"/>
      <c r="BG533" s="64"/>
      <c r="BH533" s="64"/>
      <c r="BI533" s="64"/>
      <c r="BJ533" s="64"/>
      <c r="BK533" s="64"/>
      <c r="BL533" s="64"/>
    </row>
    <row r="534" spans="48:64" x14ac:dyDescent="0.25">
      <c r="AV534" s="64"/>
      <c r="AW534" s="64"/>
      <c r="AX534" s="64"/>
      <c r="AY534" s="64"/>
      <c r="AZ534" s="64"/>
      <c r="BA534" s="64"/>
      <c r="BB534" s="64"/>
      <c r="BC534" s="64"/>
      <c r="BD534" s="64"/>
      <c r="BE534" s="64"/>
      <c r="BF534" s="64"/>
      <c r="BG534" s="64"/>
      <c r="BH534" s="64"/>
      <c r="BI534" s="64"/>
      <c r="BJ534" s="64"/>
      <c r="BK534" s="64"/>
      <c r="BL534" s="64"/>
    </row>
    <row r="535" spans="48:64" x14ac:dyDescent="0.25">
      <c r="AV535" s="64"/>
      <c r="AW535" s="64"/>
      <c r="AX535" s="64"/>
      <c r="AY535" s="64"/>
      <c r="AZ535" s="64"/>
      <c r="BA535" s="64"/>
      <c r="BB535" s="64"/>
      <c r="BC535" s="64"/>
      <c r="BD535" s="64"/>
      <c r="BE535" s="64"/>
      <c r="BF535" s="64"/>
      <c r="BG535" s="64"/>
      <c r="BH535" s="64"/>
      <c r="BI535" s="64"/>
      <c r="BJ535" s="64"/>
      <c r="BK535" s="64"/>
      <c r="BL535" s="64"/>
    </row>
    <row r="536" spans="48:64" x14ac:dyDescent="0.25">
      <c r="AV536" s="64"/>
      <c r="AW536" s="64"/>
      <c r="AX536" s="64"/>
      <c r="AY536" s="64"/>
      <c r="AZ536" s="64"/>
      <c r="BA536" s="64"/>
      <c r="BB536" s="64"/>
      <c r="BC536" s="64"/>
      <c r="BD536" s="64"/>
      <c r="BE536" s="64"/>
      <c r="BF536" s="64"/>
      <c r="BG536" s="64"/>
      <c r="BH536" s="64"/>
      <c r="BI536" s="64"/>
      <c r="BJ536" s="64"/>
      <c r="BK536" s="64"/>
      <c r="BL536" s="64"/>
    </row>
    <row r="537" spans="48:64" x14ac:dyDescent="0.25">
      <c r="AV537" s="64"/>
      <c r="AW537" s="64"/>
      <c r="AX537" s="64"/>
      <c r="AY537" s="64"/>
      <c r="AZ537" s="64"/>
      <c r="BA537" s="64"/>
      <c r="BB537" s="64"/>
      <c r="BC537" s="64"/>
      <c r="BD537" s="64"/>
      <c r="BE537" s="64"/>
      <c r="BF537" s="64"/>
      <c r="BG537" s="64"/>
      <c r="BH537" s="64"/>
      <c r="BI537" s="64"/>
      <c r="BJ537" s="64"/>
      <c r="BK537" s="64"/>
      <c r="BL537" s="64"/>
    </row>
    <row r="538" spans="48:64" x14ac:dyDescent="0.25">
      <c r="AV538" s="64"/>
      <c r="AW538" s="64"/>
      <c r="AX538" s="64"/>
      <c r="AY538" s="64"/>
      <c r="AZ538" s="64"/>
      <c r="BA538" s="64"/>
      <c r="BB538" s="64"/>
      <c r="BC538" s="64"/>
      <c r="BD538" s="64"/>
      <c r="BE538" s="64"/>
      <c r="BF538" s="64"/>
      <c r="BG538" s="64"/>
      <c r="BH538" s="64"/>
      <c r="BI538" s="64"/>
      <c r="BJ538" s="64"/>
      <c r="BK538" s="64"/>
      <c r="BL538" s="64"/>
    </row>
    <row r="539" spans="48:64" x14ac:dyDescent="0.25">
      <c r="AV539" s="64"/>
      <c r="AW539" s="64"/>
      <c r="AX539" s="64"/>
      <c r="AY539" s="64"/>
      <c r="AZ539" s="64"/>
      <c r="BA539" s="64"/>
      <c r="BB539" s="64"/>
      <c r="BC539" s="64"/>
      <c r="BD539" s="64"/>
      <c r="BE539" s="64"/>
      <c r="BF539" s="64"/>
      <c r="BG539" s="64"/>
      <c r="BH539" s="64"/>
      <c r="BI539" s="64"/>
      <c r="BJ539" s="64"/>
      <c r="BK539" s="64"/>
      <c r="BL539" s="64"/>
    </row>
    <row r="540" spans="48:64" x14ac:dyDescent="0.25">
      <c r="AV540" s="64"/>
      <c r="AW540" s="64"/>
      <c r="AX540" s="64"/>
      <c r="AY540" s="64"/>
      <c r="AZ540" s="64"/>
      <c r="BA540" s="64"/>
      <c r="BB540" s="64"/>
      <c r="BC540" s="64"/>
      <c r="BD540" s="64"/>
      <c r="BE540" s="64"/>
      <c r="BF540" s="64"/>
      <c r="BG540" s="64"/>
      <c r="BH540" s="64"/>
      <c r="BI540" s="64"/>
      <c r="BJ540" s="64"/>
      <c r="BK540" s="64"/>
      <c r="BL540" s="64"/>
    </row>
    <row r="541" spans="48:64" x14ac:dyDescent="0.25">
      <c r="AV541" s="64"/>
      <c r="AW541" s="64"/>
      <c r="AX541" s="64"/>
      <c r="AY541" s="64"/>
      <c r="AZ541" s="64"/>
      <c r="BA541" s="64"/>
      <c r="BB541" s="64"/>
      <c r="BC541" s="64"/>
      <c r="BD541" s="64"/>
      <c r="BE541" s="64"/>
      <c r="BF541" s="64"/>
      <c r="BG541" s="64"/>
      <c r="BH541" s="64"/>
      <c r="BI541" s="64"/>
      <c r="BJ541" s="64"/>
      <c r="BK541" s="64"/>
      <c r="BL541" s="64"/>
    </row>
    <row r="542" spans="48:64" x14ac:dyDescent="0.25">
      <c r="AV542" s="64"/>
      <c r="AW542" s="64"/>
      <c r="AX542" s="64"/>
      <c r="AY542" s="64"/>
      <c r="AZ542" s="64"/>
      <c r="BA542" s="64"/>
      <c r="BB542" s="64"/>
      <c r="BC542" s="64"/>
      <c r="BD542" s="64"/>
      <c r="BE542" s="64"/>
      <c r="BF542" s="64"/>
      <c r="BG542" s="64"/>
      <c r="BH542" s="64"/>
      <c r="BI542" s="64"/>
      <c r="BJ542" s="64"/>
      <c r="BK542" s="64"/>
      <c r="BL542" s="64"/>
    </row>
    <row r="543" spans="48:64" x14ac:dyDescent="0.25">
      <c r="AV543" s="64"/>
      <c r="AW543" s="64"/>
      <c r="AX543" s="64"/>
      <c r="AY543" s="64"/>
      <c r="AZ543" s="64"/>
      <c r="BA543" s="64"/>
      <c r="BB543" s="64"/>
      <c r="BC543" s="64"/>
      <c r="BD543" s="64"/>
      <c r="BE543" s="64"/>
      <c r="BF543" s="64"/>
      <c r="BG543" s="64"/>
      <c r="BH543" s="64"/>
      <c r="BI543" s="64"/>
      <c r="BJ543" s="64"/>
      <c r="BK543" s="64"/>
      <c r="BL543" s="64"/>
    </row>
    <row r="544" spans="48:64" x14ac:dyDescent="0.25">
      <c r="AV544" s="64"/>
      <c r="AW544" s="64"/>
      <c r="AX544" s="64"/>
      <c r="AY544" s="64"/>
      <c r="AZ544" s="64"/>
      <c r="BA544" s="64"/>
      <c r="BB544" s="64"/>
      <c r="BC544" s="64"/>
      <c r="BD544" s="64"/>
      <c r="BE544" s="64"/>
      <c r="BF544" s="64"/>
      <c r="BG544" s="64"/>
      <c r="BH544" s="64"/>
      <c r="BI544" s="64"/>
      <c r="BJ544" s="64"/>
      <c r="BK544" s="64"/>
      <c r="BL544" s="64"/>
    </row>
    <row r="545" spans="48:64" x14ac:dyDescent="0.25">
      <c r="AV545" s="64"/>
      <c r="AW545" s="64"/>
      <c r="AX545" s="64"/>
      <c r="AY545" s="64"/>
      <c r="AZ545" s="64"/>
      <c r="BA545" s="64"/>
      <c r="BB545" s="64"/>
      <c r="BC545" s="64"/>
      <c r="BD545" s="64"/>
      <c r="BE545" s="64"/>
      <c r="BF545" s="64"/>
      <c r="BG545" s="64"/>
      <c r="BH545" s="64"/>
      <c r="BI545" s="64"/>
      <c r="BJ545" s="64"/>
      <c r="BK545" s="64"/>
      <c r="BL545" s="64"/>
    </row>
    <row r="546" spans="48:64" x14ac:dyDescent="0.25">
      <c r="AV546" s="64"/>
      <c r="AW546" s="64"/>
      <c r="AX546" s="64"/>
      <c r="AY546" s="64"/>
      <c r="AZ546" s="64"/>
      <c r="BA546" s="64"/>
      <c r="BB546" s="64"/>
      <c r="BC546" s="64"/>
      <c r="BD546" s="64"/>
      <c r="BE546" s="64"/>
      <c r="BF546" s="64"/>
      <c r="BG546" s="64"/>
      <c r="BH546" s="64"/>
      <c r="BI546" s="64"/>
      <c r="BJ546" s="64"/>
      <c r="BK546" s="64"/>
      <c r="BL546" s="64"/>
    </row>
    <row r="547" spans="48:64" x14ac:dyDescent="0.25">
      <c r="AV547" s="64"/>
      <c r="AW547" s="64"/>
      <c r="AX547" s="64"/>
      <c r="AY547" s="64"/>
      <c r="AZ547" s="64"/>
      <c r="BA547" s="64"/>
      <c r="BB547" s="64"/>
      <c r="BC547" s="64"/>
      <c r="BD547" s="64"/>
      <c r="BE547" s="64"/>
      <c r="BF547" s="64"/>
      <c r="BG547" s="64"/>
      <c r="BH547" s="64"/>
      <c r="BI547" s="64"/>
      <c r="BJ547" s="64"/>
      <c r="BK547" s="64"/>
      <c r="BL547" s="64"/>
    </row>
    <row r="548" spans="48:64" x14ac:dyDescent="0.25">
      <c r="AV548" s="64"/>
      <c r="AW548" s="64"/>
      <c r="AX548" s="64"/>
      <c r="AY548" s="64"/>
      <c r="AZ548" s="64"/>
      <c r="BA548" s="64"/>
      <c r="BB548" s="64"/>
      <c r="BC548" s="64"/>
      <c r="BD548" s="64"/>
      <c r="BE548" s="64"/>
      <c r="BF548" s="64"/>
      <c r="BG548" s="64"/>
      <c r="BH548" s="64"/>
      <c r="BI548" s="64"/>
      <c r="BJ548" s="64"/>
      <c r="BK548" s="64"/>
      <c r="BL548" s="64"/>
    </row>
    <row r="549" spans="48:64" x14ac:dyDescent="0.25">
      <c r="AV549" s="64"/>
      <c r="AW549" s="64"/>
      <c r="AX549" s="64"/>
      <c r="AY549" s="64"/>
      <c r="AZ549" s="64"/>
      <c r="BA549" s="64"/>
      <c r="BB549" s="64"/>
      <c r="BC549" s="64"/>
      <c r="BD549" s="64"/>
      <c r="BE549" s="64"/>
      <c r="BF549" s="64"/>
      <c r="BG549" s="64"/>
      <c r="BH549" s="64"/>
      <c r="BI549" s="64"/>
      <c r="BJ549" s="64"/>
      <c r="BK549" s="64"/>
      <c r="BL549" s="64"/>
    </row>
    <row r="550" spans="48:64" x14ac:dyDescent="0.25">
      <c r="AV550" s="64"/>
      <c r="AW550" s="64"/>
      <c r="AX550" s="64"/>
      <c r="AY550" s="64"/>
      <c r="AZ550" s="64"/>
      <c r="BA550" s="64"/>
      <c r="BB550" s="64"/>
      <c r="BC550" s="64"/>
      <c r="BD550" s="64"/>
      <c r="BE550" s="64"/>
      <c r="BF550" s="64"/>
      <c r="BG550" s="64"/>
      <c r="BH550" s="64"/>
      <c r="BI550" s="64"/>
      <c r="BJ550" s="64"/>
      <c r="BK550" s="64"/>
      <c r="BL550" s="64"/>
    </row>
    <row r="551" spans="48:64" x14ac:dyDescent="0.25">
      <c r="AV551" s="64"/>
      <c r="AW551" s="64"/>
      <c r="AX551" s="64"/>
      <c r="AY551" s="64"/>
      <c r="AZ551" s="64"/>
      <c r="BA551" s="64"/>
      <c r="BB551" s="64"/>
      <c r="BC551" s="64"/>
      <c r="BD551" s="64"/>
      <c r="BE551" s="64"/>
      <c r="BF551" s="64"/>
      <c r="BG551" s="64"/>
      <c r="BH551" s="64"/>
      <c r="BI551" s="64"/>
      <c r="BJ551" s="64"/>
      <c r="BK551" s="64"/>
      <c r="BL551" s="64"/>
    </row>
    <row r="552" spans="48:64" x14ac:dyDescent="0.25">
      <c r="AV552" s="64"/>
      <c r="AW552" s="64"/>
      <c r="AX552" s="64"/>
      <c r="AY552" s="64"/>
      <c r="AZ552" s="64"/>
      <c r="BA552" s="64"/>
      <c r="BB552" s="64"/>
      <c r="BC552" s="64"/>
      <c r="BD552" s="64"/>
      <c r="BE552" s="64"/>
      <c r="BF552" s="64"/>
      <c r="BG552" s="64"/>
      <c r="BH552" s="64"/>
      <c r="BI552" s="64"/>
      <c r="BJ552" s="64"/>
      <c r="BK552" s="64"/>
      <c r="BL552" s="64"/>
    </row>
    <row r="553" spans="48:64" x14ac:dyDescent="0.25">
      <c r="AV553" s="64"/>
      <c r="AW553" s="64"/>
      <c r="AX553" s="64"/>
      <c r="AY553" s="64"/>
      <c r="AZ553" s="64"/>
      <c r="BA553" s="64"/>
      <c r="BB553" s="64"/>
      <c r="BC553" s="64"/>
      <c r="BD553" s="64"/>
      <c r="BE553" s="64"/>
      <c r="BF553" s="64"/>
      <c r="BG553" s="64"/>
      <c r="BH553" s="64"/>
      <c r="BI553" s="64"/>
      <c r="BJ553" s="64"/>
      <c r="BK553" s="64"/>
      <c r="BL553" s="64"/>
    </row>
    <row r="554" spans="48:64" x14ac:dyDescent="0.25">
      <c r="AV554" s="64"/>
      <c r="AW554" s="64"/>
      <c r="AX554" s="64"/>
      <c r="AY554" s="64"/>
      <c r="AZ554" s="64"/>
      <c r="BA554" s="64"/>
      <c r="BB554" s="64"/>
      <c r="BC554" s="64"/>
      <c r="BD554" s="64"/>
      <c r="BE554" s="64"/>
      <c r="BF554" s="64"/>
      <c r="BG554" s="64"/>
      <c r="BH554" s="64"/>
      <c r="BI554" s="64"/>
      <c r="BJ554" s="64"/>
      <c r="BK554" s="64"/>
      <c r="BL554" s="64"/>
    </row>
    <row r="555" spans="48:64" x14ac:dyDescent="0.25">
      <c r="AV555" s="64"/>
      <c r="AW555" s="64"/>
      <c r="AX555" s="64"/>
      <c r="AY555" s="64"/>
      <c r="AZ555" s="64"/>
      <c r="BA555" s="64"/>
      <c r="BB555" s="64"/>
      <c r="BC555" s="64"/>
      <c r="BD555" s="64"/>
      <c r="BE555" s="64"/>
      <c r="BF555" s="64"/>
      <c r="BG555" s="64"/>
      <c r="BH555" s="64"/>
      <c r="BI555" s="64"/>
      <c r="BJ555" s="64"/>
      <c r="BK555" s="64"/>
      <c r="BL555" s="64"/>
    </row>
    <row r="556" spans="48:64" x14ac:dyDescent="0.25">
      <c r="AV556" s="64"/>
      <c r="AW556" s="64"/>
      <c r="AX556" s="64"/>
      <c r="AY556" s="64"/>
      <c r="AZ556" s="64"/>
      <c r="BA556" s="64"/>
      <c r="BB556" s="64"/>
      <c r="BC556" s="64"/>
      <c r="BD556" s="64"/>
      <c r="BE556" s="64"/>
      <c r="BF556" s="64"/>
      <c r="BG556" s="64"/>
      <c r="BH556" s="64"/>
      <c r="BI556" s="64"/>
      <c r="BJ556" s="64"/>
      <c r="BK556" s="64"/>
      <c r="BL556" s="64"/>
    </row>
    <row r="557" spans="48:64" x14ac:dyDescent="0.25">
      <c r="AV557" s="64"/>
      <c r="AW557" s="64"/>
      <c r="AX557" s="64"/>
      <c r="AY557" s="64"/>
      <c r="AZ557" s="64"/>
      <c r="BA557" s="64"/>
      <c r="BB557" s="64"/>
      <c r="BC557" s="64"/>
      <c r="BD557" s="64"/>
      <c r="BE557" s="64"/>
      <c r="BF557" s="64"/>
      <c r="BG557" s="64"/>
      <c r="BH557" s="64"/>
      <c r="BI557" s="64"/>
      <c r="BJ557" s="64"/>
      <c r="BK557" s="64"/>
      <c r="BL557" s="64"/>
    </row>
    <row r="558" spans="48:64" x14ac:dyDescent="0.25">
      <c r="AV558" s="64"/>
      <c r="AW558" s="64"/>
      <c r="AX558" s="64"/>
      <c r="AY558" s="64"/>
      <c r="AZ558" s="64"/>
      <c r="BA558" s="64"/>
      <c r="BB558" s="64"/>
      <c r="BC558" s="64"/>
      <c r="BD558" s="64"/>
      <c r="BE558" s="64"/>
      <c r="BF558" s="64"/>
      <c r="BG558" s="64"/>
      <c r="BH558" s="64"/>
      <c r="BI558" s="64"/>
      <c r="BJ558" s="64"/>
      <c r="BK558" s="64"/>
      <c r="BL558" s="64"/>
    </row>
    <row r="559" spans="48:64" x14ac:dyDescent="0.25">
      <c r="AV559" s="64"/>
      <c r="AW559" s="64"/>
      <c r="AX559" s="64"/>
      <c r="AY559" s="64"/>
      <c r="AZ559" s="64"/>
      <c r="BA559" s="64"/>
      <c r="BB559" s="64"/>
      <c r="BC559" s="64"/>
      <c r="BD559" s="64"/>
      <c r="BE559" s="64"/>
      <c r="BF559" s="64"/>
      <c r="BG559" s="64"/>
      <c r="BH559" s="64"/>
      <c r="BI559" s="64"/>
      <c r="BJ559" s="64"/>
      <c r="BK559" s="64"/>
      <c r="BL559" s="64"/>
    </row>
    <row r="560" spans="48:64" x14ac:dyDescent="0.25">
      <c r="AV560" s="64"/>
      <c r="AW560" s="64"/>
      <c r="AX560" s="64"/>
      <c r="AY560" s="64"/>
      <c r="AZ560" s="64"/>
      <c r="BA560" s="64"/>
      <c r="BB560" s="64"/>
      <c r="BC560" s="64"/>
      <c r="BD560" s="64"/>
      <c r="BE560" s="64"/>
      <c r="BF560" s="64"/>
      <c r="BG560" s="64"/>
      <c r="BH560" s="64"/>
      <c r="BI560" s="64"/>
      <c r="BJ560" s="64"/>
      <c r="BK560" s="64"/>
      <c r="BL560" s="64"/>
    </row>
    <row r="561" spans="48:64" x14ac:dyDescent="0.25">
      <c r="AV561" s="64"/>
      <c r="AW561" s="64"/>
      <c r="AX561" s="64"/>
      <c r="AY561" s="64"/>
      <c r="AZ561" s="64"/>
      <c r="BA561" s="64"/>
      <c r="BB561" s="64"/>
      <c r="BC561" s="64"/>
      <c r="BD561" s="64"/>
      <c r="BE561" s="64"/>
      <c r="BF561" s="64"/>
      <c r="BG561" s="64"/>
      <c r="BH561" s="64"/>
      <c r="BI561" s="64"/>
      <c r="BJ561" s="64"/>
      <c r="BK561" s="64"/>
      <c r="BL561" s="64"/>
    </row>
    <row r="562" spans="48:64" x14ac:dyDescent="0.25">
      <c r="AV562" s="64"/>
      <c r="AW562" s="64"/>
      <c r="AX562" s="64"/>
      <c r="AY562" s="64"/>
      <c r="AZ562" s="64"/>
      <c r="BA562" s="64"/>
      <c r="BB562" s="64"/>
      <c r="BC562" s="64"/>
      <c r="BD562" s="64"/>
      <c r="BE562" s="64"/>
      <c r="BF562" s="64"/>
      <c r="BG562" s="64"/>
      <c r="BH562" s="64"/>
      <c r="BI562" s="64"/>
      <c r="BJ562" s="64"/>
      <c r="BK562" s="64"/>
      <c r="BL562" s="64"/>
    </row>
    <row r="563" spans="48:64" x14ac:dyDescent="0.25">
      <c r="AV563" s="64"/>
      <c r="AW563" s="64"/>
      <c r="AX563" s="64"/>
      <c r="AY563" s="64"/>
      <c r="AZ563" s="64"/>
      <c r="BA563" s="64"/>
      <c r="BB563" s="64"/>
      <c r="BC563" s="64"/>
      <c r="BD563" s="64"/>
      <c r="BE563" s="64"/>
      <c r="BF563" s="64"/>
      <c r="BG563" s="64"/>
      <c r="BH563" s="64"/>
      <c r="BI563" s="64"/>
      <c r="BJ563" s="64"/>
      <c r="BK563" s="64"/>
      <c r="BL563" s="64"/>
    </row>
    <row r="564" spans="48:64" x14ac:dyDescent="0.25">
      <c r="AV564" s="64"/>
      <c r="AW564" s="64"/>
      <c r="AX564" s="64"/>
      <c r="AY564" s="64"/>
      <c r="AZ564" s="64"/>
      <c r="BA564" s="64"/>
      <c r="BB564" s="64"/>
      <c r="BC564" s="64"/>
      <c r="BD564" s="64"/>
      <c r="BE564" s="64"/>
      <c r="BF564" s="64"/>
      <c r="BG564" s="64"/>
      <c r="BH564" s="64"/>
      <c r="BI564" s="64"/>
      <c r="BJ564" s="64"/>
      <c r="BK564" s="64"/>
      <c r="BL564" s="64"/>
    </row>
    <row r="565" spans="48:64" x14ac:dyDescent="0.25">
      <c r="AV565" s="64"/>
      <c r="AW565" s="64"/>
      <c r="AX565" s="64"/>
      <c r="AY565" s="64"/>
      <c r="AZ565" s="64"/>
      <c r="BA565" s="64"/>
      <c r="BB565" s="64"/>
      <c r="BC565" s="64"/>
      <c r="BD565" s="64"/>
      <c r="BE565" s="64"/>
      <c r="BF565" s="64"/>
      <c r="BG565" s="64"/>
      <c r="BH565" s="64"/>
      <c r="BI565" s="64"/>
      <c r="BJ565" s="64"/>
      <c r="BK565" s="64"/>
      <c r="BL565" s="64"/>
    </row>
    <row r="566" spans="48:64" x14ac:dyDescent="0.25">
      <c r="AV566" s="64"/>
      <c r="AW566" s="64"/>
      <c r="AX566" s="64"/>
      <c r="AY566" s="64"/>
      <c r="AZ566" s="64"/>
      <c r="BA566" s="64"/>
      <c r="BB566" s="64"/>
      <c r="BC566" s="64"/>
      <c r="BD566" s="64"/>
      <c r="BE566" s="64"/>
      <c r="BF566" s="64"/>
      <c r="BG566" s="64"/>
      <c r="BH566" s="64"/>
      <c r="BI566" s="64"/>
      <c r="BJ566" s="64"/>
      <c r="BK566" s="64"/>
      <c r="BL566" s="64"/>
    </row>
    <row r="567" spans="48:64" x14ac:dyDescent="0.25">
      <c r="AV567" s="64"/>
      <c r="AW567" s="64"/>
      <c r="AX567" s="64"/>
      <c r="AY567" s="64"/>
      <c r="AZ567" s="64"/>
      <c r="BA567" s="64"/>
      <c r="BB567" s="64"/>
      <c r="BC567" s="64"/>
      <c r="BD567" s="64"/>
      <c r="BE567" s="64"/>
      <c r="BF567" s="64"/>
      <c r="BG567" s="64"/>
      <c r="BH567" s="64"/>
      <c r="BI567" s="64"/>
      <c r="BJ567" s="64"/>
      <c r="BK567" s="64"/>
      <c r="BL567" s="64"/>
    </row>
    <row r="568" spans="48:64" x14ac:dyDescent="0.25">
      <c r="AV568" s="64"/>
      <c r="AW568" s="64"/>
      <c r="AX568" s="64"/>
      <c r="AY568" s="64"/>
      <c r="AZ568" s="64"/>
      <c r="BA568" s="64"/>
      <c r="BB568" s="64"/>
      <c r="BC568" s="64"/>
      <c r="BD568" s="64"/>
      <c r="BE568" s="64"/>
      <c r="BF568" s="64"/>
      <c r="BG568" s="64"/>
      <c r="BH568" s="64"/>
      <c r="BI568" s="64"/>
      <c r="BJ568" s="64"/>
      <c r="BK568" s="64"/>
      <c r="BL568" s="64"/>
    </row>
    <row r="569" spans="48:64" x14ac:dyDescent="0.25">
      <c r="AV569" s="64"/>
      <c r="AW569" s="64"/>
      <c r="AX569" s="64"/>
      <c r="AY569" s="64"/>
      <c r="AZ569" s="64"/>
      <c r="BA569" s="64"/>
      <c r="BB569" s="64"/>
      <c r="BC569" s="64"/>
      <c r="BD569" s="64"/>
      <c r="BE569" s="64"/>
      <c r="BF569" s="64"/>
      <c r="BG569" s="64"/>
      <c r="BH569" s="64"/>
      <c r="BI569" s="64"/>
      <c r="BJ569" s="64"/>
      <c r="BK569" s="64"/>
      <c r="BL569" s="64"/>
    </row>
    <row r="570" spans="48:64" x14ac:dyDescent="0.25">
      <c r="AV570" s="64"/>
      <c r="AW570" s="64"/>
      <c r="AX570" s="64"/>
      <c r="AY570" s="64"/>
      <c r="AZ570" s="64"/>
      <c r="BA570" s="64"/>
      <c r="BB570" s="64"/>
      <c r="BC570" s="64"/>
      <c r="BD570" s="64"/>
      <c r="BE570" s="64"/>
      <c r="BF570" s="64"/>
      <c r="BG570" s="64"/>
      <c r="BH570" s="64"/>
      <c r="BI570" s="64"/>
      <c r="BJ570" s="64"/>
      <c r="BK570" s="64"/>
      <c r="BL570" s="64"/>
    </row>
    <row r="571" spans="48:64" x14ac:dyDescent="0.25">
      <c r="AV571" s="64"/>
      <c r="AW571" s="64"/>
      <c r="AX571" s="64"/>
      <c r="AY571" s="64"/>
      <c r="AZ571" s="64"/>
      <c r="BA571" s="64"/>
      <c r="BB571" s="64"/>
      <c r="BC571" s="64"/>
      <c r="BD571" s="64"/>
      <c r="BE571" s="64"/>
      <c r="BF571" s="64"/>
      <c r="BG571" s="64"/>
      <c r="BH571" s="64"/>
      <c r="BI571" s="64"/>
      <c r="BJ571" s="64"/>
      <c r="BK571" s="64"/>
      <c r="BL571" s="64"/>
    </row>
    <row r="572" spans="48:64" x14ac:dyDescent="0.25">
      <c r="AV572" s="64"/>
      <c r="AW572" s="64"/>
      <c r="AX572" s="64"/>
      <c r="AY572" s="64"/>
      <c r="AZ572" s="64"/>
      <c r="BA572" s="64"/>
      <c r="BB572" s="64"/>
      <c r="BC572" s="64"/>
      <c r="BD572" s="64"/>
      <c r="BE572" s="64"/>
      <c r="BF572" s="64"/>
      <c r="BG572" s="64"/>
      <c r="BH572" s="64"/>
      <c r="BI572" s="64"/>
      <c r="BJ572" s="64"/>
      <c r="BK572" s="64"/>
      <c r="BL572" s="64"/>
    </row>
    <row r="573" spans="48:64" x14ac:dyDescent="0.25">
      <c r="AV573" s="64"/>
      <c r="AW573" s="64"/>
      <c r="AX573" s="64"/>
      <c r="AY573" s="64"/>
      <c r="AZ573" s="64"/>
      <c r="BA573" s="64"/>
      <c r="BB573" s="64"/>
      <c r="BC573" s="64"/>
      <c r="BD573" s="64"/>
      <c r="BE573" s="64"/>
      <c r="BF573" s="64"/>
      <c r="BG573" s="64"/>
      <c r="BH573" s="64"/>
      <c r="BI573" s="64"/>
      <c r="BJ573" s="64"/>
      <c r="BK573" s="64"/>
      <c r="BL573" s="64"/>
    </row>
    <row r="574" spans="48:64" x14ac:dyDescent="0.25">
      <c r="AV574" s="64"/>
      <c r="AW574" s="64"/>
      <c r="AX574" s="64"/>
      <c r="AY574" s="64"/>
      <c r="AZ574" s="64"/>
      <c r="BA574" s="64"/>
      <c r="BB574" s="64"/>
      <c r="BC574" s="64"/>
      <c r="BD574" s="64"/>
      <c r="BE574" s="64"/>
      <c r="BF574" s="64"/>
      <c r="BG574" s="64"/>
      <c r="BH574" s="64"/>
      <c r="BI574" s="64"/>
      <c r="BJ574" s="64"/>
      <c r="BK574" s="64"/>
      <c r="BL574" s="64"/>
    </row>
    <row r="575" spans="48:64" x14ac:dyDescent="0.25">
      <c r="AV575" s="64"/>
      <c r="AW575" s="64"/>
      <c r="AX575" s="64"/>
      <c r="AY575" s="64"/>
      <c r="AZ575" s="64"/>
      <c r="BA575" s="64"/>
      <c r="BB575" s="64"/>
      <c r="BC575" s="64"/>
      <c r="BD575" s="64"/>
      <c r="BE575" s="64"/>
      <c r="BF575" s="64"/>
      <c r="BG575" s="64"/>
      <c r="BH575" s="64"/>
      <c r="BI575" s="64"/>
      <c r="BJ575" s="64"/>
      <c r="BK575" s="64"/>
      <c r="BL575" s="64"/>
    </row>
    <row r="576" spans="48:64" x14ac:dyDescent="0.25">
      <c r="AV576" s="64"/>
      <c r="AW576" s="64"/>
      <c r="AX576" s="64"/>
      <c r="AY576" s="64"/>
      <c r="AZ576" s="64"/>
      <c r="BA576" s="64"/>
      <c r="BB576" s="64"/>
      <c r="BC576" s="64"/>
      <c r="BD576" s="64"/>
      <c r="BE576" s="64"/>
      <c r="BF576" s="64"/>
      <c r="BG576" s="64"/>
      <c r="BH576" s="64"/>
      <c r="BI576" s="64"/>
      <c r="BJ576" s="64"/>
      <c r="BK576" s="64"/>
      <c r="BL576" s="64"/>
    </row>
    <row r="577" spans="48:64" x14ac:dyDescent="0.25">
      <c r="AV577" s="64"/>
      <c r="AW577" s="64"/>
      <c r="AX577" s="64"/>
      <c r="AY577" s="64"/>
      <c r="AZ577" s="64"/>
      <c r="BA577" s="64"/>
      <c r="BB577" s="64"/>
      <c r="BC577" s="64"/>
      <c r="BD577" s="64"/>
      <c r="BE577" s="64"/>
      <c r="BF577" s="64"/>
      <c r="BG577" s="64"/>
      <c r="BH577" s="64"/>
      <c r="BI577" s="64"/>
      <c r="BJ577" s="64"/>
      <c r="BK577" s="64"/>
      <c r="BL577" s="64"/>
    </row>
    <row r="578" spans="48:64" x14ac:dyDescent="0.25">
      <c r="AV578" s="64"/>
      <c r="AW578" s="64"/>
      <c r="AX578" s="64"/>
      <c r="AY578" s="64"/>
      <c r="AZ578" s="64"/>
      <c r="BA578" s="64"/>
      <c r="BB578" s="64"/>
      <c r="BC578" s="64"/>
      <c r="BD578" s="64"/>
      <c r="BE578" s="64"/>
      <c r="BF578" s="64"/>
      <c r="BG578" s="64"/>
      <c r="BH578" s="64"/>
      <c r="BI578" s="64"/>
      <c r="BJ578" s="64"/>
      <c r="BK578" s="64"/>
      <c r="BL578" s="64"/>
    </row>
    <row r="579" spans="48:64" x14ac:dyDescent="0.25">
      <c r="AV579" s="64"/>
      <c r="AW579" s="64"/>
      <c r="AX579" s="64"/>
      <c r="AY579" s="64"/>
      <c r="AZ579" s="64"/>
      <c r="BA579" s="64"/>
      <c r="BB579" s="64"/>
      <c r="BC579" s="64"/>
      <c r="BD579" s="64"/>
      <c r="BE579" s="64"/>
      <c r="BF579" s="64"/>
      <c r="BG579" s="64"/>
      <c r="BH579" s="64"/>
      <c r="BI579" s="64"/>
      <c r="BJ579" s="64"/>
      <c r="BK579" s="64"/>
      <c r="BL579" s="64"/>
    </row>
    <row r="580" spans="48:64" x14ac:dyDescent="0.25">
      <c r="AV580" s="64"/>
      <c r="AW580" s="64"/>
      <c r="AX580" s="64"/>
      <c r="AY580" s="64"/>
      <c r="AZ580" s="64"/>
      <c r="BA580" s="64"/>
      <c r="BB580" s="64"/>
      <c r="BC580" s="64"/>
      <c r="BD580" s="64"/>
      <c r="BE580" s="64"/>
      <c r="BF580" s="64"/>
      <c r="BG580" s="64"/>
      <c r="BH580" s="64"/>
      <c r="BI580" s="64"/>
      <c r="BJ580" s="64"/>
      <c r="BK580" s="64"/>
      <c r="BL580" s="64"/>
    </row>
    <row r="581" spans="48:64" x14ac:dyDescent="0.25">
      <c r="AV581" s="64"/>
      <c r="AW581" s="64"/>
      <c r="AX581" s="64"/>
      <c r="AY581" s="64"/>
      <c r="AZ581" s="64"/>
      <c r="BA581" s="64"/>
      <c r="BB581" s="64"/>
      <c r="BC581" s="64"/>
      <c r="BD581" s="64"/>
      <c r="BE581" s="64"/>
      <c r="BF581" s="64"/>
      <c r="BG581" s="64"/>
      <c r="BH581" s="64"/>
      <c r="BI581" s="64"/>
      <c r="BJ581" s="64"/>
      <c r="BK581" s="64"/>
      <c r="BL581" s="64"/>
    </row>
    <row r="582" spans="48:64" x14ac:dyDescent="0.25">
      <c r="AV582" s="64"/>
      <c r="AW582" s="64"/>
      <c r="AX582" s="64"/>
      <c r="AY582" s="64"/>
      <c r="AZ582" s="64"/>
      <c r="BA582" s="64"/>
      <c r="BB582" s="64"/>
      <c r="BC582" s="64"/>
      <c r="BD582" s="64"/>
      <c r="BE582" s="64"/>
      <c r="BF582" s="64"/>
      <c r="BG582" s="64"/>
      <c r="BH582" s="64"/>
      <c r="BI582" s="64"/>
      <c r="BJ582" s="64"/>
      <c r="BK582" s="64"/>
      <c r="BL582" s="64"/>
    </row>
    <row r="583" spans="48:64" x14ac:dyDescent="0.25">
      <c r="AV583" s="64"/>
      <c r="AW583" s="64"/>
      <c r="AX583" s="64"/>
      <c r="AY583" s="64"/>
      <c r="AZ583" s="64"/>
      <c r="BA583" s="64"/>
      <c r="BB583" s="64"/>
      <c r="BC583" s="64"/>
      <c r="BD583" s="64"/>
      <c r="BE583" s="64"/>
      <c r="BF583" s="64"/>
      <c r="BG583" s="64"/>
      <c r="BH583" s="64"/>
      <c r="BI583" s="64"/>
      <c r="BJ583" s="64"/>
      <c r="BK583" s="64"/>
      <c r="BL583" s="64"/>
    </row>
    <row r="584" spans="48:64" x14ac:dyDescent="0.25">
      <c r="AV584" s="64"/>
      <c r="AW584" s="64"/>
      <c r="AX584" s="64"/>
      <c r="AY584" s="64"/>
      <c r="AZ584" s="64"/>
      <c r="BA584" s="64"/>
      <c r="BB584" s="64"/>
      <c r="BC584" s="64"/>
      <c r="BD584" s="64"/>
      <c r="BE584" s="64"/>
      <c r="BF584" s="64"/>
      <c r="BG584" s="64"/>
      <c r="BH584" s="64"/>
      <c r="BI584" s="64"/>
      <c r="BJ584" s="64"/>
      <c r="BK584" s="64"/>
      <c r="BL584" s="64"/>
    </row>
    <row r="585" spans="48:64" x14ac:dyDescent="0.25">
      <c r="AV585" s="64"/>
      <c r="AW585" s="64"/>
      <c r="AX585" s="64"/>
      <c r="AY585" s="64"/>
      <c r="AZ585" s="64"/>
      <c r="BA585" s="64"/>
      <c r="BB585" s="64"/>
      <c r="BC585" s="64"/>
      <c r="BD585" s="64"/>
      <c r="BE585" s="64"/>
      <c r="BF585" s="64"/>
      <c r="BG585" s="64"/>
      <c r="BH585" s="64"/>
      <c r="BI585" s="64"/>
      <c r="BJ585" s="64"/>
      <c r="BK585" s="64"/>
      <c r="BL585" s="64"/>
    </row>
    <row r="586" spans="48:64" x14ac:dyDescent="0.25">
      <c r="AV586" s="64"/>
      <c r="AW586" s="64"/>
      <c r="AX586" s="64"/>
      <c r="AY586" s="64"/>
      <c r="AZ586" s="64"/>
      <c r="BA586" s="64"/>
      <c r="BB586" s="64"/>
      <c r="BC586" s="64"/>
      <c r="BD586" s="64"/>
      <c r="BE586" s="64"/>
      <c r="BF586" s="64"/>
      <c r="BG586" s="64"/>
      <c r="BH586" s="64"/>
      <c r="BI586" s="64"/>
      <c r="BJ586" s="64"/>
      <c r="BK586" s="64"/>
      <c r="BL586" s="64"/>
    </row>
    <row r="587" spans="48:64" x14ac:dyDescent="0.25">
      <c r="AV587" s="64"/>
      <c r="AW587" s="64"/>
      <c r="AX587" s="64"/>
      <c r="AY587" s="64"/>
      <c r="AZ587" s="64"/>
      <c r="BA587" s="64"/>
      <c r="BB587" s="64"/>
      <c r="BC587" s="64"/>
      <c r="BD587" s="64"/>
      <c r="BE587" s="64"/>
      <c r="BF587" s="64"/>
      <c r="BG587" s="64"/>
      <c r="BH587" s="64"/>
      <c r="BI587" s="64"/>
      <c r="BJ587" s="64"/>
      <c r="BK587" s="64"/>
      <c r="BL587" s="64"/>
    </row>
    <row r="588" spans="48:64" x14ac:dyDescent="0.25">
      <c r="AV588" s="64"/>
      <c r="AW588" s="64"/>
      <c r="AX588" s="64"/>
      <c r="AY588" s="64"/>
      <c r="AZ588" s="64"/>
      <c r="BA588" s="64"/>
      <c r="BB588" s="64"/>
      <c r="BC588" s="64"/>
      <c r="BD588" s="64"/>
      <c r="BE588" s="64"/>
      <c r="BF588" s="64"/>
      <c r="BG588" s="64"/>
      <c r="BH588" s="64"/>
      <c r="BI588" s="64"/>
      <c r="BJ588" s="64"/>
      <c r="BK588" s="64"/>
      <c r="BL588" s="64"/>
    </row>
    <row r="589" spans="48:64" x14ac:dyDescent="0.25">
      <c r="AV589" s="64"/>
      <c r="AW589" s="64"/>
      <c r="AX589" s="64"/>
      <c r="AY589" s="64"/>
      <c r="AZ589" s="64"/>
      <c r="BA589" s="64"/>
      <c r="BB589" s="64"/>
      <c r="BC589" s="64"/>
      <c r="BD589" s="64"/>
      <c r="BE589" s="64"/>
      <c r="BF589" s="64"/>
      <c r="BG589" s="64"/>
      <c r="BH589" s="64"/>
      <c r="BI589" s="64"/>
      <c r="BJ589" s="64"/>
      <c r="BK589" s="64"/>
      <c r="BL589" s="64"/>
    </row>
    <row r="590" spans="48:64" x14ac:dyDescent="0.25">
      <c r="AV590" s="64"/>
      <c r="AW590" s="64"/>
      <c r="AX590" s="64"/>
      <c r="AY590" s="64"/>
      <c r="AZ590" s="64"/>
      <c r="BA590" s="64"/>
      <c r="BB590" s="64"/>
      <c r="BC590" s="64"/>
      <c r="BD590" s="64"/>
      <c r="BE590" s="64"/>
      <c r="BF590" s="64"/>
      <c r="BG590" s="64"/>
      <c r="BH590" s="64"/>
      <c r="BI590" s="64"/>
      <c r="BJ590" s="64"/>
      <c r="BK590" s="64"/>
      <c r="BL590" s="64"/>
    </row>
    <row r="591" spans="48:64" x14ac:dyDescent="0.25">
      <c r="AV591" s="64"/>
      <c r="AW591" s="64"/>
      <c r="AX591" s="64"/>
      <c r="AY591" s="64"/>
      <c r="AZ591" s="64"/>
      <c r="BA591" s="64"/>
      <c r="BB591" s="64"/>
      <c r="BC591" s="64"/>
      <c r="BD591" s="64"/>
      <c r="BE591" s="64"/>
      <c r="BF591" s="64"/>
      <c r="BG591" s="64"/>
      <c r="BH591" s="64"/>
      <c r="BI591" s="64"/>
      <c r="BJ591" s="64"/>
      <c r="BK591" s="64"/>
      <c r="BL591" s="64"/>
    </row>
    <row r="592" spans="48:64" x14ac:dyDescent="0.25">
      <c r="AV592" s="64"/>
      <c r="AW592" s="64"/>
      <c r="AX592" s="64"/>
      <c r="AY592" s="64"/>
      <c r="AZ592" s="64"/>
      <c r="BA592" s="64"/>
      <c r="BB592" s="64"/>
      <c r="BC592" s="64"/>
      <c r="BD592" s="64"/>
      <c r="BE592" s="64"/>
      <c r="BF592" s="64"/>
      <c r="BG592" s="64"/>
      <c r="BH592" s="64"/>
      <c r="BI592" s="64"/>
      <c r="BJ592" s="64"/>
      <c r="BK592" s="64"/>
      <c r="BL592" s="64"/>
    </row>
    <row r="593" spans="48:64" x14ac:dyDescent="0.25">
      <c r="AV593" s="64"/>
      <c r="AW593" s="64"/>
      <c r="AX593" s="64"/>
      <c r="AY593" s="64"/>
      <c r="AZ593" s="64"/>
      <c r="BA593" s="64"/>
      <c r="BB593" s="64"/>
      <c r="BC593" s="64"/>
      <c r="BD593" s="64"/>
      <c r="BE593" s="64"/>
      <c r="BF593" s="64"/>
      <c r="BG593" s="64"/>
      <c r="BH593" s="64"/>
      <c r="BI593" s="64"/>
      <c r="BJ593" s="64"/>
      <c r="BK593" s="64"/>
      <c r="BL593" s="64"/>
    </row>
    <row r="594" spans="48:64" x14ac:dyDescent="0.25">
      <c r="AV594" s="64"/>
      <c r="AW594" s="64"/>
      <c r="AX594" s="64"/>
      <c r="AY594" s="64"/>
      <c r="AZ594" s="64"/>
      <c r="BA594" s="64"/>
      <c r="BB594" s="64"/>
      <c r="BC594" s="64"/>
      <c r="BD594" s="64"/>
      <c r="BE594" s="64"/>
      <c r="BF594" s="64"/>
      <c r="BG594" s="64"/>
      <c r="BH594" s="64"/>
      <c r="BI594" s="64"/>
      <c r="BJ594" s="64"/>
      <c r="BK594" s="64"/>
      <c r="BL594" s="64"/>
    </row>
    <row r="595" spans="48:64" x14ac:dyDescent="0.25">
      <c r="AV595" s="64"/>
      <c r="AW595" s="64"/>
      <c r="AX595" s="64"/>
      <c r="AY595" s="64"/>
      <c r="AZ595" s="64"/>
      <c r="BA595" s="64"/>
      <c r="BB595" s="64"/>
      <c r="BC595" s="64"/>
      <c r="BD595" s="64"/>
      <c r="BE595" s="64"/>
      <c r="BF595" s="64"/>
      <c r="BG595" s="64"/>
      <c r="BH595" s="64"/>
      <c r="BI595" s="64"/>
      <c r="BJ595" s="64"/>
      <c r="BK595" s="64"/>
      <c r="BL595" s="64"/>
    </row>
    <row r="596" spans="48:64" x14ac:dyDescent="0.25">
      <c r="AV596" s="64"/>
      <c r="AW596" s="64"/>
      <c r="AX596" s="64"/>
      <c r="AY596" s="64"/>
      <c r="AZ596" s="64"/>
      <c r="BA596" s="64"/>
      <c r="BB596" s="64"/>
      <c r="BC596" s="64"/>
      <c r="BD596" s="64"/>
      <c r="BE596" s="64"/>
      <c r="BF596" s="64"/>
      <c r="BG596" s="64"/>
      <c r="BH596" s="64"/>
      <c r="BI596" s="64"/>
      <c r="BJ596" s="64"/>
      <c r="BK596" s="64"/>
      <c r="BL596" s="64"/>
    </row>
    <row r="597" spans="48:64" x14ac:dyDescent="0.25">
      <c r="AV597" s="64"/>
      <c r="AW597" s="64"/>
      <c r="AX597" s="64"/>
      <c r="AY597" s="64"/>
      <c r="AZ597" s="64"/>
      <c r="BA597" s="64"/>
      <c r="BB597" s="64"/>
      <c r="BC597" s="64"/>
      <c r="BD597" s="64"/>
      <c r="BE597" s="64"/>
      <c r="BF597" s="64"/>
      <c r="BG597" s="64"/>
      <c r="BH597" s="64"/>
      <c r="BI597" s="64"/>
      <c r="BJ597" s="64"/>
      <c r="BK597" s="64"/>
      <c r="BL597" s="64"/>
    </row>
    <row r="598" spans="48:64" x14ac:dyDescent="0.25">
      <c r="AV598" s="64"/>
      <c r="AW598" s="64"/>
      <c r="AX598" s="64"/>
      <c r="AY598" s="64"/>
      <c r="AZ598" s="64"/>
      <c r="BA598" s="64"/>
      <c r="BB598" s="64"/>
      <c r="BC598" s="64"/>
      <c r="BD598" s="64"/>
      <c r="BE598" s="64"/>
      <c r="BF598" s="64"/>
      <c r="BG598" s="64"/>
      <c r="BH598" s="64"/>
      <c r="BI598" s="64"/>
      <c r="BJ598" s="64"/>
      <c r="BK598" s="64"/>
      <c r="BL598" s="64"/>
    </row>
    <row r="599" spans="48:64" x14ac:dyDescent="0.25">
      <c r="AV599" s="64"/>
      <c r="AW599" s="64"/>
      <c r="AX599" s="64"/>
      <c r="AY599" s="64"/>
      <c r="AZ599" s="64"/>
      <c r="BA599" s="64"/>
      <c r="BB599" s="64"/>
      <c r="BC599" s="64"/>
      <c r="BD599" s="64"/>
      <c r="BE599" s="64"/>
      <c r="BF599" s="64"/>
      <c r="BG599" s="64"/>
      <c r="BH599" s="64"/>
      <c r="BI599" s="64"/>
      <c r="BJ599" s="64"/>
      <c r="BK599" s="64"/>
      <c r="BL599" s="64"/>
    </row>
    <row r="600" spans="48:64" x14ac:dyDescent="0.25">
      <c r="AV600" s="64"/>
      <c r="AW600" s="64"/>
      <c r="AX600" s="64"/>
      <c r="AY600" s="64"/>
      <c r="AZ600" s="64"/>
      <c r="BA600" s="64"/>
      <c r="BB600" s="64"/>
      <c r="BC600" s="64"/>
      <c r="BD600" s="64"/>
      <c r="BE600" s="64"/>
      <c r="BF600" s="64"/>
      <c r="BG600" s="64"/>
      <c r="BH600" s="64"/>
      <c r="BI600" s="64"/>
      <c r="BJ600" s="64"/>
      <c r="BK600" s="64"/>
      <c r="BL600" s="64"/>
    </row>
    <row r="601" spans="48:64" x14ac:dyDescent="0.25">
      <c r="AV601" s="64"/>
      <c r="AW601" s="64"/>
      <c r="AX601" s="64"/>
      <c r="AY601" s="64"/>
      <c r="AZ601" s="64"/>
      <c r="BA601" s="64"/>
      <c r="BB601" s="64"/>
      <c r="BC601" s="64"/>
      <c r="BD601" s="64"/>
      <c r="BE601" s="64"/>
      <c r="BF601" s="64"/>
      <c r="BG601" s="64"/>
      <c r="BH601" s="64"/>
      <c r="BI601" s="64"/>
      <c r="BJ601" s="64"/>
      <c r="BK601" s="64"/>
      <c r="BL601" s="64"/>
    </row>
    <row r="602" spans="48:64" x14ac:dyDescent="0.25">
      <c r="AV602" s="64"/>
      <c r="AW602" s="64"/>
      <c r="AX602" s="64"/>
      <c r="AY602" s="64"/>
      <c r="AZ602" s="64"/>
      <c r="BA602" s="64"/>
      <c r="BB602" s="64"/>
      <c r="BC602" s="64"/>
      <c r="BD602" s="64"/>
      <c r="BE602" s="64"/>
      <c r="BF602" s="64"/>
      <c r="BG602" s="64"/>
      <c r="BH602" s="64"/>
      <c r="BI602" s="64"/>
      <c r="BJ602" s="64"/>
      <c r="BK602" s="64"/>
      <c r="BL602" s="64"/>
    </row>
    <row r="603" spans="48:64" x14ac:dyDescent="0.25">
      <c r="AV603" s="64"/>
      <c r="AW603" s="64"/>
      <c r="AX603" s="64"/>
      <c r="AY603" s="64"/>
      <c r="AZ603" s="64"/>
      <c r="BA603" s="64"/>
      <c r="BB603" s="64"/>
      <c r="BC603" s="64"/>
      <c r="BD603" s="64"/>
      <c r="BE603" s="64"/>
      <c r="BF603" s="64"/>
      <c r="BG603" s="64"/>
      <c r="BH603" s="64"/>
      <c r="BI603" s="64"/>
      <c r="BJ603" s="64"/>
      <c r="BK603" s="64"/>
      <c r="BL603" s="64"/>
    </row>
    <row r="604" spans="48:64" x14ac:dyDescent="0.25">
      <c r="AV604" s="64"/>
      <c r="AW604" s="64"/>
      <c r="AX604" s="64"/>
      <c r="AY604" s="64"/>
      <c r="AZ604" s="64"/>
      <c r="BA604" s="64"/>
      <c r="BB604" s="64"/>
      <c r="BC604" s="64"/>
      <c r="BD604" s="64"/>
      <c r="BE604" s="64"/>
      <c r="BF604" s="64"/>
      <c r="BG604" s="64"/>
      <c r="BH604" s="64"/>
      <c r="BI604" s="64"/>
      <c r="BJ604" s="64"/>
      <c r="BK604" s="64"/>
      <c r="BL604" s="64"/>
    </row>
    <row r="605" spans="48:64" x14ac:dyDescent="0.25">
      <c r="AV605" s="64"/>
      <c r="AW605" s="64"/>
      <c r="AX605" s="64"/>
      <c r="AY605" s="64"/>
      <c r="AZ605" s="64"/>
      <c r="BA605" s="64"/>
      <c r="BB605" s="64"/>
      <c r="BC605" s="64"/>
      <c r="BD605" s="64"/>
      <c r="BE605" s="64"/>
      <c r="BF605" s="64"/>
      <c r="BG605" s="64"/>
      <c r="BH605" s="64"/>
      <c r="BI605" s="64"/>
      <c r="BJ605" s="64"/>
      <c r="BK605" s="64"/>
      <c r="BL605" s="64"/>
    </row>
    <row r="606" spans="48:64" x14ac:dyDescent="0.25">
      <c r="AV606" s="64"/>
      <c r="AW606" s="64"/>
      <c r="AX606" s="64"/>
      <c r="AY606" s="64"/>
      <c r="AZ606" s="64"/>
      <c r="BA606" s="64"/>
      <c r="BB606" s="64"/>
      <c r="BC606" s="64"/>
      <c r="BD606" s="64"/>
      <c r="BE606" s="64"/>
      <c r="BF606" s="64"/>
      <c r="BG606" s="64"/>
      <c r="BH606" s="64"/>
      <c r="BI606" s="64"/>
      <c r="BJ606" s="64"/>
      <c r="BK606" s="64"/>
      <c r="BL606" s="64"/>
    </row>
    <row r="607" spans="48:64" x14ac:dyDescent="0.25">
      <c r="AV607" s="64"/>
      <c r="AW607" s="64"/>
      <c r="AX607" s="64"/>
      <c r="AY607" s="64"/>
      <c r="AZ607" s="64"/>
      <c r="BA607" s="64"/>
      <c r="BB607" s="64"/>
      <c r="BC607" s="64"/>
      <c r="BD607" s="64"/>
      <c r="BE607" s="64"/>
      <c r="BF607" s="64"/>
      <c r="BG607" s="64"/>
      <c r="BH607" s="64"/>
      <c r="BI607" s="64"/>
      <c r="BJ607" s="64"/>
      <c r="BK607" s="64"/>
      <c r="BL607" s="64"/>
    </row>
    <row r="608" spans="48:64" x14ac:dyDescent="0.25">
      <c r="AV608" s="64"/>
      <c r="AW608" s="64"/>
      <c r="AX608" s="64"/>
      <c r="AY608" s="64"/>
      <c r="AZ608" s="64"/>
      <c r="BA608" s="64"/>
      <c r="BB608" s="64"/>
      <c r="BC608" s="64"/>
      <c r="BD608" s="64"/>
      <c r="BE608" s="64"/>
      <c r="BF608" s="64"/>
      <c r="BG608" s="64"/>
      <c r="BH608" s="64"/>
      <c r="BI608" s="64"/>
      <c r="BJ608" s="64"/>
      <c r="BK608" s="64"/>
      <c r="BL608" s="64"/>
    </row>
    <row r="609" spans="48:64" x14ac:dyDescent="0.25">
      <c r="AV609" s="64"/>
      <c r="AW609" s="64"/>
      <c r="AX609" s="64"/>
      <c r="AY609" s="64"/>
      <c r="AZ609" s="64"/>
      <c r="BA609" s="64"/>
      <c r="BB609" s="64"/>
      <c r="BC609" s="64"/>
      <c r="BD609" s="64"/>
      <c r="BE609" s="64"/>
      <c r="BF609" s="64"/>
      <c r="BG609" s="64"/>
      <c r="BH609" s="64"/>
      <c r="BI609" s="64"/>
      <c r="BJ609" s="64"/>
      <c r="BK609" s="64"/>
      <c r="BL609" s="64"/>
    </row>
    <row r="610" spans="48:64" x14ac:dyDescent="0.25">
      <c r="AV610" s="64"/>
      <c r="AW610" s="64"/>
      <c r="AX610" s="64"/>
      <c r="AY610" s="64"/>
      <c r="AZ610" s="64"/>
      <c r="BA610" s="64"/>
      <c r="BB610" s="64"/>
      <c r="BC610" s="64"/>
      <c r="BD610" s="64"/>
      <c r="BE610" s="64"/>
      <c r="BF610" s="64"/>
      <c r="BG610" s="64"/>
      <c r="BH610" s="64"/>
      <c r="BI610" s="64"/>
      <c r="BJ610" s="64"/>
      <c r="BK610" s="64"/>
      <c r="BL610" s="64"/>
    </row>
    <row r="611" spans="48:64" x14ac:dyDescent="0.25">
      <c r="AV611" s="64"/>
      <c r="AW611" s="64"/>
      <c r="AX611" s="64"/>
      <c r="AY611" s="64"/>
      <c r="AZ611" s="64"/>
      <c r="BA611" s="64"/>
      <c r="BB611" s="64"/>
      <c r="BC611" s="64"/>
      <c r="BD611" s="64"/>
      <c r="BE611" s="64"/>
      <c r="BF611" s="64"/>
      <c r="BG611" s="64"/>
      <c r="BH611" s="64"/>
      <c r="BI611" s="64"/>
      <c r="BJ611" s="64"/>
      <c r="BK611" s="64"/>
      <c r="BL611" s="64"/>
    </row>
    <row r="612" spans="48:64" x14ac:dyDescent="0.25">
      <c r="AV612" s="64"/>
      <c r="AW612" s="64"/>
      <c r="AX612" s="64"/>
      <c r="AY612" s="64"/>
      <c r="AZ612" s="64"/>
      <c r="BA612" s="64"/>
      <c r="BB612" s="64"/>
      <c r="BC612" s="64"/>
      <c r="BD612" s="64"/>
      <c r="BE612" s="64"/>
      <c r="BF612" s="64"/>
      <c r="BG612" s="64"/>
      <c r="BH612" s="64"/>
      <c r="BI612" s="64"/>
      <c r="BJ612" s="64"/>
      <c r="BK612" s="64"/>
      <c r="BL612" s="64"/>
    </row>
  </sheetData>
  <sheetProtection selectLockedCell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A3B01-2C49-43D3-AF56-A425BEFCC667}">
  <sheetPr codeName="Sheet13"/>
  <dimension ref="A1:U54"/>
  <sheetViews>
    <sheetView zoomScale="70" zoomScaleNormal="70" workbookViewId="0">
      <selection activeCell="Y27" sqref="Y27"/>
    </sheetView>
  </sheetViews>
  <sheetFormatPr defaultRowHeight="15" x14ac:dyDescent="0.25"/>
  <sheetData>
    <row r="1" spans="1:15" x14ac:dyDescent="0.25">
      <c r="A1" s="20"/>
      <c r="B1" s="20"/>
      <c r="C1" s="20"/>
      <c r="D1" s="20"/>
      <c r="E1" s="20"/>
      <c r="F1" s="20"/>
      <c r="G1" s="20"/>
      <c r="H1" s="335" t="s">
        <v>145</v>
      </c>
      <c r="I1" s="335"/>
      <c r="J1" s="335"/>
      <c r="K1" s="335"/>
      <c r="L1" s="335"/>
      <c r="M1" s="335"/>
      <c r="N1" s="335"/>
      <c r="O1" s="335"/>
    </row>
    <row r="2" spans="1:15" x14ac:dyDescent="0.25">
      <c r="A2" s="369"/>
      <c r="B2" s="369"/>
      <c r="C2" s="369" t="s">
        <v>0</v>
      </c>
      <c r="D2" s="369"/>
      <c r="E2" s="20"/>
      <c r="F2" s="20"/>
      <c r="G2" s="20"/>
      <c r="H2" s="20"/>
      <c r="I2" s="20"/>
      <c r="J2" s="20"/>
      <c r="K2" s="20"/>
    </row>
    <row r="3" spans="1:15" x14ac:dyDescent="0.25">
      <c r="A3" s="20"/>
      <c r="B3" s="20"/>
      <c r="C3" s="20"/>
      <c r="D3" s="20"/>
      <c r="E3" s="20"/>
      <c r="F3" s="20"/>
      <c r="G3" s="20"/>
      <c r="H3" s="20"/>
      <c r="I3" s="20"/>
      <c r="J3" s="20"/>
      <c r="K3" s="20"/>
    </row>
    <row r="4" spans="1:15" x14ac:dyDescent="0.25">
      <c r="A4" s="20"/>
      <c r="B4" s="20"/>
      <c r="C4" s="20"/>
      <c r="D4" s="20"/>
      <c r="E4" s="20"/>
      <c r="F4" s="20"/>
      <c r="G4" s="20"/>
      <c r="H4" t="s">
        <v>135</v>
      </c>
      <c r="I4" s="20"/>
      <c r="J4" s="20"/>
      <c r="K4" s="20"/>
    </row>
    <row r="5" spans="1:15" x14ac:dyDescent="0.25">
      <c r="A5" s="185" t="s">
        <v>45</v>
      </c>
      <c r="B5" s="20"/>
      <c r="C5" s="255" t="s">
        <v>113</v>
      </c>
      <c r="D5" s="255"/>
      <c r="E5" s="20"/>
      <c r="F5" s="20"/>
      <c r="G5" s="20"/>
      <c r="H5" s="23"/>
      <c r="I5" s="20"/>
      <c r="J5" s="20"/>
      <c r="K5" s="20"/>
    </row>
    <row r="6" spans="1:15" x14ac:dyDescent="0.25">
      <c r="A6" s="21" t="s">
        <v>107</v>
      </c>
      <c r="B6" s="20"/>
      <c r="C6" s="255" t="s">
        <v>114</v>
      </c>
      <c r="D6" s="255"/>
      <c r="E6" s="20"/>
      <c r="F6" s="20"/>
      <c r="G6" s="20"/>
      <c r="H6" s="23" t="s">
        <v>136</v>
      </c>
      <c r="I6" s="20"/>
      <c r="J6" s="20"/>
      <c r="K6" s="20"/>
    </row>
    <row r="7" spans="1:15" x14ac:dyDescent="0.25">
      <c r="A7" s="20"/>
      <c r="B7" s="20"/>
      <c r="C7" s="20"/>
      <c r="D7" s="20"/>
      <c r="E7" s="20"/>
      <c r="F7" s="20"/>
      <c r="G7" s="20"/>
      <c r="H7" s="23"/>
      <c r="I7" s="20"/>
      <c r="J7" s="20"/>
      <c r="K7" s="20"/>
    </row>
    <row r="8" spans="1:15" x14ac:dyDescent="0.25">
      <c r="A8" s="20"/>
      <c r="B8" s="20"/>
      <c r="C8" s="20"/>
      <c r="D8" s="20"/>
      <c r="E8" s="20"/>
      <c r="F8" s="20"/>
      <c r="G8" s="20"/>
      <c r="H8" s="23" t="s">
        <v>137</v>
      </c>
      <c r="I8" s="20"/>
      <c r="J8" s="20"/>
      <c r="K8" s="20"/>
    </row>
    <row r="9" spans="1:15" x14ac:dyDescent="0.25">
      <c r="A9" s="22" t="s">
        <v>52</v>
      </c>
      <c r="B9" s="20"/>
      <c r="C9" s="255" t="s">
        <v>120</v>
      </c>
      <c r="D9" s="255"/>
      <c r="E9" s="20"/>
      <c r="F9" s="20"/>
      <c r="G9" s="20"/>
      <c r="I9" s="20"/>
      <c r="J9" s="20"/>
      <c r="K9" s="20"/>
    </row>
    <row r="10" spans="1:15" x14ac:dyDescent="0.25">
      <c r="A10" s="20"/>
      <c r="B10" s="20"/>
      <c r="C10" s="255"/>
      <c r="D10" s="255"/>
      <c r="E10" s="20"/>
      <c r="F10" s="20"/>
      <c r="G10" s="20"/>
      <c r="H10" t="s">
        <v>138</v>
      </c>
      <c r="I10" s="20"/>
      <c r="J10" s="20"/>
      <c r="K10" s="20"/>
    </row>
    <row r="11" spans="1:15" x14ac:dyDescent="0.25">
      <c r="A11" s="20"/>
      <c r="B11" s="20"/>
      <c r="C11" s="20"/>
      <c r="D11" s="20"/>
      <c r="E11" s="20"/>
      <c r="F11" s="20"/>
      <c r="G11" s="20"/>
      <c r="H11" s="23"/>
      <c r="I11" s="20"/>
      <c r="J11" s="20"/>
      <c r="K11" s="20"/>
    </row>
    <row r="12" spans="1:15" x14ac:dyDescent="0.25">
      <c r="A12" s="20"/>
      <c r="B12" s="20"/>
      <c r="C12" s="20"/>
      <c r="D12" s="20"/>
      <c r="E12" s="20"/>
      <c r="F12" s="20"/>
      <c r="G12" s="20"/>
      <c r="H12" s="23" t="s">
        <v>139</v>
      </c>
      <c r="I12" s="20"/>
      <c r="J12" s="20"/>
      <c r="K12" s="20"/>
    </row>
    <row r="13" spans="1:15" x14ac:dyDescent="0.25">
      <c r="A13" s="19" t="s">
        <v>55</v>
      </c>
      <c r="B13" s="20"/>
      <c r="C13" s="255" t="s">
        <v>125</v>
      </c>
      <c r="D13" s="255"/>
      <c r="E13" s="20"/>
      <c r="F13" s="20"/>
      <c r="G13" s="20"/>
      <c r="H13" s="23"/>
      <c r="I13" s="20"/>
      <c r="J13" s="20"/>
      <c r="K13" s="20"/>
    </row>
    <row r="14" spans="1:15" x14ac:dyDescent="0.25">
      <c r="A14" s="20"/>
      <c r="B14" s="20"/>
      <c r="C14" s="20"/>
      <c r="D14" s="20"/>
      <c r="E14" s="20"/>
      <c r="F14" s="20"/>
      <c r="G14" s="20"/>
      <c r="H14" s="23"/>
      <c r="I14" s="20"/>
      <c r="J14" s="20"/>
      <c r="K14" s="20"/>
    </row>
    <row r="15" spans="1:15" x14ac:dyDescent="0.25">
      <c r="A15" s="20"/>
      <c r="B15" s="20"/>
      <c r="C15" s="20"/>
      <c r="D15" s="20"/>
      <c r="E15" s="20"/>
      <c r="F15" s="20"/>
      <c r="G15" s="20"/>
      <c r="H15" s="24"/>
      <c r="I15" s="20"/>
      <c r="J15" s="20"/>
      <c r="K15" s="20"/>
    </row>
    <row r="16" spans="1:15" x14ac:dyDescent="0.25">
      <c r="A16" s="20"/>
      <c r="B16" s="20"/>
      <c r="C16" s="20"/>
      <c r="D16" s="20"/>
      <c r="E16" s="20"/>
      <c r="F16" s="20"/>
      <c r="G16" s="20"/>
      <c r="H16" s="24" t="s">
        <v>140</v>
      </c>
      <c r="I16" s="20"/>
      <c r="J16" s="20"/>
      <c r="K16" s="20"/>
    </row>
    <row r="17" spans="1:21" x14ac:dyDescent="0.25">
      <c r="A17" s="20"/>
      <c r="B17" s="20"/>
      <c r="C17" s="20"/>
      <c r="D17" s="20"/>
      <c r="E17" s="20"/>
      <c r="F17" s="20"/>
      <c r="G17" s="20"/>
      <c r="H17" s="24"/>
      <c r="I17" s="20"/>
      <c r="J17" s="20"/>
      <c r="K17" s="20"/>
    </row>
    <row r="18" spans="1:21" x14ac:dyDescent="0.25">
      <c r="A18" s="20"/>
      <c r="B18" s="20"/>
      <c r="C18" s="20"/>
      <c r="D18" s="20"/>
      <c r="E18" s="20"/>
      <c r="F18" s="20"/>
      <c r="G18" s="20"/>
      <c r="H18" s="24" t="s">
        <v>141</v>
      </c>
      <c r="I18" s="20"/>
      <c r="J18" s="20"/>
      <c r="K18" s="20"/>
    </row>
    <row r="19" spans="1:21" x14ac:dyDescent="0.25">
      <c r="A19" s="20"/>
      <c r="B19" s="20"/>
      <c r="C19" s="20"/>
      <c r="D19" s="20"/>
      <c r="E19" s="20"/>
      <c r="F19" s="20"/>
      <c r="G19" s="20"/>
      <c r="H19" s="23"/>
      <c r="I19" s="20"/>
      <c r="J19" s="20"/>
      <c r="K19" s="20"/>
    </row>
    <row r="20" spans="1:21" x14ac:dyDescent="0.25">
      <c r="A20" s="20"/>
      <c r="B20" s="20"/>
      <c r="C20" s="20"/>
      <c r="D20" s="20"/>
      <c r="E20" s="20"/>
      <c r="F20" s="20"/>
      <c r="G20" s="20"/>
      <c r="H20" s="23" t="s">
        <v>142</v>
      </c>
      <c r="I20" s="20"/>
      <c r="J20" s="20"/>
      <c r="K20" s="20"/>
    </row>
    <row r="21" spans="1:21" x14ac:dyDescent="0.25">
      <c r="A21" s="20"/>
      <c r="B21" s="20"/>
      <c r="C21" s="20"/>
      <c r="D21" s="20"/>
      <c r="E21" s="20"/>
      <c r="F21" s="20"/>
      <c r="G21" s="20"/>
      <c r="H21" s="23"/>
      <c r="I21" s="20"/>
      <c r="J21" s="20"/>
      <c r="K21" s="20"/>
    </row>
    <row r="22" spans="1:21" x14ac:dyDescent="0.25">
      <c r="A22" s="20"/>
      <c r="B22" s="20"/>
      <c r="C22" s="20"/>
      <c r="D22" s="20"/>
      <c r="E22" s="20"/>
      <c r="F22" s="20"/>
      <c r="G22" s="20"/>
      <c r="H22" s="23"/>
      <c r="I22" s="20"/>
      <c r="J22" s="20"/>
      <c r="K22" s="20"/>
    </row>
    <row r="23" spans="1:21" x14ac:dyDescent="0.25">
      <c r="A23" s="20"/>
      <c r="B23" s="20"/>
      <c r="C23" s="20"/>
      <c r="D23" s="20"/>
      <c r="E23" s="20"/>
      <c r="F23" s="20"/>
      <c r="G23" s="20"/>
      <c r="H23" s="24"/>
      <c r="I23" s="20"/>
      <c r="J23" s="20"/>
      <c r="K23" s="20"/>
    </row>
    <row r="24" spans="1:21" x14ac:dyDescent="0.25">
      <c r="A24" s="20"/>
      <c r="B24" s="20"/>
      <c r="C24" s="20"/>
      <c r="D24" s="20"/>
      <c r="E24" s="20"/>
      <c r="F24" s="20"/>
      <c r="G24" s="20"/>
      <c r="H24" s="24" t="s">
        <v>143</v>
      </c>
      <c r="I24" s="20"/>
      <c r="J24" s="20"/>
      <c r="K24" s="20"/>
    </row>
    <row r="25" spans="1:21" x14ac:dyDescent="0.25">
      <c r="A25" s="20"/>
      <c r="B25" s="20"/>
      <c r="C25" s="20"/>
      <c r="D25" s="20"/>
      <c r="E25" s="20"/>
      <c r="F25" s="20"/>
      <c r="G25" s="20"/>
      <c r="H25" s="24"/>
      <c r="I25" s="20"/>
      <c r="J25" s="20"/>
      <c r="K25" s="20"/>
    </row>
    <row r="26" spans="1:21" x14ac:dyDescent="0.25">
      <c r="A26" s="20"/>
      <c r="B26" s="20"/>
      <c r="C26" s="20"/>
      <c r="D26" s="20"/>
      <c r="E26" s="20"/>
      <c r="F26" s="20"/>
      <c r="G26" s="20"/>
      <c r="H26" s="24" t="s">
        <v>144</v>
      </c>
      <c r="I26" s="20"/>
      <c r="J26" s="20"/>
      <c r="K26" s="20"/>
    </row>
    <row r="27" spans="1:21" x14ac:dyDescent="0.25">
      <c r="A27" s="20"/>
      <c r="B27" s="20"/>
      <c r="C27" s="20"/>
      <c r="D27" s="20"/>
      <c r="E27" s="20"/>
      <c r="F27" s="20"/>
      <c r="G27" s="20"/>
      <c r="H27" s="20"/>
      <c r="I27" s="20"/>
      <c r="J27" s="20"/>
      <c r="K27" s="20"/>
    </row>
    <row r="28" spans="1:21" x14ac:dyDescent="0.25">
      <c r="A28" s="20"/>
      <c r="B28" s="20"/>
      <c r="C28" s="20"/>
      <c r="D28" s="20"/>
      <c r="E28" s="20"/>
      <c r="F28" s="20"/>
      <c r="G28" s="20"/>
      <c r="H28" s="20"/>
      <c r="I28" s="20"/>
      <c r="J28" s="20"/>
      <c r="K28" s="20"/>
    </row>
    <row r="29" spans="1:21" x14ac:dyDescent="0.25">
      <c r="A29" s="20"/>
      <c r="B29" s="20"/>
      <c r="C29" s="20"/>
      <c r="D29" s="20"/>
      <c r="E29" s="20"/>
      <c r="F29" s="20"/>
      <c r="G29" s="20"/>
      <c r="H29" s="20"/>
      <c r="I29" s="20"/>
      <c r="J29" s="20"/>
      <c r="K29" s="20"/>
      <c r="N29" s="313"/>
      <c r="O29" s="313"/>
      <c r="P29" s="313"/>
      <c r="Q29" s="313"/>
    </row>
    <row r="30" spans="1:21" x14ac:dyDescent="0.25">
      <c r="A30" s="20"/>
      <c r="B30" s="20"/>
      <c r="C30" s="20"/>
      <c r="D30" s="20"/>
      <c r="E30" s="20"/>
      <c r="F30" s="20"/>
      <c r="G30" s="20"/>
      <c r="H30" s="20"/>
      <c r="I30" s="20"/>
      <c r="J30" s="20"/>
      <c r="K30" s="20"/>
      <c r="N30" s="313"/>
      <c r="O30" s="313"/>
      <c r="P30" s="313"/>
      <c r="Q30" s="313"/>
    </row>
    <row r="31" spans="1:21" ht="24" x14ac:dyDescent="0.25">
      <c r="A31" s="64" t="s">
        <v>316</v>
      </c>
      <c r="B31" s="64"/>
      <c r="C31" s="64"/>
      <c r="D31" s="64"/>
      <c r="E31" s="64"/>
      <c r="F31" s="20"/>
      <c r="G31" s="20"/>
      <c r="H31" s="20"/>
      <c r="I31" s="20"/>
      <c r="J31" s="20"/>
      <c r="K31" s="20"/>
      <c r="N31" s="207"/>
      <c r="O31" s="207"/>
      <c r="P31" s="207"/>
      <c r="Q31" s="207"/>
    </row>
    <row r="32" spans="1:21" ht="24" x14ac:dyDescent="0.25">
      <c r="A32" s="64"/>
      <c r="B32" s="64"/>
      <c r="C32" s="64"/>
      <c r="D32" s="64"/>
      <c r="E32" s="64"/>
      <c r="F32" s="20"/>
      <c r="G32" s="20"/>
      <c r="H32" s="20"/>
      <c r="I32" s="20"/>
      <c r="J32" s="20"/>
      <c r="K32" s="20"/>
      <c r="N32" s="207"/>
      <c r="O32" s="207"/>
      <c r="P32" s="207"/>
      <c r="Q32" s="207"/>
      <c r="U32" t="s">
        <v>316</v>
      </c>
    </row>
    <row r="33" spans="1:21" ht="24" x14ac:dyDescent="0.25">
      <c r="A33" s="64" t="s">
        <v>314</v>
      </c>
      <c r="B33" s="64"/>
      <c r="C33" s="64"/>
      <c r="D33" s="64"/>
      <c r="E33" s="64"/>
      <c r="F33" s="20"/>
      <c r="G33" s="20"/>
      <c r="H33" s="20"/>
      <c r="I33" s="20"/>
      <c r="J33" s="20"/>
      <c r="K33" s="20"/>
      <c r="N33" s="207"/>
      <c r="O33" s="207"/>
      <c r="P33" s="207"/>
      <c r="Q33" s="207"/>
    </row>
    <row r="34" spans="1:21" ht="24" x14ac:dyDescent="0.25">
      <c r="A34" s="64"/>
      <c r="B34" s="64"/>
      <c r="C34" s="64"/>
      <c r="D34" s="64"/>
      <c r="E34" s="64"/>
      <c r="F34" s="20"/>
      <c r="G34" s="20"/>
      <c r="H34" s="20"/>
      <c r="I34" s="20"/>
      <c r="J34" s="20"/>
      <c r="K34" s="20"/>
      <c r="N34" s="207"/>
      <c r="O34" s="207"/>
      <c r="P34" s="207"/>
      <c r="Q34" s="207"/>
      <c r="U34" t="s">
        <v>314</v>
      </c>
    </row>
    <row r="35" spans="1:21" ht="24" x14ac:dyDescent="0.25">
      <c r="A35" s="64"/>
      <c r="B35" s="64"/>
      <c r="C35" s="64"/>
      <c r="D35" s="64"/>
      <c r="E35" s="64"/>
      <c r="F35" s="20"/>
      <c r="G35" s="20"/>
      <c r="H35" s="20"/>
      <c r="I35" s="20"/>
      <c r="J35" s="20"/>
      <c r="K35" s="20"/>
      <c r="N35" s="207"/>
      <c r="O35" s="207"/>
      <c r="P35" s="207"/>
      <c r="Q35" s="207"/>
    </row>
    <row r="36" spans="1:21" ht="24" x14ac:dyDescent="0.25">
      <c r="A36" s="64" t="s">
        <v>313</v>
      </c>
      <c r="B36" s="64"/>
      <c r="C36" s="64"/>
      <c r="D36" s="64"/>
      <c r="E36" s="64"/>
      <c r="F36" s="20"/>
      <c r="G36" s="20"/>
      <c r="H36" s="20"/>
      <c r="I36" s="20"/>
      <c r="J36" s="20"/>
      <c r="K36" s="20"/>
      <c r="N36" s="207"/>
      <c r="O36" s="207"/>
      <c r="P36" s="207"/>
      <c r="Q36" s="207"/>
    </row>
    <row r="37" spans="1:21" ht="24" x14ac:dyDescent="0.25">
      <c r="A37" s="64"/>
      <c r="B37" s="64"/>
      <c r="C37" s="64"/>
      <c r="D37" s="64"/>
      <c r="E37" s="64"/>
      <c r="F37" s="20"/>
      <c r="G37" s="20"/>
      <c r="H37" s="20"/>
      <c r="I37" s="20"/>
      <c r="J37" s="20"/>
      <c r="K37" s="20"/>
      <c r="N37" s="207"/>
      <c r="O37" s="207"/>
      <c r="P37" s="207"/>
      <c r="Q37" s="207"/>
      <c r="U37" t="s">
        <v>313</v>
      </c>
    </row>
    <row r="38" spans="1:21" ht="24" x14ac:dyDescent="0.25">
      <c r="A38" s="64" t="s">
        <v>315</v>
      </c>
      <c r="B38" s="64"/>
      <c r="C38" s="64"/>
      <c r="D38" s="64"/>
      <c r="E38" s="64"/>
      <c r="F38" s="20"/>
      <c r="G38" s="20"/>
      <c r="H38" s="20"/>
      <c r="I38" s="20"/>
      <c r="J38" s="20"/>
      <c r="K38" s="20"/>
      <c r="N38" s="207"/>
      <c r="O38" s="207"/>
      <c r="P38" s="207"/>
      <c r="Q38" s="207"/>
    </row>
    <row r="39" spans="1:21" x14ac:dyDescent="0.25">
      <c r="A39" s="64"/>
      <c r="B39" s="64"/>
      <c r="C39" s="64"/>
      <c r="D39" s="64"/>
      <c r="E39" s="64"/>
      <c r="F39" s="20"/>
      <c r="G39" s="20"/>
      <c r="H39" s="20"/>
      <c r="I39" s="20"/>
      <c r="J39" s="20"/>
      <c r="K39" s="20"/>
      <c r="U39" t="s">
        <v>315</v>
      </c>
    </row>
    <row r="40" spans="1:21" x14ac:dyDescent="0.25">
      <c r="A40" s="64"/>
      <c r="B40" s="64"/>
      <c r="C40" s="64"/>
      <c r="D40" s="64"/>
      <c r="E40" s="64"/>
      <c r="F40" s="20"/>
      <c r="G40" s="20"/>
      <c r="H40" s="20"/>
      <c r="I40" s="20"/>
      <c r="J40" s="20"/>
      <c r="K40" s="20"/>
    </row>
    <row r="41" spans="1:21" x14ac:dyDescent="0.25">
      <c r="A41" s="64" t="s">
        <v>317</v>
      </c>
      <c r="B41" s="64"/>
      <c r="C41" s="64"/>
      <c r="D41" s="64"/>
      <c r="E41" s="64"/>
      <c r="F41" s="20"/>
      <c r="G41" s="20"/>
      <c r="H41" s="20"/>
      <c r="I41" s="20"/>
      <c r="J41" s="20"/>
      <c r="K41" s="20"/>
    </row>
    <row r="42" spans="1:21" x14ac:dyDescent="0.25">
      <c r="A42" s="64"/>
      <c r="B42" s="64"/>
      <c r="C42" s="64"/>
      <c r="D42" s="64"/>
      <c r="E42" s="64"/>
      <c r="F42" s="20"/>
      <c r="G42" s="20"/>
      <c r="H42" s="20"/>
      <c r="I42" s="20"/>
      <c r="J42" s="20"/>
      <c r="K42" s="20"/>
      <c r="U42" t="s">
        <v>317</v>
      </c>
    </row>
    <row r="43" spans="1:21" x14ac:dyDescent="0.25">
      <c r="A43" s="64"/>
      <c r="B43" s="64"/>
      <c r="C43" s="64"/>
      <c r="D43" s="64"/>
      <c r="E43" s="64"/>
      <c r="F43" s="20"/>
      <c r="G43" s="20"/>
      <c r="H43" s="20"/>
      <c r="I43" s="20"/>
      <c r="J43" s="20"/>
      <c r="K43" s="20"/>
    </row>
    <row r="44" spans="1:21" x14ac:dyDescent="0.25">
      <c r="A44" s="64"/>
      <c r="B44" s="64"/>
      <c r="C44" s="64"/>
      <c r="D44" s="64"/>
      <c r="E44" s="64"/>
      <c r="F44" s="20"/>
      <c r="G44" s="20"/>
      <c r="H44" s="20"/>
      <c r="I44" s="20"/>
      <c r="J44" s="20"/>
      <c r="K44" s="20"/>
    </row>
    <row r="45" spans="1:21" x14ac:dyDescent="0.25">
      <c r="A45" s="64" t="s">
        <v>318</v>
      </c>
      <c r="B45" s="64"/>
      <c r="C45" s="64"/>
      <c r="D45" s="64"/>
      <c r="E45" s="64"/>
      <c r="F45" s="20"/>
      <c r="G45" s="20"/>
      <c r="H45" s="20"/>
      <c r="I45" s="20"/>
      <c r="J45" s="20"/>
      <c r="K45" s="20"/>
    </row>
    <row r="46" spans="1:21" x14ac:dyDescent="0.25">
      <c r="A46" s="64" t="s">
        <v>319</v>
      </c>
      <c r="B46" s="64"/>
      <c r="C46" s="64"/>
      <c r="D46" s="64"/>
      <c r="E46" s="64"/>
      <c r="F46" s="20"/>
      <c r="G46" s="20"/>
      <c r="H46" s="20"/>
      <c r="I46" s="20"/>
      <c r="J46" s="20"/>
      <c r="K46" s="20"/>
      <c r="U46" t="s">
        <v>318</v>
      </c>
    </row>
    <row r="47" spans="1:21" x14ac:dyDescent="0.25">
      <c r="A47" s="51"/>
      <c r="B47" s="52"/>
      <c r="D47" s="20"/>
      <c r="E47" s="20"/>
      <c r="F47" s="20"/>
      <c r="G47" s="20"/>
      <c r="H47" s="20"/>
      <c r="I47" s="20"/>
      <c r="J47" s="20"/>
      <c r="K47" s="20"/>
      <c r="U47" t="s">
        <v>319</v>
      </c>
    </row>
    <row r="48" spans="1:21" x14ac:dyDescent="0.25">
      <c r="D48" s="20"/>
      <c r="E48" s="20"/>
      <c r="F48" s="20"/>
      <c r="G48" s="20"/>
      <c r="H48" s="20"/>
      <c r="I48" s="20"/>
      <c r="J48" s="20"/>
      <c r="K48" s="20"/>
    </row>
    <row r="49" spans="1:11" x14ac:dyDescent="0.25">
      <c r="D49" s="20"/>
      <c r="E49" s="20"/>
      <c r="F49" s="20"/>
      <c r="G49" s="20"/>
      <c r="H49" s="20"/>
      <c r="I49" s="20"/>
      <c r="J49" s="20"/>
      <c r="K49" s="20"/>
    </row>
    <row r="50" spans="1:11" x14ac:dyDescent="0.25">
      <c r="D50" s="20"/>
      <c r="E50" s="20"/>
      <c r="F50" s="20"/>
      <c r="G50" s="20"/>
      <c r="H50" s="20"/>
      <c r="I50" s="20"/>
      <c r="J50" s="20"/>
      <c r="K50" s="20"/>
    </row>
    <row r="51" spans="1:11" x14ac:dyDescent="0.25">
      <c r="D51" s="20"/>
      <c r="E51" s="20"/>
      <c r="F51" s="20"/>
      <c r="G51" s="20"/>
      <c r="H51" s="20"/>
      <c r="I51" s="20"/>
      <c r="J51" s="20"/>
      <c r="K51" s="20"/>
    </row>
    <row r="52" spans="1:11" x14ac:dyDescent="0.25">
      <c r="A52" s="42"/>
      <c r="B52" s="42"/>
      <c r="C52" s="43"/>
      <c r="D52" s="20"/>
      <c r="E52" s="20"/>
      <c r="F52" s="20"/>
      <c r="G52" s="20"/>
      <c r="H52" s="20"/>
      <c r="I52" s="20"/>
      <c r="J52" s="20"/>
      <c r="K52" s="20"/>
    </row>
    <row r="53" spans="1:11" ht="18" customHeight="1" x14ac:dyDescent="0.25">
      <c r="A53" s="20"/>
      <c r="B53" s="20"/>
      <c r="C53" s="20"/>
      <c r="D53" s="20"/>
      <c r="E53" s="20"/>
      <c r="F53" s="20"/>
      <c r="G53" s="20"/>
      <c r="H53" s="20"/>
      <c r="I53" s="20"/>
      <c r="J53" s="20"/>
      <c r="K53" s="20"/>
    </row>
    <row r="54" spans="1:11" ht="75" x14ac:dyDescent="0.25">
      <c r="A54" s="20" t="s">
        <v>254</v>
      </c>
      <c r="B54" s="20"/>
      <c r="C54" s="20"/>
      <c r="D54" s="20"/>
      <c r="E54" s="20"/>
      <c r="F54" s="20"/>
      <c r="G54" s="20"/>
      <c r="H54" s="20"/>
      <c r="I54" s="20"/>
      <c r="J54" s="20"/>
      <c r="K54" s="20"/>
    </row>
  </sheetData>
  <mergeCells count="8">
    <mergeCell ref="C13:D13"/>
    <mergeCell ref="N29:Q30"/>
    <mergeCell ref="H1:O1"/>
    <mergeCell ref="A2:B2"/>
    <mergeCell ref="C2:D2"/>
    <mergeCell ref="C5:D5"/>
    <mergeCell ref="C6:D6"/>
    <mergeCell ref="C9:D10"/>
  </mergeCells>
  <hyperlinks>
    <hyperlink ref="A5" r:id="rId1" xr:uid="{F2CB997F-09F0-4747-A0FC-CF1BCA658EA4}"/>
    <hyperlink ref="A9" r:id="rId2" xr:uid="{D5D14957-0887-4A11-AB77-87F4E1597C93}"/>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74EC2-C7F6-480D-AC2B-C22F272148AB}">
  <sheetPr codeName="Sheet6"/>
  <dimension ref="A1:AD37"/>
  <sheetViews>
    <sheetView topLeftCell="E1" zoomScaleNormal="100" workbookViewId="0">
      <selection activeCell="G2" sqref="G2"/>
    </sheetView>
  </sheetViews>
  <sheetFormatPr defaultRowHeight="15" x14ac:dyDescent="0.25"/>
  <sheetData>
    <row r="1" spans="1:30" x14ac:dyDescent="0.25">
      <c r="A1" s="165"/>
      <c r="B1" s="165"/>
      <c r="C1" s="165"/>
      <c r="D1" s="165"/>
      <c r="E1" s="165"/>
      <c r="F1" s="165"/>
      <c r="G1" s="165"/>
      <c r="H1" s="165"/>
      <c r="I1" s="165"/>
      <c r="J1" s="165"/>
      <c r="K1" s="165"/>
      <c r="L1" s="165"/>
      <c r="M1" s="165"/>
      <c r="N1" s="165"/>
      <c r="O1" s="165"/>
      <c r="P1" s="165"/>
      <c r="Q1" s="165"/>
      <c r="R1" s="165"/>
      <c r="S1" s="165"/>
      <c r="T1" s="165"/>
      <c r="U1" s="165"/>
      <c r="V1" s="165"/>
      <c r="W1" s="165"/>
      <c r="X1" s="165"/>
      <c r="Y1" s="165"/>
      <c r="Z1" s="165"/>
      <c r="AA1" s="165"/>
      <c r="AB1" s="165"/>
      <c r="AC1" s="165"/>
      <c r="AD1" s="165"/>
    </row>
    <row r="2" spans="1:30" x14ac:dyDescent="0.25">
      <c r="A2" s="165"/>
      <c r="B2" s="165"/>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row>
    <row r="3" spans="1:30" x14ac:dyDescent="0.25">
      <c r="A3" s="165"/>
      <c r="B3" s="165"/>
      <c r="C3" s="165"/>
      <c r="D3" s="165"/>
      <c r="E3" s="165"/>
      <c r="F3" s="165"/>
      <c r="G3" s="165"/>
      <c r="H3" s="165"/>
      <c r="I3" s="165"/>
      <c r="J3" s="165"/>
      <c r="K3" s="165"/>
      <c r="L3" s="165"/>
      <c r="M3" s="165"/>
      <c r="N3" s="165"/>
      <c r="O3" s="165"/>
      <c r="P3" s="165"/>
      <c r="Q3" s="165"/>
      <c r="R3" s="165"/>
      <c r="S3" s="165"/>
      <c r="T3" s="165"/>
      <c r="U3" s="165"/>
      <c r="V3" s="165"/>
      <c r="W3" s="165"/>
      <c r="X3" s="165"/>
      <c r="Y3" s="165"/>
      <c r="Z3" s="165"/>
      <c r="AA3" s="165"/>
      <c r="AB3" s="165"/>
      <c r="AC3" s="165"/>
      <c r="AD3" s="165"/>
    </row>
    <row r="4" spans="1:30" x14ac:dyDescent="0.25">
      <c r="A4" s="165"/>
      <c r="B4" s="165"/>
      <c r="C4" s="165"/>
      <c r="D4" s="165"/>
      <c r="E4" s="165"/>
      <c r="F4" s="165"/>
      <c r="G4" s="165"/>
      <c r="H4" s="165"/>
      <c r="I4" s="165"/>
      <c r="J4" s="165"/>
      <c r="K4" s="165"/>
      <c r="L4" s="165"/>
      <c r="M4" s="165"/>
      <c r="N4" s="165"/>
      <c r="O4" s="165"/>
      <c r="P4" s="165"/>
      <c r="Q4" s="165"/>
      <c r="R4" s="165"/>
      <c r="S4" s="165"/>
      <c r="T4" s="165"/>
      <c r="U4" s="165"/>
      <c r="V4" s="165"/>
      <c r="W4" s="165"/>
      <c r="X4" s="165"/>
      <c r="Y4" s="165"/>
      <c r="Z4" s="165"/>
      <c r="AA4" s="165"/>
      <c r="AB4" s="165"/>
      <c r="AC4" s="165"/>
      <c r="AD4" s="165"/>
    </row>
    <row r="5" spans="1:30" x14ac:dyDescent="0.25">
      <c r="A5" s="16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row>
    <row r="6" spans="1:30" x14ac:dyDescent="0.25">
      <c r="A6" s="165"/>
      <c r="B6" s="165"/>
      <c r="C6" s="165"/>
      <c r="D6" s="165"/>
      <c r="E6" s="165"/>
      <c r="F6" s="165"/>
      <c r="G6" s="165"/>
      <c r="H6" s="165"/>
      <c r="I6" s="165"/>
      <c r="J6" s="165"/>
      <c r="K6" s="165"/>
      <c r="L6" s="165"/>
      <c r="M6" s="165"/>
      <c r="N6" s="165"/>
      <c r="O6" s="165"/>
      <c r="P6" s="165"/>
      <c r="Q6" s="165"/>
      <c r="R6" s="165"/>
      <c r="S6" s="165"/>
      <c r="T6" s="165"/>
      <c r="U6" s="165"/>
      <c r="V6" s="165"/>
      <c r="W6" s="165"/>
      <c r="X6" s="165"/>
      <c r="Y6" s="165"/>
      <c r="Z6" s="165"/>
      <c r="AA6" s="165"/>
      <c r="AB6" s="165"/>
      <c r="AC6" s="165"/>
      <c r="AD6" s="165"/>
    </row>
    <row r="7" spans="1:30" x14ac:dyDescent="0.25">
      <c r="A7" s="165"/>
      <c r="B7" s="165"/>
      <c r="C7" s="165"/>
      <c r="D7" s="165"/>
      <c r="E7" s="165"/>
      <c r="F7" s="165"/>
      <c r="G7" s="165"/>
      <c r="H7" s="165"/>
      <c r="I7" s="165"/>
      <c r="J7" s="165"/>
      <c r="K7" s="165"/>
      <c r="L7" s="165"/>
      <c r="M7" s="165"/>
      <c r="N7" s="165"/>
      <c r="O7" s="165"/>
      <c r="P7" s="165"/>
      <c r="Q7" s="165"/>
      <c r="R7" s="165"/>
      <c r="S7" s="165"/>
      <c r="T7" s="165"/>
      <c r="U7" s="165"/>
      <c r="V7" s="165"/>
      <c r="W7" s="165"/>
      <c r="X7" s="165"/>
      <c r="Y7" s="165"/>
      <c r="Z7" s="165"/>
      <c r="AA7" s="165"/>
      <c r="AB7" s="165"/>
      <c r="AC7" s="165"/>
      <c r="AD7" s="165"/>
    </row>
    <row r="8" spans="1:30" x14ac:dyDescent="0.25">
      <c r="A8" s="165"/>
      <c r="B8" s="165"/>
      <c r="C8" s="165"/>
      <c r="D8" s="165"/>
      <c r="E8" s="165"/>
      <c r="F8" s="165"/>
      <c r="G8" s="165"/>
      <c r="H8" s="165"/>
      <c r="I8" s="165"/>
      <c r="J8" s="165"/>
      <c r="K8" s="165"/>
      <c r="L8" s="165"/>
      <c r="M8" s="165"/>
      <c r="N8" s="165"/>
      <c r="O8" s="165"/>
      <c r="P8" s="165"/>
      <c r="Q8" s="165"/>
      <c r="R8" s="165"/>
      <c r="S8" s="165"/>
      <c r="T8" s="165"/>
      <c r="U8" s="165"/>
      <c r="V8" s="165"/>
      <c r="W8" s="165"/>
      <c r="X8" s="165"/>
      <c r="Y8" s="165"/>
      <c r="Z8" s="165"/>
      <c r="AA8" s="165"/>
      <c r="AB8" s="165"/>
      <c r="AC8" s="165"/>
      <c r="AD8" s="165"/>
    </row>
    <row r="9" spans="1:30" x14ac:dyDescent="0.25">
      <c r="A9" s="165"/>
      <c r="B9" s="165"/>
      <c r="C9" s="165"/>
      <c r="D9" s="165"/>
      <c r="E9" s="165"/>
      <c r="F9" s="165"/>
      <c r="G9" s="165"/>
      <c r="H9" s="165"/>
      <c r="I9" s="165"/>
      <c r="J9" s="165"/>
      <c r="K9" s="165"/>
      <c r="L9" s="165"/>
      <c r="M9" s="165"/>
      <c r="N9" s="165"/>
      <c r="O9" s="165"/>
      <c r="P9" s="165"/>
      <c r="Q9" s="165"/>
      <c r="R9" s="165"/>
      <c r="S9" s="165"/>
      <c r="T9" s="165"/>
      <c r="U9" s="165"/>
      <c r="V9" s="165"/>
      <c r="W9" s="165"/>
      <c r="X9" s="165"/>
      <c r="Y9" s="165"/>
      <c r="Z9" s="165"/>
      <c r="AA9" s="165"/>
      <c r="AB9" s="165"/>
      <c r="AC9" s="165"/>
      <c r="AD9" s="165"/>
    </row>
    <row r="10" spans="1:30" x14ac:dyDescent="0.25">
      <c r="A10" s="165"/>
      <c r="B10" s="165"/>
      <c r="C10" s="165"/>
      <c r="D10" s="165"/>
      <c r="E10" s="165"/>
      <c r="F10" s="165"/>
      <c r="G10" s="165"/>
      <c r="H10" s="165"/>
      <c r="I10" s="165"/>
      <c r="J10" s="165"/>
      <c r="K10" s="165"/>
      <c r="L10" s="165"/>
      <c r="M10" s="165"/>
      <c r="N10" s="165"/>
      <c r="O10" s="165"/>
      <c r="P10" s="165"/>
      <c r="Q10" s="165"/>
      <c r="R10" s="165"/>
      <c r="S10" s="165"/>
      <c r="T10" s="165"/>
      <c r="U10" s="165"/>
      <c r="V10" s="165"/>
      <c r="W10" s="165"/>
      <c r="X10" s="165"/>
      <c r="Y10" s="165"/>
      <c r="Z10" s="165"/>
      <c r="AA10" s="165"/>
      <c r="AB10" s="165"/>
      <c r="AC10" s="165"/>
      <c r="AD10" s="165"/>
    </row>
    <row r="11" spans="1:30" x14ac:dyDescent="0.25">
      <c r="A11" s="165"/>
      <c r="B11" s="165"/>
      <c r="C11" s="165"/>
      <c r="D11" s="165"/>
      <c r="E11" s="165"/>
      <c r="F11" s="165"/>
      <c r="G11" s="165"/>
      <c r="H11" s="165"/>
      <c r="I11" s="165"/>
      <c r="J11" s="165"/>
      <c r="K11" s="165"/>
      <c r="L11" s="165"/>
      <c r="M11" s="165"/>
      <c r="N11" s="165"/>
      <c r="O11" s="165"/>
      <c r="P11" s="165"/>
      <c r="Q11" s="165"/>
      <c r="R11" s="165"/>
      <c r="S11" s="165"/>
      <c r="T11" s="165"/>
      <c r="U11" s="165"/>
      <c r="V11" s="165"/>
      <c r="W11" s="165"/>
      <c r="X11" s="165"/>
      <c r="Y11" s="165"/>
      <c r="Z11" s="165"/>
      <c r="AA11" s="165"/>
      <c r="AB11" s="165"/>
      <c r="AC11" s="165"/>
      <c r="AD11" s="165"/>
    </row>
    <row r="12" spans="1:30" x14ac:dyDescent="0.25">
      <c r="A12" s="165"/>
      <c r="B12" s="165"/>
      <c r="C12" s="165"/>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row>
    <row r="13" spans="1:30" x14ac:dyDescent="0.25">
      <c r="A13" s="165"/>
      <c r="B13" s="165"/>
      <c r="C13" s="16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65"/>
      <c r="AB13" s="165"/>
      <c r="AC13" s="165"/>
      <c r="AD13" s="165"/>
    </row>
    <row r="14" spans="1:30" x14ac:dyDescent="0.25">
      <c r="A14" s="165"/>
      <c r="B14" s="165"/>
      <c r="C14" s="16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65"/>
      <c r="AB14" s="165"/>
      <c r="AC14" s="165"/>
      <c r="AD14" s="165"/>
    </row>
    <row r="15" spans="1:30" x14ac:dyDescent="0.25">
      <c r="A15" s="165"/>
      <c r="B15" s="165"/>
      <c r="C15" s="16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row>
    <row r="16" spans="1:30" x14ac:dyDescent="0.25">
      <c r="A16" s="165"/>
      <c r="B16" s="165"/>
      <c r="C16" s="16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5"/>
      <c r="AB16" s="165"/>
      <c r="AC16" s="165"/>
      <c r="AD16" s="165"/>
    </row>
    <row r="17" spans="1:30" x14ac:dyDescent="0.25">
      <c r="A17" s="165"/>
      <c r="B17" s="165"/>
      <c r="C17" s="165"/>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row>
    <row r="18" spans="1:30" x14ac:dyDescent="0.25">
      <c r="A18" s="165"/>
      <c r="B18" s="165"/>
      <c r="C18" s="165"/>
      <c r="D18" s="165"/>
      <c r="E18" s="165"/>
      <c r="F18" s="165"/>
      <c r="G18" s="165"/>
      <c r="H18" s="165"/>
      <c r="I18" s="165"/>
      <c r="J18" s="165"/>
      <c r="K18" s="165"/>
      <c r="L18" s="165"/>
      <c r="M18" s="165"/>
      <c r="N18" s="165"/>
      <c r="O18" s="165"/>
      <c r="P18" s="165"/>
      <c r="Q18" s="165"/>
      <c r="R18" s="165"/>
      <c r="S18" s="165"/>
      <c r="T18" s="165"/>
      <c r="U18" s="165"/>
      <c r="V18" s="165"/>
      <c r="W18" s="165"/>
      <c r="X18" s="165"/>
      <c r="Y18" s="165"/>
      <c r="Z18" s="165"/>
      <c r="AA18" s="165"/>
      <c r="AB18" s="165"/>
      <c r="AC18" s="165"/>
      <c r="AD18" s="165"/>
    </row>
    <row r="19" spans="1:30" x14ac:dyDescent="0.25">
      <c r="A19" s="165"/>
      <c r="B19" s="165"/>
      <c r="C19" s="165"/>
      <c r="D19" s="165"/>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row>
    <row r="20" spans="1:30" x14ac:dyDescent="0.25">
      <c r="A20" s="165"/>
      <c r="B20" s="165"/>
      <c r="C20" s="165"/>
      <c r="D20" s="165"/>
      <c r="E20" s="165"/>
      <c r="F20" s="165"/>
      <c r="G20" s="165"/>
      <c r="H20" s="165"/>
      <c r="I20" s="165"/>
      <c r="J20" s="165"/>
      <c r="K20" s="165"/>
      <c r="L20" s="165"/>
      <c r="M20" s="165"/>
      <c r="N20" s="165"/>
      <c r="O20" s="165"/>
      <c r="P20" s="165"/>
      <c r="Q20" s="165"/>
      <c r="R20" s="165"/>
      <c r="S20" s="165"/>
      <c r="T20" s="165"/>
      <c r="U20" s="165"/>
      <c r="V20" s="165"/>
      <c r="W20" s="165"/>
      <c r="X20" s="165"/>
      <c r="Y20" s="165"/>
      <c r="Z20" s="165"/>
      <c r="AA20" s="165"/>
      <c r="AB20" s="165"/>
      <c r="AC20" s="165"/>
      <c r="AD20" s="165"/>
    </row>
    <row r="21" spans="1:30" x14ac:dyDescent="0.25">
      <c r="A21" s="165"/>
      <c r="B21" s="165"/>
      <c r="C21" s="16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row>
    <row r="22" spans="1:30" x14ac:dyDescent="0.25">
      <c r="A22" s="165"/>
      <c r="B22" s="165"/>
      <c r="C22" s="16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165"/>
      <c r="AB22" s="165"/>
      <c r="AC22" s="165"/>
      <c r="AD22" s="165"/>
    </row>
    <row r="23" spans="1:30" x14ac:dyDescent="0.25">
      <c r="A23" s="165"/>
      <c r="B23" s="165"/>
      <c r="C23" s="16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row>
    <row r="24" spans="1:30" x14ac:dyDescent="0.25">
      <c r="A24" s="165"/>
      <c r="B24" s="165"/>
      <c r="C24" s="16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165"/>
      <c r="AB24" s="165"/>
      <c r="AC24" s="165"/>
      <c r="AD24" s="165"/>
    </row>
    <row r="25" spans="1:30" x14ac:dyDescent="0.25">
      <c r="A25" s="165"/>
      <c r="B25" s="165"/>
      <c r="C25" s="165"/>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165"/>
      <c r="AB25" s="165"/>
      <c r="AC25" s="165"/>
      <c r="AD25" s="165"/>
    </row>
    <row r="26" spans="1:30" x14ac:dyDescent="0.25">
      <c r="A26" s="165"/>
      <c r="B26" s="165"/>
      <c r="C26" s="165"/>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5"/>
      <c r="AB26" s="165"/>
      <c r="AC26" s="165"/>
      <c r="AD26" s="165"/>
    </row>
    <row r="27" spans="1:30" x14ac:dyDescent="0.25">
      <c r="A27" s="165"/>
      <c r="B27" s="165"/>
      <c r="C27" s="165"/>
      <c r="D27" s="165"/>
      <c r="E27" s="165"/>
      <c r="F27" s="165"/>
      <c r="G27" s="165"/>
      <c r="H27" s="165"/>
      <c r="I27" s="165"/>
      <c r="J27" s="165"/>
      <c r="K27" s="165"/>
      <c r="L27" s="165"/>
      <c r="M27" s="165"/>
      <c r="N27" s="165"/>
      <c r="O27" s="165"/>
      <c r="P27" s="165"/>
      <c r="Q27" s="165"/>
      <c r="R27" s="165"/>
      <c r="S27" s="165"/>
      <c r="T27" s="165"/>
      <c r="U27" s="165"/>
      <c r="V27" s="165"/>
      <c r="W27" s="165"/>
      <c r="X27" s="165"/>
      <c r="Y27" s="165"/>
      <c r="Z27" s="165"/>
      <c r="AA27" s="165"/>
      <c r="AB27" s="165"/>
      <c r="AC27" s="165"/>
      <c r="AD27" s="165"/>
    </row>
    <row r="28" spans="1:30" x14ac:dyDescent="0.25">
      <c r="A28" s="165"/>
      <c r="B28" s="165"/>
      <c r="C28" s="165"/>
      <c r="D28" s="165"/>
      <c r="E28" s="165"/>
      <c r="F28" s="165"/>
      <c r="G28" s="165"/>
      <c r="H28" s="165"/>
      <c r="I28" s="165"/>
      <c r="J28" s="165"/>
      <c r="K28" s="165"/>
      <c r="L28" s="165"/>
      <c r="M28" s="165"/>
      <c r="N28" s="165"/>
      <c r="O28" s="165"/>
      <c r="P28" s="165"/>
      <c r="Q28" s="165"/>
      <c r="R28" s="165"/>
      <c r="S28" s="165"/>
      <c r="T28" s="165"/>
      <c r="U28" s="165"/>
      <c r="V28" s="165"/>
      <c r="W28" s="165"/>
      <c r="X28" s="165"/>
      <c r="Y28" s="165"/>
      <c r="Z28" s="165"/>
      <c r="AA28" s="165"/>
      <c r="AB28" s="165"/>
      <c r="AC28" s="165"/>
      <c r="AD28" s="165"/>
    </row>
    <row r="29" spans="1:30" x14ac:dyDescent="0.25">
      <c r="A29" s="165"/>
      <c r="B29" s="165"/>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row>
    <row r="30" spans="1:30" x14ac:dyDescent="0.25">
      <c r="A30" s="165"/>
      <c r="B30" s="165"/>
      <c r="C30" s="165"/>
      <c r="D30" s="165"/>
      <c r="E30" s="165"/>
      <c r="F30" s="165"/>
      <c r="G30" s="165"/>
      <c r="H30" s="165"/>
      <c r="I30" s="165"/>
      <c r="J30" s="165"/>
      <c r="K30" s="165"/>
      <c r="L30" s="165"/>
      <c r="M30" s="165"/>
      <c r="N30" s="165"/>
      <c r="O30" s="165"/>
      <c r="P30" s="165"/>
      <c r="Q30" s="165"/>
      <c r="R30" s="165"/>
      <c r="S30" s="165"/>
      <c r="T30" s="165"/>
      <c r="U30" s="165"/>
      <c r="V30" s="165"/>
      <c r="W30" s="165"/>
      <c r="X30" s="165"/>
      <c r="Y30" s="165"/>
      <c r="Z30" s="165"/>
      <c r="AA30" s="165"/>
      <c r="AB30" s="165"/>
      <c r="AC30" s="165"/>
      <c r="AD30" s="165"/>
    </row>
    <row r="31" spans="1:30" x14ac:dyDescent="0.25">
      <c r="A31" s="165"/>
      <c r="B31" s="165"/>
      <c r="C31" s="16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65"/>
      <c r="AB31" s="165"/>
      <c r="AC31" s="165"/>
      <c r="AD31" s="165"/>
    </row>
    <row r="32" spans="1:30" x14ac:dyDescent="0.25">
      <c r="A32" s="165"/>
      <c r="B32" s="165"/>
      <c r="C32" s="16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row>
    <row r="33" spans="1:30" x14ac:dyDescent="0.25">
      <c r="A33" s="165"/>
      <c r="B33" s="165"/>
      <c r="C33" s="16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row>
    <row r="34" spans="1:30" x14ac:dyDescent="0.25">
      <c r="A34" s="165"/>
      <c r="B34" s="165"/>
      <c r="C34" s="16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65"/>
      <c r="AB34" s="165"/>
      <c r="AC34" s="165"/>
      <c r="AD34" s="165"/>
    </row>
    <row r="35" spans="1:30" x14ac:dyDescent="0.25">
      <c r="A35" s="16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row>
    <row r="36" spans="1:30" x14ac:dyDescent="0.25">
      <c r="A36" s="16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5"/>
      <c r="AB36" s="165"/>
      <c r="AC36" s="165"/>
      <c r="AD36" s="165"/>
    </row>
    <row r="37" spans="1:30" x14ac:dyDescent="0.25">
      <c r="A37" s="16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E56B7-4E0A-46D5-A64B-D0918FC6E176}">
  <sheetPr codeName="Sheet7"/>
  <dimension ref="A2:C51"/>
  <sheetViews>
    <sheetView topLeftCell="A22" zoomScaleNormal="100" workbookViewId="0">
      <selection activeCell="Z11" sqref="Z11"/>
    </sheetView>
  </sheetViews>
  <sheetFormatPr defaultRowHeight="15" x14ac:dyDescent="0.25"/>
  <cols>
    <col min="1" max="1" width="19.42578125" bestFit="1" customWidth="1"/>
    <col min="2" max="2" width="27.28515625" bestFit="1" customWidth="1"/>
    <col min="3" max="3" width="30.7109375" bestFit="1" customWidth="1"/>
    <col min="4" max="5" width="28.140625" bestFit="1" customWidth="1"/>
  </cols>
  <sheetData>
    <row r="2" spans="1:3" x14ac:dyDescent="0.25">
      <c r="A2" s="66" t="s">
        <v>32</v>
      </c>
      <c r="B2" s="67">
        <v>60</v>
      </c>
    </row>
    <row r="3" spans="1:3" x14ac:dyDescent="0.25">
      <c r="A3" s="66" t="s">
        <v>11</v>
      </c>
      <c r="B3" t="s">
        <v>279</v>
      </c>
    </row>
    <row r="4" spans="1:3" x14ac:dyDescent="0.25">
      <c r="A4" s="66" t="s">
        <v>12</v>
      </c>
      <c r="B4" t="s">
        <v>279</v>
      </c>
    </row>
    <row r="5" spans="1:3" x14ac:dyDescent="0.25">
      <c r="A5" s="66" t="s">
        <v>6</v>
      </c>
      <c r="B5" t="s">
        <v>279</v>
      </c>
    </row>
    <row r="6" spans="1:3" x14ac:dyDescent="0.25">
      <c r="A6" s="66" t="s">
        <v>5</v>
      </c>
      <c r="B6" t="s">
        <v>279</v>
      </c>
    </row>
    <row r="8" spans="1:3" x14ac:dyDescent="0.25">
      <c r="A8" s="66" t="s">
        <v>94</v>
      </c>
      <c r="B8" t="s">
        <v>405</v>
      </c>
      <c r="C8" t="s">
        <v>406</v>
      </c>
    </row>
    <row r="9" spans="1:3" x14ac:dyDescent="0.25">
      <c r="A9" s="67" t="s">
        <v>37</v>
      </c>
      <c r="B9" s="93">
        <v>250.76315789473688</v>
      </c>
      <c r="C9" s="93">
        <v>148.554</v>
      </c>
    </row>
    <row r="10" spans="1:3" x14ac:dyDescent="0.25">
      <c r="A10" s="68" t="s">
        <v>84</v>
      </c>
      <c r="B10" s="93">
        <v>246.5</v>
      </c>
      <c r="C10" s="93">
        <v>124.6</v>
      </c>
    </row>
    <row r="11" spans="1:3" x14ac:dyDescent="0.25">
      <c r="A11" s="68" t="s">
        <v>33</v>
      </c>
      <c r="B11" s="93">
        <v>298.02499999999998</v>
      </c>
      <c r="C11" s="93">
        <v>172.25</v>
      </c>
    </row>
    <row r="12" spans="1:3" x14ac:dyDescent="0.25">
      <c r="A12" s="68" t="s">
        <v>35</v>
      </c>
      <c r="B12" s="93">
        <v>234.9</v>
      </c>
      <c r="C12" s="93">
        <v>135.44999999999999</v>
      </c>
    </row>
    <row r="13" spans="1:3" x14ac:dyDescent="0.25">
      <c r="A13" s="68" t="s">
        <v>34</v>
      </c>
      <c r="B13" s="93">
        <v>237.1166666666667</v>
      </c>
      <c r="C13" s="93">
        <v>147.23333333333332</v>
      </c>
    </row>
    <row r="14" spans="1:3" x14ac:dyDescent="0.25">
      <c r="A14" s="68" t="s">
        <v>76</v>
      </c>
      <c r="B14" s="93">
        <v>280.62</v>
      </c>
      <c r="C14" s="93">
        <v>181.28800000000001</v>
      </c>
    </row>
    <row r="15" spans="1:3" x14ac:dyDescent="0.25">
      <c r="A15" s="68" t="s">
        <v>107</v>
      </c>
      <c r="B15" s="93">
        <v>218.04</v>
      </c>
      <c r="C15" s="93">
        <v>123.0125</v>
      </c>
    </row>
    <row r="16" spans="1:3" x14ac:dyDescent="0.25">
      <c r="A16" s="67" t="s">
        <v>331</v>
      </c>
      <c r="B16" s="93">
        <v>163.44999999999999</v>
      </c>
      <c r="C16" s="93">
        <v>221.7</v>
      </c>
    </row>
    <row r="17" spans="1:3" x14ac:dyDescent="0.25">
      <c r="A17" s="68" t="s">
        <v>333</v>
      </c>
      <c r="B17" s="93">
        <v>163.44999999999999</v>
      </c>
      <c r="C17" s="93">
        <v>221.7</v>
      </c>
    </row>
    <row r="18" spans="1:3" x14ac:dyDescent="0.25">
      <c r="A18" s="67" t="s">
        <v>80</v>
      </c>
      <c r="B18" s="93">
        <v>287.22692307692307</v>
      </c>
      <c r="C18" s="93">
        <v>191.52800000000002</v>
      </c>
    </row>
    <row r="19" spans="1:3" x14ac:dyDescent="0.25">
      <c r="A19" s="68" t="s">
        <v>50</v>
      </c>
      <c r="B19" s="93">
        <v>146.85</v>
      </c>
      <c r="C19" s="93">
        <v>86.2</v>
      </c>
    </row>
    <row r="20" spans="1:3" x14ac:dyDescent="0.25">
      <c r="A20" s="68" t="s">
        <v>291</v>
      </c>
      <c r="B20" s="93">
        <v>246.79999999999998</v>
      </c>
      <c r="C20" s="93">
        <v>150.86666666666667</v>
      </c>
    </row>
    <row r="21" spans="1:3" x14ac:dyDescent="0.25">
      <c r="A21" s="68" t="s">
        <v>81</v>
      </c>
      <c r="B21" s="93">
        <v>309.35000000000002</v>
      </c>
      <c r="C21" s="93">
        <v>208.16</v>
      </c>
    </row>
    <row r="22" spans="1:3" x14ac:dyDescent="0.25">
      <c r="A22" s="67" t="s">
        <v>44</v>
      </c>
      <c r="B22" s="93">
        <v>143.20857142857142</v>
      </c>
      <c r="C22" s="93">
        <v>95.731999999999999</v>
      </c>
    </row>
    <row r="23" spans="1:3" x14ac:dyDescent="0.25">
      <c r="A23" s="68" t="s">
        <v>84</v>
      </c>
      <c r="B23" s="93">
        <v>174.3</v>
      </c>
      <c r="C23" s="93">
        <v>79.900000000000006</v>
      </c>
    </row>
    <row r="24" spans="1:3" x14ac:dyDescent="0.25">
      <c r="A24" s="68" t="s">
        <v>49</v>
      </c>
      <c r="B24" s="93">
        <v>235.9</v>
      </c>
      <c r="C24" s="93">
        <v>158.5</v>
      </c>
    </row>
    <row r="25" spans="1:3" x14ac:dyDescent="0.25">
      <c r="A25" s="68" t="s">
        <v>116</v>
      </c>
      <c r="B25" s="93">
        <v>100.66</v>
      </c>
      <c r="C25" s="93">
        <v>47.76</v>
      </c>
    </row>
    <row r="26" spans="1:3" x14ac:dyDescent="0.25">
      <c r="A26" s="68" t="s">
        <v>57</v>
      </c>
      <c r="B26" s="93">
        <v>59.5</v>
      </c>
      <c r="C26" s="93"/>
    </row>
    <row r="27" spans="1:3" x14ac:dyDescent="0.25">
      <c r="A27" s="68" t="s">
        <v>51</v>
      </c>
      <c r="B27" s="93">
        <v>186.3</v>
      </c>
      <c r="C27" s="93">
        <v>96.25</v>
      </c>
    </row>
    <row r="28" spans="1:3" x14ac:dyDescent="0.25">
      <c r="A28" s="67" t="s">
        <v>63</v>
      </c>
      <c r="B28" s="93">
        <v>211.67500000000001</v>
      </c>
      <c r="C28" s="93">
        <v>128.69999999999999</v>
      </c>
    </row>
    <row r="29" spans="1:3" x14ac:dyDescent="0.25">
      <c r="A29" s="68" t="s">
        <v>62</v>
      </c>
      <c r="B29" s="93">
        <v>257.39999999999998</v>
      </c>
      <c r="C29" s="93">
        <v>163.19999999999999</v>
      </c>
    </row>
    <row r="30" spans="1:3" x14ac:dyDescent="0.25">
      <c r="A30" s="68" t="s">
        <v>50</v>
      </c>
      <c r="B30" s="93">
        <v>165.95</v>
      </c>
      <c r="C30" s="93">
        <v>94.2</v>
      </c>
    </row>
    <row r="31" spans="1:3" x14ac:dyDescent="0.25">
      <c r="A31" s="67" t="s">
        <v>330</v>
      </c>
      <c r="B31" s="93">
        <v>152.25</v>
      </c>
      <c r="C31" s="93">
        <v>221.10000000000002</v>
      </c>
    </row>
    <row r="32" spans="1:3" x14ac:dyDescent="0.25">
      <c r="A32" s="68" t="s">
        <v>333</v>
      </c>
      <c r="B32" s="93">
        <v>152.25</v>
      </c>
      <c r="C32" s="93">
        <v>221.10000000000002</v>
      </c>
    </row>
    <row r="33" spans="1:3" x14ac:dyDescent="0.25">
      <c r="A33" s="67" t="s">
        <v>329</v>
      </c>
      <c r="B33" s="93">
        <v>148.44999999999999</v>
      </c>
      <c r="C33" s="93">
        <v>202</v>
      </c>
    </row>
    <row r="34" spans="1:3" x14ac:dyDescent="0.25">
      <c r="A34" s="68" t="s">
        <v>333</v>
      </c>
      <c r="B34" s="93">
        <v>148.44999999999999</v>
      </c>
      <c r="C34" s="93">
        <v>202</v>
      </c>
    </row>
    <row r="35" spans="1:3" x14ac:dyDescent="0.25">
      <c r="A35" s="67" t="s">
        <v>47</v>
      </c>
      <c r="B35" s="93">
        <v>175.41249999999999</v>
      </c>
      <c r="C35" s="93">
        <v>104.3175</v>
      </c>
    </row>
    <row r="36" spans="1:3" x14ac:dyDescent="0.25">
      <c r="A36" s="68" t="s">
        <v>45</v>
      </c>
      <c r="B36" s="93">
        <v>144.375</v>
      </c>
      <c r="C36" s="93">
        <v>81.884999999999991</v>
      </c>
    </row>
    <row r="37" spans="1:3" x14ac:dyDescent="0.25">
      <c r="A37" s="68" t="s">
        <v>43</v>
      </c>
      <c r="B37" s="93">
        <v>206.45</v>
      </c>
      <c r="C37" s="93">
        <v>126.75</v>
      </c>
    </row>
    <row r="38" spans="1:3" x14ac:dyDescent="0.25">
      <c r="A38" s="67" t="s">
        <v>40</v>
      </c>
      <c r="B38" s="93">
        <v>218.49565217391302</v>
      </c>
      <c r="C38" s="93">
        <v>127.26347826086958</v>
      </c>
    </row>
    <row r="39" spans="1:3" x14ac:dyDescent="0.25">
      <c r="A39" s="68" t="s">
        <v>53</v>
      </c>
      <c r="B39" s="93">
        <v>216.61000000000004</v>
      </c>
      <c r="C39" s="93">
        <v>121.91800000000001</v>
      </c>
    </row>
    <row r="40" spans="1:3" x14ac:dyDescent="0.25">
      <c r="A40" s="68" t="s">
        <v>87</v>
      </c>
      <c r="B40" s="93">
        <v>154.02500000000001</v>
      </c>
      <c r="C40" s="93">
        <v>83.284999999999997</v>
      </c>
    </row>
    <row r="41" spans="1:3" x14ac:dyDescent="0.25">
      <c r="A41" s="68" t="s">
        <v>55</v>
      </c>
      <c r="B41" s="93">
        <v>274.90000000000003</v>
      </c>
      <c r="C41" s="93">
        <v>165</v>
      </c>
    </row>
    <row r="42" spans="1:3" x14ac:dyDescent="0.25">
      <c r="A42" s="68" t="s">
        <v>41</v>
      </c>
      <c r="B42" s="93">
        <v>161.80000000000001</v>
      </c>
      <c r="C42" s="93">
        <v>94.3</v>
      </c>
    </row>
    <row r="43" spans="1:3" x14ac:dyDescent="0.25">
      <c r="A43" s="68" t="s">
        <v>48</v>
      </c>
      <c r="B43" s="93">
        <v>262.5</v>
      </c>
      <c r="C43" s="93">
        <v>156.5</v>
      </c>
    </row>
    <row r="44" spans="1:3" x14ac:dyDescent="0.25">
      <c r="A44" s="68" t="s">
        <v>39</v>
      </c>
      <c r="B44" s="93">
        <v>247.55</v>
      </c>
      <c r="C44" s="93">
        <v>148.15</v>
      </c>
    </row>
    <row r="45" spans="1:3" x14ac:dyDescent="0.25">
      <c r="A45" s="68" t="s">
        <v>348</v>
      </c>
      <c r="B45" s="93">
        <v>166.5</v>
      </c>
      <c r="C45" s="93">
        <v>95</v>
      </c>
    </row>
    <row r="46" spans="1:3" x14ac:dyDescent="0.25">
      <c r="A46" s="67" t="s">
        <v>54</v>
      </c>
      <c r="B46" s="93">
        <v>254.97999999999996</v>
      </c>
      <c r="C46" s="93">
        <v>129.32</v>
      </c>
    </row>
    <row r="47" spans="1:3" x14ac:dyDescent="0.25">
      <c r="A47" s="68" t="s">
        <v>84</v>
      </c>
      <c r="B47" s="93">
        <v>247.3</v>
      </c>
      <c r="C47" s="93">
        <v>127.4</v>
      </c>
    </row>
    <row r="48" spans="1:3" x14ac:dyDescent="0.25">
      <c r="A48" s="68" t="s">
        <v>52</v>
      </c>
      <c r="B48" s="93">
        <v>256.89999999999998</v>
      </c>
      <c r="C48" s="93">
        <v>129.80000000000001</v>
      </c>
    </row>
    <row r="49" spans="1:3" x14ac:dyDescent="0.25">
      <c r="A49" s="67" t="s">
        <v>332</v>
      </c>
      <c r="B49" s="93">
        <v>155</v>
      </c>
      <c r="C49" s="93">
        <v>217.55</v>
      </c>
    </row>
    <row r="50" spans="1:3" x14ac:dyDescent="0.25">
      <c r="A50" s="68" t="s">
        <v>333</v>
      </c>
      <c r="B50" s="93">
        <v>155</v>
      </c>
      <c r="C50" s="93">
        <v>217.55</v>
      </c>
    </row>
    <row r="51" spans="1:3" x14ac:dyDescent="0.25">
      <c r="A51" s="67" t="s">
        <v>278</v>
      </c>
      <c r="B51" s="371">
        <v>232.51885416666664</v>
      </c>
      <c r="C51" s="371">
        <v>153.97651612903218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4E921-258F-440E-94E0-1B7A5076E6E6}">
  <sheetPr codeName="Sheet11"/>
  <dimension ref="F3:H31"/>
  <sheetViews>
    <sheetView topLeftCell="A7" workbookViewId="0">
      <selection activeCell="H16" sqref="H16"/>
    </sheetView>
  </sheetViews>
  <sheetFormatPr defaultRowHeight="15" x14ac:dyDescent="0.25"/>
  <cols>
    <col min="6" max="6" width="14.28515625" bestFit="1" customWidth="1"/>
    <col min="7" max="7" width="27.28515625" bestFit="1" customWidth="1"/>
    <col min="8" max="8" width="28.140625" bestFit="1" customWidth="1"/>
  </cols>
  <sheetData>
    <row r="3" spans="6:8" x14ac:dyDescent="0.25">
      <c r="F3" s="66" t="s">
        <v>32</v>
      </c>
      <c r="G3" t="s">
        <v>279</v>
      </c>
    </row>
    <row r="4" spans="6:8" x14ac:dyDescent="0.25">
      <c r="F4" s="66" t="s">
        <v>6</v>
      </c>
      <c r="G4" t="s">
        <v>279</v>
      </c>
    </row>
    <row r="5" spans="6:8" x14ac:dyDescent="0.25">
      <c r="F5" s="66" t="s">
        <v>5</v>
      </c>
      <c r="G5" t="s">
        <v>279</v>
      </c>
    </row>
    <row r="6" spans="6:8" x14ac:dyDescent="0.25">
      <c r="F6" s="66" t="s">
        <v>11</v>
      </c>
      <c r="G6" t="s">
        <v>279</v>
      </c>
    </row>
    <row r="7" spans="6:8" x14ac:dyDescent="0.25">
      <c r="F7" s="66" t="s">
        <v>12</v>
      </c>
      <c r="G7" t="s">
        <v>279</v>
      </c>
    </row>
    <row r="9" spans="6:8" x14ac:dyDescent="0.25">
      <c r="F9" s="66" t="s">
        <v>277</v>
      </c>
      <c r="G9" t="s">
        <v>370</v>
      </c>
      <c r="H9" t="s">
        <v>371</v>
      </c>
    </row>
    <row r="10" spans="6:8" x14ac:dyDescent="0.25">
      <c r="F10" s="67" t="s">
        <v>37</v>
      </c>
      <c r="G10" s="93">
        <v>2.3157692307692308</v>
      </c>
      <c r="H10" s="93">
        <v>1.4580000000000002</v>
      </c>
    </row>
    <row r="11" spans="6:8" x14ac:dyDescent="0.25">
      <c r="F11" s="68" t="s">
        <v>33</v>
      </c>
      <c r="G11" s="93">
        <v>2.5900000000000003</v>
      </c>
      <c r="H11" s="93">
        <v>1.5687500000000001</v>
      </c>
    </row>
    <row r="12" spans="6:8" x14ac:dyDescent="0.25">
      <c r="F12" s="68" t="s">
        <v>35</v>
      </c>
      <c r="G12" s="93">
        <v>1.9333333333333336</v>
      </c>
      <c r="H12" s="93">
        <v>1.3499999999999999</v>
      </c>
    </row>
    <row r="13" spans="6:8" x14ac:dyDescent="0.25">
      <c r="F13" s="68" t="s">
        <v>34</v>
      </c>
      <c r="G13" s="93">
        <v>2.3241666666666672</v>
      </c>
      <c r="H13" s="93">
        <v>1.4363636363636365</v>
      </c>
    </row>
    <row r="14" spans="6:8" x14ac:dyDescent="0.25">
      <c r="F14" s="67" t="s">
        <v>80</v>
      </c>
      <c r="G14" s="93">
        <v>2.4386842105263162</v>
      </c>
      <c r="H14" s="93">
        <v>1.7455263157894736</v>
      </c>
    </row>
    <row r="15" spans="6:8" x14ac:dyDescent="0.25">
      <c r="F15" s="68" t="s">
        <v>50</v>
      </c>
      <c r="G15" s="93">
        <v>2.3149999999999999</v>
      </c>
      <c r="H15" s="93">
        <v>1.3599999999999999</v>
      </c>
    </row>
    <row r="16" spans="6:8" x14ac:dyDescent="0.25">
      <c r="F16" s="68" t="s">
        <v>81</v>
      </c>
      <c r="G16" s="93">
        <v>2.9015</v>
      </c>
      <c r="H16" s="93">
        <v>1.9564999999999997</v>
      </c>
    </row>
    <row r="17" spans="6:8" x14ac:dyDescent="0.25">
      <c r="F17" s="68" t="s">
        <v>409</v>
      </c>
      <c r="G17" s="93">
        <v>1.8756250000000003</v>
      </c>
      <c r="H17" s="93">
        <v>1.5299999999999998</v>
      </c>
    </row>
    <row r="18" spans="6:8" x14ac:dyDescent="0.25">
      <c r="F18" s="67" t="s">
        <v>44</v>
      </c>
      <c r="G18" s="93">
        <v>3.31</v>
      </c>
      <c r="H18" s="93">
        <v>2.23</v>
      </c>
    </row>
    <row r="19" spans="6:8" x14ac:dyDescent="0.25">
      <c r="F19" s="68" t="s">
        <v>49</v>
      </c>
      <c r="G19" s="93">
        <v>3.31</v>
      </c>
      <c r="H19" s="93">
        <v>2.23</v>
      </c>
    </row>
    <row r="20" spans="6:8" x14ac:dyDescent="0.25">
      <c r="F20" s="67" t="s">
        <v>63</v>
      </c>
      <c r="G20" s="93">
        <v>2.3616666666666668</v>
      </c>
      <c r="H20" s="93">
        <v>1.4650000000000001</v>
      </c>
    </row>
    <row r="21" spans="6:8" x14ac:dyDescent="0.25">
      <c r="F21" s="68" t="s">
        <v>62</v>
      </c>
      <c r="G21" s="93">
        <v>2.335</v>
      </c>
      <c r="H21" s="93">
        <v>1.5125000000000002</v>
      </c>
    </row>
    <row r="22" spans="6:8" x14ac:dyDescent="0.25">
      <c r="F22" s="68" t="s">
        <v>50</v>
      </c>
      <c r="G22" s="93">
        <v>2.415</v>
      </c>
      <c r="H22" s="93">
        <v>1.37</v>
      </c>
    </row>
    <row r="23" spans="6:8" x14ac:dyDescent="0.25">
      <c r="F23" s="67" t="s">
        <v>47</v>
      </c>
      <c r="G23" s="93">
        <v>2.3850000000000002</v>
      </c>
      <c r="H23" s="93">
        <v>1.4933333333333334</v>
      </c>
    </row>
    <row r="24" spans="6:8" x14ac:dyDescent="0.25">
      <c r="F24" s="68" t="s">
        <v>36</v>
      </c>
      <c r="G24" s="93">
        <v>2.2225000000000001</v>
      </c>
      <c r="H24" s="93">
        <v>1.3975</v>
      </c>
    </row>
    <row r="25" spans="6:8" x14ac:dyDescent="0.25">
      <c r="F25" s="68" t="s">
        <v>43</v>
      </c>
      <c r="G25" s="93">
        <v>2.71</v>
      </c>
      <c r="H25" s="93">
        <v>1.6850000000000001</v>
      </c>
    </row>
    <row r="26" spans="6:8" x14ac:dyDescent="0.25">
      <c r="F26" s="67" t="s">
        <v>40</v>
      </c>
      <c r="G26" s="93">
        <v>2.3306250000000004</v>
      </c>
      <c r="H26" s="93">
        <v>1.3856249999999999</v>
      </c>
    </row>
    <row r="27" spans="6:8" x14ac:dyDescent="0.25">
      <c r="F27" s="68" t="s">
        <v>87</v>
      </c>
      <c r="G27" s="93">
        <v>2.0016666666666669</v>
      </c>
      <c r="H27" s="93">
        <v>1.1283333333333332</v>
      </c>
    </row>
    <row r="28" spans="6:8" x14ac:dyDescent="0.25">
      <c r="F28" s="68" t="s">
        <v>41</v>
      </c>
      <c r="G28" s="93">
        <v>2.5350000000000001</v>
      </c>
      <c r="H28" s="93">
        <v>1.4649999999999999</v>
      </c>
    </row>
    <row r="29" spans="6:8" x14ac:dyDescent="0.25">
      <c r="F29" s="68" t="s">
        <v>42</v>
      </c>
      <c r="G29" s="93">
        <v>2.0366666666666666</v>
      </c>
      <c r="H29" s="93">
        <v>1.1833333333333333</v>
      </c>
    </row>
    <row r="30" spans="6:8" x14ac:dyDescent="0.25">
      <c r="F30" s="68" t="s">
        <v>48</v>
      </c>
      <c r="G30" s="93">
        <v>2.7549999999999994</v>
      </c>
      <c r="H30" s="93">
        <v>1.7033333333333334</v>
      </c>
    </row>
    <row r="31" spans="6:8" x14ac:dyDescent="0.25">
      <c r="F31" s="67" t="s">
        <v>278</v>
      </c>
      <c r="G31" s="93">
        <v>2.3784403669724776</v>
      </c>
      <c r="H31" s="93">
        <v>1.5472222222222223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0605A-C27C-49F4-B323-65D63B72D9C0}">
  <sheetPr codeName="Sheet8"/>
  <dimension ref="A1:F37"/>
  <sheetViews>
    <sheetView workbookViewId="0">
      <selection activeCell="C25" sqref="C25"/>
    </sheetView>
  </sheetViews>
  <sheetFormatPr defaultRowHeight="15" x14ac:dyDescent="0.25"/>
  <cols>
    <col min="1" max="1" width="14.85546875" bestFit="1" customWidth="1"/>
    <col min="2" max="2" width="11.140625" bestFit="1" customWidth="1"/>
    <col min="3" max="3" width="27" bestFit="1" customWidth="1"/>
    <col min="4" max="4" width="26.5703125" bestFit="1" customWidth="1"/>
    <col min="5" max="5" width="17.7109375" bestFit="1" customWidth="1"/>
    <col min="6" max="8" width="20.140625" bestFit="1" customWidth="1"/>
  </cols>
  <sheetData>
    <row r="1" spans="1:6" x14ac:dyDescent="0.25">
      <c r="A1" s="66" t="s">
        <v>32</v>
      </c>
      <c r="B1" t="s">
        <v>279</v>
      </c>
    </row>
    <row r="2" spans="1:6" x14ac:dyDescent="0.25">
      <c r="A2" s="66" t="s">
        <v>11</v>
      </c>
      <c r="B2" t="s">
        <v>279</v>
      </c>
    </row>
    <row r="3" spans="1:6" x14ac:dyDescent="0.25">
      <c r="A3" s="66" t="s">
        <v>5</v>
      </c>
      <c r="B3" t="s">
        <v>279</v>
      </c>
    </row>
    <row r="4" spans="1:6" x14ac:dyDescent="0.25">
      <c r="A4" s="66" t="s">
        <v>12</v>
      </c>
      <c r="B4" t="s">
        <v>279</v>
      </c>
    </row>
    <row r="5" spans="1:6" x14ac:dyDescent="0.25">
      <c r="A5" s="66" t="s">
        <v>14</v>
      </c>
      <c r="B5" t="s">
        <v>279</v>
      </c>
    </row>
    <row r="6" spans="1:6" x14ac:dyDescent="0.25">
      <c r="A6" s="66" t="s">
        <v>6</v>
      </c>
      <c r="B6" t="s">
        <v>279</v>
      </c>
    </row>
    <row r="8" spans="1:6" x14ac:dyDescent="0.25">
      <c r="C8" s="66" t="s">
        <v>284</v>
      </c>
    </row>
    <row r="9" spans="1:6" x14ac:dyDescent="0.25">
      <c r="A9" s="66" t="s">
        <v>4</v>
      </c>
      <c r="B9" s="66" t="s">
        <v>3</v>
      </c>
      <c r="C9" t="s">
        <v>280</v>
      </c>
      <c r="D9" t="s">
        <v>281</v>
      </c>
      <c r="E9" t="s">
        <v>282</v>
      </c>
      <c r="F9" t="s">
        <v>283</v>
      </c>
    </row>
    <row r="10" spans="1:6" x14ac:dyDescent="0.25">
      <c r="A10" t="s">
        <v>176</v>
      </c>
      <c r="B10" t="s">
        <v>197</v>
      </c>
      <c r="C10" s="93">
        <v>52.82</v>
      </c>
      <c r="D10" s="93">
        <v>71.86</v>
      </c>
      <c r="E10" s="93">
        <v>69.894999999999996</v>
      </c>
      <c r="F10" s="93">
        <v>76.254999999999995</v>
      </c>
    </row>
    <row r="11" spans="1:6" x14ac:dyDescent="0.25">
      <c r="B11" t="s">
        <v>204</v>
      </c>
      <c r="C11" s="93">
        <v>20.057499999999997</v>
      </c>
      <c r="D11" s="93">
        <v>29.47</v>
      </c>
      <c r="E11" s="93"/>
      <c r="F11" s="93"/>
    </row>
    <row r="12" spans="1:6" x14ac:dyDescent="0.25">
      <c r="B12" t="s">
        <v>175</v>
      </c>
      <c r="C12" s="93">
        <v>36.299999999999997</v>
      </c>
      <c r="D12" s="93">
        <v>51.75</v>
      </c>
      <c r="E12" s="93"/>
      <c r="F12" s="93"/>
    </row>
    <row r="13" spans="1:6" x14ac:dyDescent="0.25">
      <c r="B13" t="s">
        <v>209</v>
      </c>
      <c r="C13" s="93">
        <v>20.225000000000001</v>
      </c>
      <c r="D13" s="93">
        <v>20.225000000000001</v>
      </c>
      <c r="E13" s="93"/>
      <c r="F13" s="93"/>
    </row>
    <row r="14" spans="1:6" x14ac:dyDescent="0.25">
      <c r="B14" t="s">
        <v>231</v>
      </c>
      <c r="C14" s="93">
        <v>9.0762499999999999</v>
      </c>
      <c r="D14" s="93">
        <v>13.126249999999999</v>
      </c>
      <c r="E14" s="93"/>
      <c r="F14" s="93"/>
    </row>
    <row r="15" spans="1:6" x14ac:dyDescent="0.25">
      <c r="A15" t="s">
        <v>285</v>
      </c>
      <c r="C15" s="93">
        <v>22.026363636363637</v>
      </c>
      <c r="D15" s="93">
        <v>29.750454545454545</v>
      </c>
      <c r="E15" s="93">
        <v>69.894999999999996</v>
      </c>
      <c r="F15" s="93">
        <v>76.254999999999995</v>
      </c>
    </row>
    <row r="16" spans="1:6" x14ac:dyDescent="0.25">
      <c r="A16" t="s">
        <v>44</v>
      </c>
      <c r="B16" t="s">
        <v>187</v>
      </c>
      <c r="C16" s="93">
        <v>25.816666666666666</v>
      </c>
      <c r="D16" s="93"/>
      <c r="E16" s="93"/>
      <c r="F16" s="93"/>
    </row>
    <row r="17" spans="1:6" x14ac:dyDescent="0.25">
      <c r="B17" t="s">
        <v>174</v>
      </c>
      <c r="C17" s="93">
        <v>25.525000000000002</v>
      </c>
      <c r="D17" s="93">
        <v>32.800000000000004</v>
      </c>
      <c r="E17" s="93"/>
      <c r="F17" s="93"/>
    </row>
    <row r="18" spans="1:6" x14ac:dyDescent="0.25">
      <c r="A18" t="s">
        <v>286</v>
      </c>
      <c r="C18" s="93">
        <v>25.7</v>
      </c>
      <c r="D18" s="93">
        <v>32.800000000000004</v>
      </c>
      <c r="E18" s="93"/>
      <c r="F18" s="93"/>
    </row>
    <row r="19" spans="1:6" x14ac:dyDescent="0.25">
      <c r="A19" t="s">
        <v>63</v>
      </c>
      <c r="B19" t="s">
        <v>220</v>
      </c>
      <c r="C19" s="93">
        <v>28.183333333333334</v>
      </c>
      <c r="D19" s="93">
        <v>32.524999999999999</v>
      </c>
      <c r="E19" s="93"/>
      <c r="F19" s="93"/>
    </row>
    <row r="20" spans="1:6" x14ac:dyDescent="0.25">
      <c r="A20" t="s">
        <v>287</v>
      </c>
      <c r="C20" s="93">
        <v>28.183333333333334</v>
      </c>
      <c r="D20" s="93">
        <v>32.524999999999999</v>
      </c>
      <c r="E20" s="93"/>
      <c r="F20" s="93"/>
    </row>
    <row r="21" spans="1:6" x14ac:dyDescent="0.25">
      <c r="A21" t="s">
        <v>167</v>
      </c>
      <c r="B21" t="s">
        <v>166</v>
      </c>
      <c r="C21" s="93">
        <v>17.607500000000002</v>
      </c>
      <c r="D21" s="93">
        <v>26.16</v>
      </c>
      <c r="E21" s="93"/>
      <c r="F21" s="93"/>
    </row>
    <row r="22" spans="1:6" x14ac:dyDescent="0.25">
      <c r="B22" t="s">
        <v>227</v>
      </c>
      <c r="C22" s="93">
        <v>23.753749999999997</v>
      </c>
      <c r="D22" s="93">
        <v>28.786249999999999</v>
      </c>
      <c r="E22" s="93"/>
      <c r="F22" s="93"/>
    </row>
    <row r="23" spans="1:6" x14ac:dyDescent="0.25">
      <c r="A23" t="s">
        <v>288</v>
      </c>
      <c r="C23" s="93">
        <v>20.680625000000003</v>
      </c>
      <c r="D23" s="93">
        <v>27.473125000000003</v>
      </c>
      <c r="E23" s="93"/>
      <c r="F23" s="93"/>
    </row>
    <row r="24" spans="1:6" x14ac:dyDescent="0.25">
      <c r="A24" t="s">
        <v>38</v>
      </c>
      <c r="B24" t="s">
        <v>173</v>
      </c>
      <c r="C24" s="93">
        <v>20.65</v>
      </c>
      <c r="D24" s="93">
        <v>34.274999999999999</v>
      </c>
      <c r="E24" s="93"/>
      <c r="F24" s="93"/>
    </row>
    <row r="25" spans="1:6" x14ac:dyDescent="0.25">
      <c r="B25" t="s">
        <v>215</v>
      </c>
      <c r="C25" s="93">
        <v>33.200000000000003</v>
      </c>
      <c r="D25" s="93">
        <v>40.073333333333338</v>
      </c>
      <c r="E25" s="93"/>
      <c r="F25" s="93"/>
    </row>
    <row r="26" spans="1:6" x14ac:dyDescent="0.25">
      <c r="A26" t="s">
        <v>289</v>
      </c>
      <c r="C26" s="93">
        <v>30.690000000000008</v>
      </c>
      <c r="D26" s="93">
        <v>38.852631578947367</v>
      </c>
      <c r="E26" s="93"/>
      <c r="F26" s="93"/>
    </row>
    <row r="27" spans="1:6" x14ac:dyDescent="0.25">
      <c r="A27" t="s">
        <v>54</v>
      </c>
      <c r="B27" t="s">
        <v>168</v>
      </c>
      <c r="C27" s="93">
        <v>41.68333333333333</v>
      </c>
      <c r="D27" s="93">
        <v>51.516666666666673</v>
      </c>
      <c r="E27" s="93"/>
      <c r="F27" s="93"/>
    </row>
    <row r="28" spans="1:6" x14ac:dyDescent="0.25">
      <c r="B28" t="s">
        <v>251</v>
      </c>
      <c r="C28" s="93">
        <v>116.875</v>
      </c>
      <c r="D28" s="93">
        <v>201.55</v>
      </c>
      <c r="E28" s="93"/>
      <c r="F28" s="93"/>
    </row>
    <row r="29" spans="1:6" x14ac:dyDescent="0.25">
      <c r="A29" t="s">
        <v>339</v>
      </c>
      <c r="C29" s="93">
        <v>84.65</v>
      </c>
      <c r="D29" s="93">
        <v>137.25000000000003</v>
      </c>
      <c r="E29" s="93"/>
      <c r="F29" s="93"/>
    </row>
    <row r="30" spans="1:6" x14ac:dyDescent="0.25">
      <c r="A30" t="s">
        <v>329</v>
      </c>
      <c r="B30" t="s">
        <v>333</v>
      </c>
      <c r="C30" s="93"/>
      <c r="D30" s="93"/>
      <c r="E30" s="93">
        <v>43.050000000000004</v>
      </c>
      <c r="F30" s="93">
        <v>34.06666666666667</v>
      </c>
    </row>
    <row r="31" spans="1:6" x14ac:dyDescent="0.25">
      <c r="A31" t="s">
        <v>335</v>
      </c>
      <c r="C31" s="93"/>
      <c r="D31" s="93"/>
      <c r="E31" s="93">
        <v>43.050000000000004</v>
      </c>
      <c r="F31" s="93">
        <v>34.06666666666667</v>
      </c>
    </row>
    <row r="32" spans="1:6" x14ac:dyDescent="0.25">
      <c r="A32" t="s">
        <v>330</v>
      </c>
      <c r="B32" t="s">
        <v>333</v>
      </c>
      <c r="C32" s="93"/>
      <c r="D32" s="93"/>
      <c r="E32" s="93">
        <v>47.050000000000004</v>
      </c>
      <c r="F32" s="93">
        <v>36.933333333333337</v>
      </c>
    </row>
    <row r="33" spans="1:6" x14ac:dyDescent="0.25">
      <c r="A33" t="s">
        <v>336</v>
      </c>
      <c r="C33" s="93"/>
      <c r="D33" s="93"/>
      <c r="E33" s="93">
        <v>47.050000000000004</v>
      </c>
      <c r="F33" s="93">
        <v>36.933333333333337</v>
      </c>
    </row>
    <row r="34" spans="1:6" x14ac:dyDescent="0.25">
      <c r="A34" t="s">
        <v>331</v>
      </c>
      <c r="B34" t="s">
        <v>333</v>
      </c>
      <c r="C34" s="93"/>
      <c r="D34" s="93"/>
      <c r="E34" s="93">
        <v>52.133333333333333</v>
      </c>
      <c r="F34" s="93">
        <v>39.216666666666669</v>
      </c>
    </row>
    <row r="35" spans="1:6" x14ac:dyDescent="0.25">
      <c r="A35" t="s">
        <v>337</v>
      </c>
      <c r="C35" s="93"/>
      <c r="D35" s="93"/>
      <c r="E35" s="93">
        <v>52.133333333333333</v>
      </c>
      <c r="F35" s="93">
        <v>39.216666666666669</v>
      </c>
    </row>
    <row r="36" spans="1:6" x14ac:dyDescent="0.25">
      <c r="A36" t="s">
        <v>332</v>
      </c>
      <c r="B36" t="s">
        <v>333</v>
      </c>
      <c r="C36" s="93"/>
      <c r="D36" s="93"/>
      <c r="E36" s="93">
        <v>44.733333333333327</v>
      </c>
      <c r="F36" s="93">
        <v>35.93333333333333</v>
      </c>
    </row>
    <row r="37" spans="1:6" x14ac:dyDescent="0.25">
      <c r="A37" t="s">
        <v>338</v>
      </c>
      <c r="C37" s="93"/>
      <c r="D37" s="93"/>
      <c r="E37" s="93">
        <v>44.733333333333327</v>
      </c>
      <c r="F37" s="93">
        <v>35.93333333333333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E89A8-F101-4289-861B-416388B344CA}">
  <sheetPr codeName="Sheet12"/>
  <dimension ref="A1:B9"/>
  <sheetViews>
    <sheetView workbookViewId="0">
      <selection activeCell="A12" sqref="A12:A15"/>
    </sheetView>
  </sheetViews>
  <sheetFormatPr defaultRowHeight="15" x14ac:dyDescent="0.25"/>
  <cols>
    <col min="1" max="1" width="13.42578125" bestFit="1" customWidth="1"/>
    <col min="2" max="2" width="34.42578125" bestFit="1" customWidth="1"/>
    <col min="3" max="3" width="35" bestFit="1" customWidth="1"/>
  </cols>
  <sheetData>
    <row r="1" spans="1:2" x14ac:dyDescent="0.25">
      <c r="A1" s="66" t="s">
        <v>32</v>
      </c>
      <c r="B1" t="s">
        <v>279</v>
      </c>
    </row>
    <row r="2" spans="1:2" x14ac:dyDescent="0.25">
      <c r="A2" s="66" t="s">
        <v>6</v>
      </c>
      <c r="B2" t="s">
        <v>279</v>
      </c>
    </row>
    <row r="3" spans="1:2" x14ac:dyDescent="0.25">
      <c r="A3" s="66" t="s">
        <v>5</v>
      </c>
      <c r="B3" t="s">
        <v>279</v>
      </c>
    </row>
    <row r="4" spans="1:2" x14ac:dyDescent="0.25">
      <c r="A4" s="66" t="s">
        <v>11</v>
      </c>
      <c r="B4" t="s">
        <v>279</v>
      </c>
    </row>
    <row r="5" spans="1:2" x14ac:dyDescent="0.25">
      <c r="A5" s="66" t="s">
        <v>14</v>
      </c>
      <c r="B5" t="s">
        <v>169</v>
      </c>
    </row>
    <row r="6" spans="1:2" x14ac:dyDescent="0.25">
      <c r="A6" s="66" t="s">
        <v>12</v>
      </c>
      <c r="B6" t="s">
        <v>279</v>
      </c>
    </row>
    <row r="8" spans="1:2" x14ac:dyDescent="0.25">
      <c r="A8" s="66" t="s">
        <v>277</v>
      </c>
      <c r="B8" t="s">
        <v>407</v>
      </c>
    </row>
    <row r="9" spans="1:2" x14ac:dyDescent="0.25">
      <c r="A9" s="67" t="s">
        <v>278</v>
      </c>
      <c r="B9" s="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9D243-37D6-4AF5-82D6-D24A16EB8A94}">
  <sheetPr codeName="Sheet9"/>
  <dimension ref="A1:E25"/>
  <sheetViews>
    <sheetView workbookViewId="0">
      <selection activeCell="A26" sqref="A26"/>
    </sheetView>
  </sheetViews>
  <sheetFormatPr defaultRowHeight="15" x14ac:dyDescent="0.25"/>
  <cols>
    <col min="1" max="1" width="14.42578125" bestFit="1" customWidth="1"/>
    <col min="2" max="2" width="37" bestFit="1" customWidth="1"/>
    <col min="3" max="3" width="36.5703125" bestFit="1" customWidth="1"/>
    <col min="4" max="4" width="32" bestFit="1" customWidth="1"/>
    <col min="5" max="5" width="31.42578125" bestFit="1" customWidth="1"/>
  </cols>
  <sheetData>
    <row r="1" spans="1:5" x14ac:dyDescent="0.25">
      <c r="A1" s="66" t="s">
        <v>32</v>
      </c>
      <c r="B1" t="s">
        <v>279</v>
      </c>
    </row>
    <row r="2" spans="1:5" x14ac:dyDescent="0.25">
      <c r="A2" s="66" t="s">
        <v>75</v>
      </c>
      <c r="B2" t="s">
        <v>279</v>
      </c>
    </row>
    <row r="3" spans="1:5" x14ac:dyDescent="0.25">
      <c r="A3" s="66" t="s">
        <v>6</v>
      </c>
      <c r="B3" t="s">
        <v>279</v>
      </c>
    </row>
    <row r="4" spans="1:5" x14ac:dyDescent="0.25">
      <c r="A4" s="66" t="s">
        <v>5</v>
      </c>
      <c r="B4" t="s">
        <v>279</v>
      </c>
    </row>
    <row r="5" spans="1:5" x14ac:dyDescent="0.25">
      <c r="A5" s="66" t="s">
        <v>12</v>
      </c>
      <c r="B5" t="s">
        <v>279</v>
      </c>
    </row>
    <row r="7" spans="1:5" x14ac:dyDescent="0.25">
      <c r="A7" s="66" t="s">
        <v>277</v>
      </c>
      <c r="B7" t="s">
        <v>324</v>
      </c>
      <c r="C7" t="s">
        <v>327</v>
      </c>
      <c r="D7" t="s">
        <v>325</v>
      </c>
      <c r="E7" t="s">
        <v>326</v>
      </c>
    </row>
    <row r="8" spans="1:5" x14ac:dyDescent="0.25">
      <c r="A8" s="67" t="s">
        <v>37</v>
      </c>
      <c r="B8" s="93">
        <v>86.25526315789476</v>
      </c>
      <c r="C8" s="93">
        <v>30.059459459459461</v>
      </c>
      <c r="D8" s="93">
        <v>23.183333333333326</v>
      </c>
      <c r="E8" s="93">
        <v>21.087499999999999</v>
      </c>
    </row>
    <row r="9" spans="1:5" x14ac:dyDescent="0.25">
      <c r="A9" s="68" t="s">
        <v>33</v>
      </c>
      <c r="B9" s="93">
        <v>127.13333333333333</v>
      </c>
      <c r="C9" s="93">
        <v>26.860000000000003</v>
      </c>
      <c r="D9" s="93"/>
      <c r="E9" s="93"/>
    </row>
    <row r="10" spans="1:5" x14ac:dyDescent="0.25">
      <c r="A10" s="68" t="s">
        <v>241</v>
      </c>
      <c r="B10" s="93">
        <v>47.137500000000003</v>
      </c>
      <c r="C10" s="93">
        <v>25.749999999999996</v>
      </c>
      <c r="D10" s="93">
        <v>21.474999999999998</v>
      </c>
      <c r="E10" s="93">
        <v>22.487500000000001</v>
      </c>
    </row>
    <row r="11" spans="1:5" x14ac:dyDescent="0.25">
      <c r="A11" s="68" t="s">
        <v>294</v>
      </c>
      <c r="B11" s="93"/>
      <c r="C11" s="93"/>
      <c r="D11" s="93">
        <v>34.825000000000003</v>
      </c>
      <c r="E11" s="93">
        <v>27.775000000000002</v>
      </c>
    </row>
    <row r="12" spans="1:5" x14ac:dyDescent="0.25">
      <c r="A12" s="68" t="s">
        <v>359</v>
      </c>
      <c r="B12" s="93">
        <v>89.074999999999989</v>
      </c>
      <c r="C12" s="93">
        <v>32.162499999999994</v>
      </c>
      <c r="D12" s="93"/>
      <c r="E12" s="93"/>
    </row>
    <row r="13" spans="1:5" x14ac:dyDescent="0.25">
      <c r="A13" s="68" t="s">
        <v>251</v>
      </c>
      <c r="B13" s="93"/>
      <c r="C13" s="93"/>
      <c r="D13" s="93">
        <v>13.250000000000002</v>
      </c>
      <c r="E13" s="93">
        <v>13</v>
      </c>
    </row>
    <row r="14" spans="1:5" x14ac:dyDescent="0.25">
      <c r="A14" s="67" t="s">
        <v>44</v>
      </c>
      <c r="B14" s="93">
        <v>75.914285714285725</v>
      </c>
      <c r="C14" s="93">
        <v>26.107142857142858</v>
      </c>
      <c r="D14" s="93">
        <v>28.239285714285717</v>
      </c>
      <c r="E14" s="93">
        <v>24.526428571428568</v>
      </c>
    </row>
    <row r="15" spans="1:5" x14ac:dyDescent="0.25">
      <c r="A15" s="68" t="s">
        <v>240</v>
      </c>
      <c r="B15" s="93">
        <v>110.82000000000001</v>
      </c>
      <c r="C15" s="93">
        <v>30.82</v>
      </c>
      <c r="D15" s="93">
        <v>38</v>
      </c>
      <c r="E15" s="93">
        <v>31.774999999999999</v>
      </c>
    </row>
    <row r="16" spans="1:5" x14ac:dyDescent="0.25">
      <c r="A16" s="68" t="s">
        <v>259</v>
      </c>
      <c r="B16" s="93">
        <v>55.833333333333336</v>
      </c>
      <c r="C16" s="93">
        <v>27.066666666666666</v>
      </c>
      <c r="D16" s="93"/>
      <c r="E16" s="93"/>
    </row>
    <row r="17" spans="1:5" x14ac:dyDescent="0.25">
      <c r="A17" s="68" t="s">
        <v>51</v>
      </c>
      <c r="B17" s="93">
        <v>98.1</v>
      </c>
      <c r="C17" s="93">
        <v>28.1</v>
      </c>
      <c r="D17" s="93">
        <v>31.9</v>
      </c>
      <c r="E17" s="93">
        <v>22.9</v>
      </c>
    </row>
    <row r="18" spans="1:5" x14ac:dyDescent="0.25">
      <c r="A18" s="68" t="s">
        <v>352</v>
      </c>
      <c r="B18" s="93"/>
      <c r="C18" s="93"/>
      <c r="D18" s="93">
        <v>22.443750000000001</v>
      </c>
      <c r="E18" s="93">
        <v>21.30875</v>
      </c>
    </row>
    <row r="19" spans="1:5" x14ac:dyDescent="0.25">
      <c r="A19" s="68" t="s">
        <v>242</v>
      </c>
      <c r="B19" s="93">
        <v>36.25</v>
      </c>
      <c r="C19" s="93">
        <v>18.5</v>
      </c>
      <c r="D19" s="93"/>
      <c r="E19" s="93"/>
    </row>
    <row r="20" spans="1:5" x14ac:dyDescent="0.25">
      <c r="A20" s="67" t="s">
        <v>40</v>
      </c>
      <c r="B20" s="93">
        <v>164.1</v>
      </c>
      <c r="C20" s="93">
        <v>36.375</v>
      </c>
      <c r="D20" s="93">
        <v>41.530999999999999</v>
      </c>
      <c r="E20" s="93">
        <v>39.771111111111118</v>
      </c>
    </row>
    <row r="21" spans="1:5" x14ac:dyDescent="0.25">
      <c r="A21" s="68" t="s">
        <v>55</v>
      </c>
      <c r="B21" s="93">
        <v>164.1</v>
      </c>
      <c r="C21" s="93">
        <v>36.375</v>
      </c>
      <c r="D21" s="93"/>
      <c r="E21" s="93"/>
    </row>
    <row r="22" spans="1:5" x14ac:dyDescent="0.25">
      <c r="A22" s="68" t="s">
        <v>340</v>
      </c>
      <c r="B22" s="93"/>
      <c r="C22" s="93"/>
      <c r="D22" s="93">
        <v>41.530999999999999</v>
      </c>
      <c r="E22" s="93">
        <v>39.771111111111118</v>
      </c>
    </row>
    <row r="23" spans="1:5" x14ac:dyDescent="0.25">
      <c r="A23" s="67" t="s">
        <v>260</v>
      </c>
      <c r="B23" s="93">
        <v>64.36666666666666</v>
      </c>
      <c r="C23" s="93">
        <v>30.099999999999998</v>
      </c>
      <c r="D23" s="93"/>
      <c r="E23" s="93"/>
    </row>
    <row r="24" spans="1:5" x14ac:dyDescent="0.25">
      <c r="A24" s="68" t="s">
        <v>259</v>
      </c>
      <c r="B24" s="93">
        <v>64.36666666666666</v>
      </c>
      <c r="C24" s="93">
        <v>30.099999999999998</v>
      </c>
      <c r="D24" s="93"/>
      <c r="E24" s="93"/>
    </row>
    <row r="25" spans="1:5" x14ac:dyDescent="0.25">
      <c r="A25" s="67" t="s">
        <v>278</v>
      </c>
      <c r="B25" s="93">
        <v>87.966101694915253</v>
      </c>
      <c r="C25" s="93">
        <v>29.543103448275861</v>
      </c>
      <c r="D25" s="93">
        <v>28.48041666666667</v>
      </c>
      <c r="E25" s="93">
        <v>27.952678571428571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4ba5219f-b405-4b65-aec9-78639fc2c0ec"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35C3CFB825B8D49BEAFFD59CC772C10" ma:contentTypeVersion="6" ma:contentTypeDescription="Create a new document." ma:contentTypeScope="" ma:versionID="dfc1de0f83140eafb6d31ff8f64a534d">
  <xsd:schema xmlns:xsd="http://www.w3.org/2001/XMLSchema" xmlns:xs="http://www.w3.org/2001/XMLSchema" xmlns:p="http://schemas.microsoft.com/office/2006/metadata/properties" xmlns:ns3="4ba5219f-b405-4b65-aec9-78639fc2c0ec" targetNamespace="http://schemas.microsoft.com/office/2006/metadata/properties" ma:root="true" ma:fieldsID="596a2d26e8b7389d547561d496a45fa1" ns3:_="">
    <xsd:import namespace="4ba5219f-b405-4b65-aec9-78639fc2c0ec"/>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a5219f-b405-4b65-aec9-78639fc2c0ec"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D53AB52-B80D-42F8-ACE7-CE4E43262DE6}">
  <ds:schemaRefs>
    <ds:schemaRef ds:uri="http://www.w3.org/XML/1998/namespace"/>
    <ds:schemaRef ds:uri="4ba5219f-b405-4b65-aec9-78639fc2c0ec"/>
    <ds:schemaRef ds:uri="http://purl.org/dc/elements/1.1/"/>
    <ds:schemaRef ds:uri="http://purl.org/dc/terms/"/>
    <ds:schemaRef ds:uri="http://purl.org/dc/dcmitype/"/>
    <ds:schemaRef ds:uri="http://schemas.openxmlformats.org/package/2006/metadata/core-properties"/>
    <ds:schemaRef ds:uri="http://schemas.microsoft.com/office/2006/documentManagement/types"/>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EA936183-6A3C-4227-8ECC-EAA56614826F}">
  <ds:schemaRefs>
    <ds:schemaRef ds:uri="http://schemas.microsoft.com/sharepoint/v3/contenttype/forms"/>
  </ds:schemaRefs>
</ds:datastoreItem>
</file>

<file path=customXml/itemProps3.xml><?xml version="1.0" encoding="utf-8"?>
<ds:datastoreItem xmlns:ds="http://schemas.openxmlformats.org/officeDocument/2006/customXml" ds:itemID="{AF217038-5E23-4CFA-9537-AB9628252D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a5219f-b405-4b65-aec9-78639fc2c0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Dashboard</vt:lpstr>
      <vt:lpstr>Knee </vt:lpstr>
      <vt:lpstr>Shoulder</vt:lpstr>
      <vt:lpstr>Sheet1</vt:lpstr>
      <vt:lpstr>Ankle</vt:lpstr>
      <vt:lpstr>Notes</vt:lpstr>
      <vt:lpstr>GraphsStats</vt:lpstr>
      <vt:lpstr>Backlog Notes</vt:lpstr>
      <vt:lpstr>Contact Info</vt:lpstr>
      <vt:lpstr>PT Knee Graphs</vt:lpstr>
      <vt:lpstr>BWPT Knee Graphs</vt:lpstr>
      <vt:lpstr>Shoulder Graphs</vt:lpstr>
      <vt:lpstr>BWPT Shoulder Graphs</vt:lpstr>
      <vt:lpstr>Ankle Graphs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Quinton</dc:creator>
  <cp:lastModifiedBy>Ian Quinton</cp:lastModifiedBy>
  <cp:lastPrinted>2025-10-13T21:41:48Z</cp:lastPrinted>
  <dcterms:created xsi:type="dcterms:W3CDTF">2025-06-08T21:13:53Z</dcterms:created>
  <dcterms:modified xsi:type="dcterms:W3CDTF">2026-05-19T01:51:48Z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0x010100A35C3CFB825B8D49BEAFFD59CC772C10</vt:lpwstr>
  </property>
</Properties>
</file>